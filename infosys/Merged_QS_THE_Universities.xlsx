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97dd91451dd4fa/Documents/"/>
    </mc:Choice>
  </mc:AlternateContent>
  <xr:revisionPtr revIDLastSave="0" documentId="14_{D07A2894-4E00-48DE-B344-DDFC4D234FBA}" xr6:coauthVersionLast="47" xr6:coauthVersionMax="47" xr10:uidLastSave="{00000000-0000-0000-0000-000000000000}"/>
  <bookViews>
    <workbookView xWindow="-108" yWindow="-108" windowWidth="23256" windowHeight="13896" xr2:uid="{75C86C48-3F01-491A-9630-B35534E809A5}"/>
  </bookViews>
  <sheets>
    <sheet name="Merged_QS_THE_Universities (1)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" l="1"/>
  <c r="Q22" i="1"/>
  <c r="Q33" i="1"/>
  <c r="Q38" i="1"/>
  <c r="Q39" i="1"/>
  <c r="Q41" i="1"/>
  <c r="Q46" i="1"/>
  <c r="Q52" i="1"/>
  <c r="Q55" i="1"/>
  <c r="Q56" i="1"/>
  <c r="Q59" i="1"/>
  <c r="Q60" i="1"/>
  <c r="Q62" i="1"/>
  <c r="Q63" i="1"/>
  <c r="Q64" i="1"/>
  <c r="Q66" i="1"/>
  <c r="Q67" i="1"/>
  <c r="Q69" i="1"/>
  <c r="Q73" i="1"/>
  <c r="Q74" i="1"/>
  <c r="Q77" i="1"/>
  <c r="Q79" i="1"/>
  <c r="Q80" i="1"/>
  <c r="Q81" i="1"/>
  <c r="Q83" i="1"/>
  <c r="Q84" i="1"/>
  <c r="Q91" i="1"/>
  <c r="Q99" i="1"/>
  <c r="Q102" i="1"/>
  <c r="Q105" i="1"/>
  <c r="Q109" i="1"/>
  <c r="Q110" i="1"/>
  <c r="Q113" i="1"/>
  <c r="Q115" i="1"/>
  <c r="Q116" i="1"/>
  <c r="Q121" i="1"/>
  <c r="Q126" i="1"/>
  <c r="Q127" i="1"/>
  <c r="Q129" i="1"/>
  <c r="Q133" i="1"/>
  <c r="Q137" i="1"/>
  <c r="Q142" i="1"/>
  <c r="Q150" i="1"/>
  <c r="Q151" i="1"/>
  <c r="Q153" i="1"/>
  <c r="Q154" i="1"/>
  <c r="Q172" i="1"/>
  <c r="Q174" i="1"/>
  <c r="Q182" i="1"/>
  <c r="Q184" i="1"/>
  <c r="Q187" i="1"/>
  <c r="Q189" i="1"/>
  <c r="Q191" i="1"/>
  <c r="Q196" i="1"/>
  <c r="Q200" i="1"/>
  <c r="Q204" i="1"/>
  <c r="Q210" i="1"/>
  <c r="Q221" i="1"/>
  <c r="Q227" i="1"/>
  <c r="Q228" i="1"/>
  <c r="Q229" i="1"/>
  <c r="Q230" i="1"/>
  <c r="Q233" i="1"/>
  <c r="Q240" i="1"/>
  <c r="Q242" i="1"/>
  <c r="Q262" i="1"/>
  <c r="Q400" i="1"/>
</calcChain>
</file>

<file path=xl/sharedStrings.xml><?xml version="1.0" encoding="utf-8"?>
<sst xmlns="http://schemas.openxmlformats.org/spreadsheetml/2006/main" count="12755" uniqueCount="3593">
  <si>
    <t>QS_2025 Rank</t>
  </si>
  <si>
    <t>QS_2024 Rank</t>
  </si>
  <si>
    <t>QS_Institution Name</t>
  </si>
  <si>
    <t>QS_Location</t>
  </si>
  <si>
    <t>QS_Location Full</t>
  </si>
  <si>
    <t>QS_Size</t>
  </si>
  <si>
    <t>QS_Academic Reputation</t>
  </si>
  <si>
    <t>QS_Employer Reputation</t>
  </si>
  <si>
    <t>QS_Faculty Student</t>
  </si>
  <si>
    <t>QS_Citations per Faculty</t>
  </si>
  <si>
    <t>QS_International Faculty</t>
  </si>
  <si>
    <t>QS_International Students</t>
  </si>
  <si>
    <t>QS_International Research Network</t>
  </si>
  <si>
    <t>QS_Employment Outcomes</t>
  </si>
  <si>
    <t>QS_Sustainability</t>
  </si>
  <si>
    <t>QS_QS Overall Score</t>
  </si>
  <si>
    <t>THE_rank</t>
  </si>
  <si>
    <t>THE_name</t>
  </si>
  <si>
    <t>THE_scores_overall</t>
  </si>
  <si>
    <t>THE_scores_overall_rank</t>
  </si>
  <si>
    <t>THE_scores_teaching</t>
  </si>
  <si>
    <t>THE_scores_teaching_rank</t>
  </si>
  <si>
    <t>THE_scores_research</t>
  </si>
  <si>
    <t>THE_scores_citations</t>
  </si>
  <si>
    <t>THE_scores_citations_rank</t>
  </si>
  <si>
    <t>THE_scores_industry_income</t>
  </si>
  <si>
    <t>THE_scores_industry_income_rank</t>
  </si>
  <si>
    <t>THE_scores_international_outlook</t>
  </si>
  <si>
    <t>THE_scores_international_outlook_rank</t>
  </si>
  <si>
    <t>THE_record_type</t>
  </si>
  <si>
    <t>THE_member_level</t>
  </si>
  <si>
    <t>THE_url</t>
  </si>
  <si>
    <t>THE_nid</t>
  </si>
  <si>
    <t>THE_location</t>
  </si>
  <si>
    <t>THE_stats_number_students</t>
  </si>
  <si>
    <t>THE_stats_student_staff_ratio</t>
  </si>
  <si>
    <t>THE_stats_pc_intl_students</t>
  </si>
  <si>
    <t>THE_stats_female_male_ratio</t>
  </si>
  <si>
    <t>THE_aliases</t>
  </si>
  <si>
    <t>THE_subjects_offered</t>
  </si>
  <si>
    <t>THE_closed</t>
  </si>
  <si>
    <t>THE_unaccredited</t>
  </si>
  <si>
    <t>THE_disabled</t>
  </si>
  <si>
    <t>THE_website_url</t>
  </si>
  <si>
    <t xml:space="preserve">Massachusetts Institute of Technology (MIT) </t>
  </si>
  <si>
    <t>US</t>
  </si>
  <si>
    <t>United States</t>
  </si>
  <si>
    <t>M</t>
  </si>
  <si>
    <t>Massachusetts Institute of Technology</t>
  </si>
  <si>
    <t>private</t>
  </si>
  <si>
    <t>/world-university-rankings/massachusetts-institute-technology</t>
  </si>
  <si>
    <t>Architecture,Economics &amp; Econometrics,Archaeology,Biological Sciences,Languages, Literature &amp; Linguistics,Mechanical &amp; Aerospace Engineering,Psychology,Politics &amp; International Studies (incl Development Studies),History, Philosophy &amp; Theology,Mathematics &amp; Statistics,Civil Engineering,Geology, Environmental, Earth &amp; Marine Sciences,General Engineering,Art, Performing Arts &amp; Design,Other Health,Physics &amp; Astronomy,Computer Science,Accounting &amp; Finance,Chemical Engineering,Business &amp; Management,Electrical &amp; Electronic Engineering,Communication &amp; Media Studies,Chemistry</t>
  </si>
  <si>
    <t>https://www.timeshighereducation.com/student/register-interest/shorelight?utm_medium=thewebsite&amp;utm_campaign=cta-link&amp;utm_source=rankings&amp;iid=i-68334672</t>
  </si>
  <si>
    <t>Imperial College London</t>
  </si>
  <si>
    <t>UK</t>
  </si>
  <si>
    <t>United Kingdom</t>
  </si>
  <si>
    <t>L</t>
  </si>
  <si>
    <t>master_account</t>
  </si>
  <si>
    <t>/world-university-rankings/imperial-college-london</t>
  </si>
  <si>
    <t>Computer Science,Mechanical &amp; Aerospace Engineering,Chemical Engineering,Physics &amp; Astronomy,Other Health,Mathematics &amp; Statistics,Electrical &amp; Electronic Engineering,Chemistry,Medicine &amp; Dentistry,General Engineering,Geology, Environmental, Earth &amp; Marine Sciences,Biological Sciences,Civil Engineering</t>
  </si>
  <si>
    <t>https://www.timeshighereducation.com/student/register-interest/siuk?utm_medium=thewebsite&amp;utm_campaign=cta-link&amp;utm_source=rankings&amp;iid=i-67704114</t>
  </si>
  <si>
    <t>University of Oxford</t>
  </si>
  <si>
    <t>/world-university-rankings/university-oxford</t>
  </si>
  <si>
    <t>Geography,Chemistry,Chemical Engineering,Biological Sciences,General Engineering,Computer Science,Art, Performing Arts &amp; Design,Communication &amp; Media Studies,Electrical &amp; Electronic Engineering,Law,Economics &amp; Econometrics,Geology, Environmental, Earth &amp; Marine Sciences,Politics &amp; International Studies (incl Development Studies),History, Philosophy &amp; Theology,Medicine &amp; Dentistry,Languages, Literature &amp; Linguistics,Business &amp; Management,Accounting &amp; Finance,Mechanical &amp; Aerospace Engineering,Mathematics &amp; Statistics,Physics &amp; Astronomy,Psychology,Other Health,Archaeology,Sociology,Civil Engineering,Education</t>
  </si>
  <si>
    <t>https://www.timeshighereducation.com/student/register-interest/siuk?utm_medium=thewebsite&amp;utm_campaign=cta-link&amp;utm_source=rankings&amp;iid=i-92611101</t>
  </si>
  <si>
    <t>Harvard University</t>
  </si>
  <si>
    <t>/world-university-rankings/harvard-university</t>
  </si>
  <si>
    <t>Sociology,Architecture,Physics &amp; Astronomy,Psychology,Mechanical &amp; Aerospace Engineering,Law,Chemical Engineering,Electrical &amp; Electronic Engineering,Medicine &amp; Dentistry,Communication &amp; Media Studies,Mathematics &amp; Statistics,History, Philosophy &amp; Theology,Languages, Literature &amp; Linguistics,Agriculture &amp; Forestry,Education,Computer Science,Business &amp; Management,Geography,Accounting &amp; Finance,Politics &amp; International Studies (incl Development Studies),Chemistry,Archaeology,Art, Performing Arts &amp; Design,Other Health,Biological Sciences,Geology, Environmental, Earth &amp; Marine Sciences,Economics &amp; Econometrics,General Engineering,Civil Engineering</t>
  </si>
  <si>
    <t>https://www.timeshighereducation.com/student/register-interest/shorelight?utm_medium=thewebsite&amp;utm_campaign=cta-link&amp;utm_source=rankings&amp;iid=i-48698023</t>
  </si>
  <si>
    <t>University of Cambridge</t>
  </si>
  <si>
    <t>/world-university-rankings/university-cambridge</t>
  </si>
  <si>
    <t>Politics &amp; International Studies (incl Development Studies),Biological Sciences,Business &amp; Management,Civil Engineering,Geology, Environmental, Earth &amp; Marine Sciences,Mathematics &amp; Statistics,Psychology,General Engineering,Physics &amp; Astronomy,Chemical Engineering,Chemistry,Economics &amp; Econometrics,History, Philosophy &amp; Theology,Computer Science,Accounting &amp; Finance,Education,Veterinary Science,Electrical &amp; Electronic Engineering,Geography,Other Health,Architecture,Art, Performing Arts &amp; Design,Law,Mechanical &amp; Aerospace Engineering,Sociology,Medicine &amp; Dentistry,Archaeology,Languages, Literature &amp; Linguistics</t>
  </si>
  <si>
    <t>https://www.timeshighereducation.com/student/register-interest/siuk?utm_medium=thewebsite&amp;utm_campaign=cta-link&amp;utm_source=rankings&amp;iid=i-67516113</t>
  </si>
  <si>
    <t>Stanford University</t>
  </si>
  <si>
    <t>/world-university-rankings/stanford-university</t>
  </si>
  <si>
    <t>Computer Science,Communication &amp; Media Studies,Electrical &amp; Electronic Engineering,Mathematics &amp; Statistics,Education,Medicine &amp; Dentistry,Civil Engineering,Politics &amp; International Studies (incl Development Studies),History, Philosophy &amp; Theology,Veterinary Science,Economics &amp; Econometrics,Other Health,Geology, Environmental, Earth &amp; Marine Sciences,Accounting &amp; Finance,Mechanical &amp; Aerospace Engineering,Chemistry,Sociology,Art, Performing Arts &amp; Design,Chemical Engineering,Business &amp; Management,General Engineering,Physics &amp; Astronomy,Archaeology,Agriculture &amp; Forestry,Law,Languages, Literature &amp; Linguistics,Biological Sciences,Psychology</t>
  </si>
  <si>
    <t>UCL</t>
  </si>
  <si>
    <t>XL</t>
  </si>
  <si>
    <t>/world-university-rankings/ucl</t>
  </si>
  <si>
    <t>UCL ucl UCL</t>
  </si>
  <si>
    <t>Medicine &amp; Dentistry,Sport Science,Law,General Engineering,Physics &amp; Astronomy,Mathematics &amp; Statistics,Communication &amp; Media Studies,Languages, Literature &amp; Linguistics,Civil Engineering,Politics &amp; International Studies (incl Development Studies),Business &amp; Management,Computer Science,Education,Architecture,Electrical &amp; Electronic Engineering,Psychology,Other Health,Sociology,Biological Sciences,Geography,History, Philosophy &amp; Theology,Art, Performing Arts &amp; Design,Chemical Engineering,Geology, Environmental, Earth &amp; Marine Sciences,Economics &amp; Econometrics,Archaeology,Mechanical &amp; Aerospace Engineering,Chemistry</t>
  </si>
  <si>
    <t>https://www.timeshighereducation.com/student/register-interest/siuk?utm_medium=thewebsite&amp;utm_campaign=cta-link&amp;utm_source=rankings&amp;iid=i-15171793</t>
  </si>
  <si>
    <t>University of Pennsylvania</t>
  </si>
  <si>
    <t>/world-university-rankings/university-pennsylvania</t>
  </si>
  <si>
    <t>Other Health,Physics &amp; Astronomy,Accounting &amp; Finance,General Engineering,Mathematics &amp; Statistics,Economics &amp; Econometrics,Languages, Literature &amp; Linguistics,Biological Sciences,Sociology,Archaeology,Geology, Environmental, Earth &amp; Marine Sciences,History, Philosophy &amp; Theology,Architecture,Geography,Art, Performing Arts &amp; Design,Mechanical &amp; Aerospace Engineering,Politics &amp; International Studies (incl Development Studies),Psychology,Electrical &amp; Electronic Engineering,Chemistry,Medicine &amp; Dentistry,Veterinary Science,Education,Chemical Engineering,Law,Business &amp; Management,Computer Science,Communication &amp; Media Studies</t>
  </si>
  <si>
    <t>https://www.timeshighereducation.com/student/register-interest/shorelight?utm_medium=thewebsite&amp;utm_campaign=cta-link&amp;utm_source=rankings&amp;iid=i-31733092</t>
  </si>
  <si>
    <t>The University of Melbourne</t>
  </si>
  <si>
    <t>AU</t>
  </si>
  <si>
    <t>Australia</t>
  </si>
  <si>
    <t>University of Melbourne</t>
  </si>
  <si>
    <t>/world-university-rankings/university-melbourne</t>
  </si>
  <si>
    <t>University of Melbourne UniMelb Australia</t>
  </si>
  <si>
    <t>Other Health,Economics &amp; Econometrics,Biological Sciences,Electrical &amp; Electronic Engineering,Civil Engineering,Accounting &amp; Finance,Chemical Engineering,Mathematics &amp; Statistics,Sociology,Archaeology,Computer Science,Geography,Languages, Literature &amp; Linguistics,Law,Physics &amp; Astronomy,General Engineering,Geology, Environmental, Earth &amp; Marine Sciences,Art, Performing Arts &amp; Design,Sport Science,Business &amp; Management,History, Philosophy &amp; Theology,Chemistry,Architecture,Education,Medicine &amp; Dentistry,Veterinary Science,Agriculture &amp; Forestry,Communication &amp; Media Studies,Psychology,Politics &amp; International Studies (incl Development Studies),Mechanical &amp; Aerospace Engineering</t>
  </si>
  <si>
    <t>https://www.timeshighereducation.com/student/register-interest/aecc?utm_medium=thewebsite&amp;utm_campaign=cta-link&amp;utm_source=rankings&amp;iid=i-84190491</t>
  </si>
  <si>
    <t>Peking University</t>
  </si>
  <si>
    <t>CN</t>
  </si>
  <si>
    <t>China (Mainland)</t>
  </si>
  <si>
    <t>/world-university-rankings/peking-university</t>
  </si>
  <si>
    <t>China</t>
  </si>
  <si>
    <t>History, Philosophy &amp; Theology,Geology, Environmental, Earth &amp; Marine Sciences,Computer Science,Politics &amp; International Studies (incl Development Studies),Archaeology,Communication &amp; Media Studies,Business &amp; Management,Other Health,Physics &amp; Astronomy,Economics &amp; Econometrics,Mechanical &amp; Aerospace Engineering,Sociology,Medicine &amp; Dentistry,Chemistry,Accounting &amp; Finance,Languages, Literature &amp; Linguistics,Mathematics &amp; Statistics,Education,Art, Performing Arts &amp; Design,Electrical &amp; Electronic Engineering,Law,General Engineering,Geography,Biological Sciences,Psychology</t>
  </si>
  <si>
    <t>Nanyang Technological University, Singapore (NTU)</t>
  </si>
  <si>
    <t>SG</t>
  </si>
  <si>
    <t>Singapore</t>
  </si>
  <si>
    <t>Nanyang Technological University, Singapore</t>
  </si>
  <si>
    <t>/world-university-rankings/nanyang-technological-university-singapore</t>
  </si>
  <si>
    <t>Nanyang Technological University, Singapore NTU Nan yang</t>
  </si>
  <si>
    <t>General Engineering,Chemistry,Psychology,Electrical &amp; Electronic Engineering,Politics &amp; International Studies (incl Development Studies),Medicine &amp; Dentistry,Biological Sciences,Computer Science,Geology, Environmental, Earth &amp; Marine Sciences,Education,Art, Performing Arts &amp; Design,Sport Science,Sociology,Mechanical &amp; Aerospace Engineering,Communication &amp; Media Studies,Other Health,Mathematics &amp; Statistics,Economics &amp; Econometrics,Languages, Literature &amp; Linguistics,Chemical Engineering,Business &amp; Management,History, Philosophy &amp; Theology,Civil Engineering,Physics &amp; Astronomy,Accounting &amp; Finance</t>
  </si>
  <si>
    <t>Cornell University</t>
  </si>
  <si>
    <t>/world-university-rankings/cornell-university</t>
  </si>
  <si>
    <t>Electrical &amp; Electronic Engineering,History, Philosophy &amp; Theology,Agriculture &amp; Forestry,Chemistry,Biological Sciences,Economics &amp; Econometrics,Business &amp; Management,Civil Engineering,Architecture,Law,Archaeology,Mathematics &amp; Statistics,Psychology,Veterinary Science,Sociology,Mechanical &amp; Aerospace Engineering,Geology, Environmental, Earth &amp; Marine Sciences,Art, Performing Arts &amp; Design,Other Health,General Engineering,Politics &amp; International Studies (incl Development Studies),Computer Science,Languages, Literature &amp; Linguistics,Chemical Engineering,Communication &amp; Media Studies,Physics &amp; Astronomy</t>
  </si>
  <si>
    <t>https://www.timeshighereducation.com/student/register-interest/shorelight?utm_medium=thewebsite&amp;utm_campaign=cta-link&amp;utm_source=rankings&amp;iid=i-48987672</t>
  </si>
  <si>
    <t>The University of Hong Kong</t>
  </si>
  <si>
    <t>HK</t>
  </si>
  <si>
    <t>Hong Kong SAR</t>
  </si>
  <si>
    <t>University of Hong Kong</t>
  </si>
  <si>
    <t>/world-university-rankings/university-hong-kong</t>
  </si>
  <si>
    <t>Hong Kong</t>
  </si>
  <si>
    <t>Law,Economics &amp; Econometrics,Communication &amp; Media Studies,Civil Engineering,Art, Performing Arts &amp; Design,Psychology,Mathematics &amp; Statistics,General Engineering,Politics &amp; International Studies (incl Development Studies),Geography,Architecture,Mechanical &amp; Aerospace Engineering,Accounting &amp; Finance,Chemistry,Agriculture &amp; Forestry,Electrical &amp; Electronic Engineering,History, Philosophy &amp; Theology,Other Health,Biological Sciences,Sociology,Geology, Environmental, Earth &amp; Marine Sciences,Languages, Literature &amp; Linguistics,Computer Science,Education,Business &amp; Management,Medicine &amp; Dentistry,Physics &amp; Astronomy</t>
  </si>
  <si>
    <t>The University of Sydney</t>
  </si>
  <si>
    <t>/world-university-rankings/university-sydney</t>
  </si>
  <si>
    <t>The University of Sydney UniSyd</t>
  </si>
  <si>
    <t>Other Health,Geology, Environmental, Earth &amp; Marine Sciences,Economics &amp; Econometrics,Architecture,Veterinary Science,Business &amp; Management,Art, Performing Arts &amp; Design,Agriculture &amp; Forestry,Law,Computer Science,Mathematics &amp; Statistics,Psychology,Medicine &amp; Dentistry,Mechanical &amp; Aerospace Engineering,Politics &amp; International Studies (incl Development Studies),History, Philosophy &amp; Theology,Civil Engineering,Chemistry,Accounting &amp; Finance,Electrical &amp; Electronic Engineering,Physics &amp; Astronomy,Education,Archaeology,Chemical Engineering,Communication &amp; Media Studies,Languages, Literature &amp; Linguistics,Biological Sciences,Geography,General Engineering,Sport Science,Sociology</t>
  </si>
  <si>
    <t>Tsinghua University</t>
  </si>
  <si>
    <t>/world-university-rankings/tsinghua-university</t>
  </si>
  <si>
    <t>Tsinghua University Qinghua University Tsing hua University Qing hua University</t>
  </si>
  <si>
    <t>Mechanical &amp; Aerospace Engineering,Sociology,Architecture,Civil Engineering,Politics &amp; International Studies (incl Development Studies),Other Health,Chemistry,Accounting &amp; Finance,Archaeology,Physics &amp; Astronomy,Business &amp; Management,Electrical &amp; Electronic Engineering,Geography,Medicine &amp; Dentistry,Chemical Engineering,Psychology,History, Philosophy &amp; Theology,Mathematics &amp; Statistics,Law,Languages, Literature &amp; Linguistics,Biological Sciences,Education,General Engineering,Geology, Environmental, Earth &amp; Marine Sciences,Economics &amp; Econometrics,Art, Performing Arts &amp; Design,Computer Science,Sport Science,Communication &amp; Media Studies</t>
  </si>
  <si>
    <t>University of Chicago</t>
  </si>
  <si>
    <t>The University of Chicago</t>
  </si>
  <si>
    <t>/world-university-rankings/university-chicago</t>
  </si>
  <si>
    <t>Chemistry,Languages, Literature &amp; Linguistics,Biological Sciences,Economics &amp; Econometrics,Medicine &amp; Dentistry,Law,Archaeology,Sociology,Geology, Environmental, Earth &amp; Marine Sciences,Business &amp; Management,Art, Performing Arts &amp; Design,Politics &amp; International Studies (incl Development Studies),Physics &amp; Astronomy,Chemical Engineering,Computer Science,Psychology,History, Philosophy &amp; Theology,Mathematics &amp; Statistics,Accounting &amp; Finance</t>
  </si>
  <si>
    <t>Princeton University</t>
  </si>
  <si>
    <t>/world-university-rankings/princeton-university</t>
  </si>
  <si>
    <t>History, Philosophy &amp; Theology,Agriculture &amp; Forestry,Economics &amp; Econometrics,Languages, Literature &amp; Linguistics,Architecture,Sociology,General Engineering,Geology, Environmental, Earth &amp; Marine Sciences,Other Health,Chemistry,Mechanical &amp; Aerospace Engineering,Physics &amp; Astronomy,Civil Engineering,Mathematics &amp; Statistics,Electrical &amp; Electronic Engineering,Biological Sciences,Computer Science,Politics &amp; International Studies (incl Development Studies),Art, Performing Arts &amp; Design,Chemical Engineering,Psychology</t>
  </si>
  <si>
    <t>https://www.timeshighereducation.com/student/register-interest/shorelight?utm_medium=thewebsite&amp;utm_campaign=cta-link&amp;utm_source=rankings&amp;iid=i-20795402</t>
  </si>
  <si>
    <t>Yale University</t>
  </si>
  <si>
    <t>/world-university-rankings/yale-university</t>
  </si>
  <si>
    <t>Law,Computer Science,Electrical &amp; Electronic Engineering,Chemical Engineering,Economics &amp; Econometrics,Accounting &amp; Finance,Archaeology,Mechanical &amp; Aerospace Engineering,Business &amp; Management,Medicine &amp; Dentistry,Mathematics &amp; Statistics,Art, Performing Arts &amp; Design,Architecture,Sociology,Politics &amp; International Studies (incl Development Studies),Biological Sciences,Agriculture &amp; Forestry,Geology, Environmental, Earth &amp; Marine Sciences,History, Philosophy &amp; Theology,Languages, Literature &amp; Linguistics,General Engineering,Physics &amp; Astronomy,Chemistry,Other Health,Psychology</t>
  </si>
  <si>
    <t>https://www.timeshighereducation.com/student/register-interest/shorelight?utm_medium=thewebsite&amp;utm_campaign=cta-link&amp;utm_source=rankings&amp;iid=i-73583889</t>
  </si>
  <si>
    <t>University of Toronto</t>
  </si>
  <si>
    <t>CA</t>
  </si>
  <si>
    <t>Canada</t>
  </si>
  <si>
    <t>/world-university-rankings/university-toronto</t>
  </si>
  <si>
    <t>Art, Performing Arts &amp; Design,Civil Engineering,Economics &amp; Econometrics,Sport Science,Accounting &amp; Finance,Politics &amp; International Studies (incl Development Studies),Mathematics &amp; Statistics,Geography,Other Health,Computer Science,Psychology,Electrical &amp; Electronic Engineering,History, Philosophy &amp; Theology,General Engineering,Law,Sociology,Languages, Literature &amp; Linguistics,Business &amp; Management,Geology, Environmental, Earth &amp; Marine Sciences,Biological Sciences,Architecture,Mechanical &amp; Aerospace Engineering,Communication &amp; Media Studies,Chemical Engineering,Physics &amp; Astronomy,Medicine &amp; Dentistry,Chemistry,Education,Archaeology,Agriculture &amp; Forestry</t>
  </si>
  <si>
    <t>https://www.timeshighereducation.com/student/register-interest/applyboard?utm_medium=thewebsite&amp;utm_campaign=cta-link&amp;utm_source=rankings&amp;iid=i-67051171</t>
  </si>
  <si>
    <t>The University of Edinburgh</t>
  </si>
  <si>
    <t>University of Edinburgh</t>
  </si>
  <si>
    <t>/world-university-rankings/university-edinburgh</t>
  </si>
  <si>
    <t>Physics &amp; Astronomy,Biological Sciences,Mathematics &amp; Statistics,Sport Science,Other Health,Education,Medicine &amp; Dentistry,Business &amp; Management,Chemical Engineering,Architecture,Economics &amp; Econometrics,Politics &amp; International Studies (incl Development Studies),Sociology,Civil Engineering,Computer Science,General Engineering,Geography,Languages, Literature &amp; Linguistics,Mechanical &amp; Aerospace Engineering,Chemistry,Veterinary Science,Accounting &amp; Finance,Psychology,Geology, Environmental, Earth &amp; Marine Sciences,History, Philosophy &amp; Theology,Law,Art, Performing Arts &amp; Design,Electrical &amp; Electronic Engineering,Archaeology</t>
  </si>
  <si>
    <t>https://www.timeshighereducation.com/student/register-interest/siuk?utm_medium=thewebsite&amp;utm_campaign=cta-link&amp;utm_source=rankings&amp;iid=i-61465682</t>
  </si>
  <si>
    <t>Technical University of Munich</t>
  </si>
  <si>
    <t>DE</t>
  </si>
  <si>
    <t>Germany</t>
  </si>
  <si>
    <t>/world-university-rankings/technical-university-munich</t>
  </si>
  <si>
    <t>37 : 63</t>
  </si>
  <si>
    <t>Electrical &amp; Electronic Engineering,Geology, Environmental, Earth &amp; Marine Sciences,Architecture,Biological Sciences,Business &amp; Management,General Engineering,Mathematics &amp; Statistics,Civil Engineering,Education,Physics &amp; Astronomy,Computer Science,Agriculture &amp; Forestry,Sociology,Chemical Engineering,Accounting &amp; Finance,Mechanical &amp; Aerospace Engineering,Politics &amp; International Studies (incl Development Studies),Medicine &amp; Dentistry,Sport Science,Other Health,Chemistry</t>
  </si>
  <si>
    <t>McGill University</t>
  </si>
  <si>
    <t>/world-university-rankings/mcgill-university</t>
  </si>
  <si>
    <t>Electrical &amp; Electronic Engineering,Communication &amp; Media Studies,Archaeology,Biological Sciences,Geography,Art, Performing Arts &amp; Design,Civil Engineering,Politics &amp; International Studies (incl Development Studies),Accounting &amp; Finance,History, Philosophy &amp; Theology,Sport Science,Law,Computer Science,Mathematics &amp; Statistics,Education,Languages, Literature &amp; Linguistics,General Engineering,Physics &amp; Astronomy,Business &amp; Management,Medicine &amp; Dentistry,Agriculture &amp; Forestry,Sociology,Mechanical &amp; Aerospace Engineering,Geology, Environmental, Earth &amp; Marine Sciences,Other Health,Chemistry,Economics &amp; Econometrics,Architecture,Chemical Engineering,Psychology</t>
  </si>
  <si>
    <t>https://www.timeshighereducation.com/student/register-interest/applyboard?utm_medium=thewebsite&amp;utm_campaign=cta-link&amp;utm_source=rankings&amp;iid=i-09910272</t>
  </si>
  <si>
    <t>The Australian National University</t>
  </si>
  <si>
    <t>Australian National University</t>
  </si>
  <si>
    <t>/world-university-rankings/australian-national-university</t>
  </si>
  <si>
    <t>Australian National University anu</t>
  </si>
  <si>
    <t>Communication &amp; Media Studies,History, Philosophy &amp; Theology,Psychology,Languages, Literature &amp; Linguistics,Computer Science,Biological Sciences,Archaeology,Civil Engineering,Accounting &amp; Finance,Mathematics &amp; Statistics,Sociology,Electrical &amp; Electronic Engineering,Law,Chemistry,Art, Performing Arts &amp; Design,Other Health,Physics &amp; Astronomy,Economics &amp; Econometrics,Mechanical &amp; Aerospace Engineering,Agriculture &amp; Forestry,General Engineering,Politics &amp; International Studies (incl Development Studies),Geography,Medicine &amp; Dentistry,Geology, Environmental, Earth &amp; Marine Sciences,Business &amp; Management</t>
  </si>
  <si>
    <t>https://www.timeshighereducation.com/student/register-interest/aecc?utm_medium=thewebsite&amp;utm_campaign=cta-link&amp;utm_source=rankings&amp;iid=i-78601931</t>
  </si>
  <si>
    <t>Seoul National University</t>
  </si>
  <si>
    <t>KR</t>
  </si>
  <si>
    <t>South Korea</t>
  </si>
  <si>
    <t>/world-university-rankings/seoul-national-university</t>
  </si>
  <si>
    <t>Medicine &amp; Dentistry,Archaeology,Physics &amp; Astronomy,Psychology,Other Health,Geology, Environmental, Earth &amp; Marine Sciences,Sociology,History, Philosophy &amp; Theology,Veterinary Science,Law,General Engineering,Chemical Engineering,Geography,Art, Performing Arts &amp; Design,Agriculture &amp; Forestry,Education,Languages, Literature &amp; Linguistics,Electrical &amp; Electronic Engineering,Sport Science,Accounting &amp; Finance,Architecture,Chemistry,Politics &amp; International Studies (incl Development Studies),Computer Science,Biological Sciences,Business &amp; Management,Civil Engineering,Mechanical &amp; Aerospace Engineering,Communication &amp; Media Studies,Mathematics &amp; Statistics,Economics &amp; Econometrics</t>
  </si>
  <si>
    <t>Johns Hopkins University</t>
  </si>
  <si>
    <t>/world-university-rankings/johns-hopkins-university</t>
  </si>
  <si>
    <t>Civil Engineering,Geology, Environmental, Earth &amp; Marine Sciences,Art, Performing Arts &amp; Design,Computer Science,Physics &amp; Astronomy,Business &amp; Management,Archaeology,Mathematics &amp; Statistics,Sociology,Other Health,Economics &amp; Econometrics,General Engineering,Psychology,Mechanical &amp; Aerospace Engineering,Chemistry,History, Philosophy &amp; Theology,Chemical Engineering,Education,Biological Sciences,Accounting &amp; Finance,Medicine &amp; Dentistry,Languages, Literature &amp; Linguistics,Electrical &amp; Electronic Engineering,Politics &amp; International Studies (incl Development Studies)</t>
  </si>
  <si>
    <t>https://www.timeshighereducation.com/student/register-interest/shorelight?utm_medium=thewebsite&amp;utm_campaign=cta-link&amp;utm_source=rankings&amp;iid=i-44788493</t>
  </si>
  <si>
    <t>The University of Tokyo</t>
  </si>
  <si>
    <t>JP</t>
  </si>
  <si>
    <t>Japan</t>
  </si>
  <si>
    <t>/world-university-rankings/university-tokyo</t>
  </si>
  <si>
    <t>Other Health,Biological Sciences,Geography,Mechanical &amp; Aerospace Engineering,Geology, Environmental, Earth &amp; Marine Sciences,General Engineering,Mathematics &amp; Statistics,Psychology,Architecture,Electrical &amp; Electronic Engineering,Chemistry,Languages, Literature &amp; Linguistics,Veterinary Science,Law,Computer Science,Sport Science,Education,Medicine &amp; Dentistry,Chemical Engineering,Politics &amp; International Studies (incl Development Studies),Economics &amp; Econometrics,Archaeology,Civil Engineering,Sociology,Business &amp; Management,Art, Performing Arts &amp; Design,Agriculture &amp; Forestry,Communication &amp; Media Studies,History, Philosophy &amp; Theology,Physics &amp; Astronomy,Accounting &amp; Finance</t>
  </si>
  <si>
    <t>Columbia University</t>
  </si>
  <si>
    <t>/world-university-rankings/columbia-university</t>
  </si>
  <si>
    <t>Accounting &amp; Finance,Chemical Engineering,Psychology,Computer Science,Sport Science,Architecture,Medicine &amp; Dentistry,Physics &amp; Astronomy,Economics &amp; Econometrics,Civil Engineering,Art, Performing Arts &amp; Design,Chemistry,Biological Sciences,General Engineering,Languages, Literature &amp; Linguistics,Politics &amp; International Studies (incl Development Studies),Archaeology,Sociology,Law,Electrical &amp; Electronic Engineering,Communication &amp; Media Studies,Business &amp; Management,Other Health,Mathematics &amp; Statistics,Agriculture &amp; Forestry,Mechanical &amp; Aerospace Engineering,History, Philosophy &amp; Theology,Geology, Environmental, Earth &amp; Marine Sciences</t>
  </si>
  <si>
    <t>https://www.timeshighereducation.com/student/register-interest/shorelight?utm_medium=thewebsite&amp;utm_campaign=cta-link&amp;utm_source=rankings&amp;iid=i-62830784</t>
  </si>
  <si>
    <t>The University of Manchester</t>
  </si>
  <si>
    <t>University of Manchester</t>
  </si>
  <si>
    <t>/world-university-rankings/university-manchester</t>
  </si>
  <si>
    <t>Architecture,Mechanical &amp; Aerospace Engineering,Economics &amp; Econometrics,Other Health,Civil Engineering,Computer Science,Chemistry,Business &amp; Management,Art, Performing Arts &amp; Design,Biological Sciences,Geography,History, Philosophy &amp; Theology,Geology, Environmental, Earth &amp; Marine Sciences,Education,Medicine &amp; Dentistry,Electrical &amp; Electronic Engineering,Politics &amp; International Studies (incl Development Studies),Accounting &amp; Finance,General Engineering,Mathematics &amp; Statistics,Sociology,Languages, Literature &amp; Linguistics,Physics &amp; Astronomy,Psychology,Chemical Engineering,Archaeology,Communication &amp; Media Studies,Law</t>
  </si>
  <si>
    <t>https://www.timeshighereducation.com/student/register-interest/siuk?utm_medium=thewebsite&amp;utm_campaign=cta-link&amp;utm_source=rankings&amp;iid=i-29944014</t>
  </si>
  <si>
    <t>Monash University</t>
  </si>
  <si>
    <t>/world-university-rankings/monash-university</t>
  </si>
  <si>
    <t>Electrical &amp; Electronic Engineering,Mathematics &amp; Statistics,Economics &amp; Econometrics,General Engineering,Chemistry,Psychology,Medicine &amp; Dentistry,Agriculture &amp; Forestry,Geology, Environmental, Earth &amp; Marine Sciences,Business &amp; Management,Architecture,Veterinary Science,Law,Languages, Literature &amp; Linguistics,Civil Engineering,Politics &amp; International Studies (incl Development Studies),History, Philosophy &amp; Theology,Chemical Engineering,Communication &amp; Media Studies,Other Health,Physics &amp; Astronomy,Accounting &amp; Finance,Mechanical &amp; Aerospace Engineering,Sociology,Archaeology,Biological Sciences,Education,Art, Performing Arts &amp; Design,Computer Science,Sport Science,Geography</t>
  </si>
  <si>
    <t>https://www.timeshighereducation.com/student/register-interest/aecc?utm_medium=thewebsite&amp;utm_campaign=cta-link&amp;utm_source=rankings&amp;iid=i-45738353</t>
  </si>
  <si>
    <t>University of British Columbia</t>
  </si>
  <si>
    <t>/world-university-rankings/university-british-columbia</t>
  </si>
  <si>
    <t>Business &amp; Management,Economics &amp; Econometrics,Geography,Education,Civil Engineering,Archaeology,Geology, Environmental, Earth &amp; Marine Sciences,Computer Science,Communication &amp; Media Studies,Art, Performing Arts &amp; Design,Chemistry,Physics &amp; Astronomy,Psychology,Mechanical &amp; Aerospace Engineering,Accounting &amp; Finance,Other Health,Agriculture &amp; Forestry,History, Philosophy &amp; Theology,Politics &amp; International Studies (incl Development Studies),Biological Sciences,Languages, Literature &amp; Linguistics,Sociology,Chemical Engineering,Electrical &amp; Electronic Engineering,Law,Mathematics &amp; Statistics,Sport Science,General Engineering,Architecture,Medicine &amp; Dentistry</t>
  </si>
  <si>
    <t>https://www.timeshighereducation.com/student/register-interest/applyboard?utm_medium=thewebsite&amp;utm_campaign=cta-link&amp;utm_source=rankings&amp;iid=i-91511981</t>
  </si>
  <si>
    <t>Fudan University</t>
  </si>
  <si>
    <t>/world-university-rankings/fudan-university</t>
  </si>
  <si>
    <t>Archaeology,Other Health,Physics &amp; Astronomy,Economics &amp; Econometrics,General Engineering,Law,Chemical Engineering,Electrical &amp; Electronic Engineering,Chemistry,Accounting &amp; Finance,Mathematics &amp; Statistics,Business &amp; Management,History, Philosophy &amp; Theology,Communication &amp; Media Studies,Mechanical &amp; Aerospace Engineering,Education,Languages, Literature &amp; Linguistics,Biological Sciences,Psychology,Computer Science,Sociology,Medicine &amp; Dentistry,Geology, Environmental, Earth &amp; Marine Sciences,Politics &amp; International Studies (incl Development Studies)</t>
  </si>
  <si>
    <t>King's College London</t>
  </si>
  <si>
    <t>Kingâ€™s College London</t>
  </si>
  <si>
    <t>/world-university-rankings/kings-college-london</t>
  </si>
  <si>
    <t>Medicine &amp; Dentistry,Geology, Environmental, Earth &amp; Marine Sciences,Education,Art, Performing Arts &amp; Design,Physics &amp; Astronomy,Business &amp; Management,Mathematics &amp; Statistics,Psychology,History, Philosophy &amp; Theology,Electrical &amp; Electronic Engineering,Sociology,Archaeology,General Engineering,Economics &amp; Econometrics,Other Health,Chemistry,Law,Mechanical &amp; Aerospace Engineering,Politics &amp; International Studies (incl Development Studies),Sport Science,Geography,Languages, Literature &amp; Linguistics,Biological Sciences,Accounting &amp; Finance,Computer Science,Communication &amp; Media Studies</t>
  </si>
  <si>
    <t>The University of Queensland</t>
  </si>
  <si>
    <t>/world-university-rankings/university-queensland</t>
  </si>
  <si>
    <t>The University of Queensland UQ UOQ</t>
  </si>
  <si>
    <t>Art, Performing Arts &amp; Design,Chemical Engineering,Politics &amp; International Studies (incl Development Studies),Other Health,Physics &amp; Astronomy,Law,Architecture,Mechanical &amp; Aerospace Engineering,Communication &amp; Media Studies,Languages, Literature &amp; Linguistics,Civil Engineering,Chemistry,Economics &amp; Econometrics,Medicine &amp; Dentistry,Agriculture &amp; Forestry,Education,General Engineering,Mathematics &amp; Statistics,Psychology,Electrical &amp; Electronic Engineering,Biological Sciences,Sociology,History, Philosophy &amp; Theology,Sport Science,Business &amp; Management,Archaeology,Geology, Environmental, Earth &amp; Marine Sciences,Accounting &amp; Finance,Computer Science,Veterinary Science,Geography</t>
  </si>
  <si>
    <t>University of Michigan-Ann Arbor</t>
  </si>
  <si>
    <t>public</t>
  </si>
  <si>
    <t>/world-university-rankings/university-michigan-ann-arbor</t>
  </si>
  <si>
    <t>Chemical Engineering,Accounting &amp; Finance,Archaeology,Economics &amp; Econometrics,Sociology,Psychology,Mathematics &amp; Statistics,Physics &amp; Astronomy,Politics &amp; International Studies (incl Development Studies),Sport Science,Biological Sciences,Agriculture &amp; Forestry,Civil Engineering,Electrical &amp; Electronic Engineering,History, Philosophy &amp; Theology,General Engineering,Business &amp; Management,Education,Mechanical &amp; Aerospace Engineering,Languages, Literature &amp; Linguistics,Geology, Environmental, Earth &amp; Marine Sciences,Computer Science,Architecture,Chemistry,Medicine &amp; Dentistry,Other Health,Art, Performing Arts &amp; Design,Communication &amp; Media Studies,Law</t>
  </si>
  <si>
    <t>https://www.timeshighereducation.com/student/register-interest/shorelight?utm_medium=thewebsite&amp;utm_campaign=cta-link&amp;utm_source=rankings&amp;iid=i-98611775</t>
  </si>
  <si>
    <t>Shanghai Jiao Tong University</t>
  </si>
  <si>
    <t>/world-university-rankings/shanghai-jiao-tong-university</t>
  </si>
  <si>
    <t>Shanghai Jiao Tong University SJTU</t>
  </si>
  <si>
    <t>Other Health,Medicine &amp; Dentistry,Education,Business &amp; Management,Mechanical &amp; Aerospace Engineering,Languages, Literature &amp; Linguistics,Chemistry,Biological Sciences,Psychology,History, Philosophy &amp; Theology,Sociology,Communication &amp; Media Studies,Politics &amp; International Studies (incl Development Studies),Electrical &amp; Electronic Engineering,Mathematics &amp; Statistics,Law,Veterinary Science,Geology, Environmental, Earth &amp; Marine Sciences,Civil Engineering,Art, Performing Arts &amp; Design,Agriculture &amp; Forestry,Computer Science,Economics &amp; Econometrics,Chemical Engineering,Accounting &amp; Finance,Sport Science,Architecture,General Engineering,Physics &amp; Astronomy</t>
  </si>
  <si>
    <t>Institut Polytechnique de Paris</t>
  </si>
  <si>
    <t>FR</t>
  </si>
  <si>
    <t>France</t>
  </si>
  <si>
    <t>/world-university-rankings/institut-polytechnique-de-paris</t>
  </si>
  <si>
    <t>25 : 75</t>
  </si>
  <si>
    <t>Art, Performing Arts &amp; Design,General Engineering,Mathematics &amp; Statistics,History, Philosophy &amp; Theology,Geology, Environmental, Earth &amp; Marine Sciences,Civil Engineering,Education,Languages, Literature &amp; Linguistics,Communication &amp; Media Studies,Medicine &amp; Dentistry,Other Health,Physics &amp; Astronomy,Chemical Engineering,Economics &amp; Econometrics,Mechanical &amp; Aerospace Engineering,Accounting &amp; Finance,Electrical &amp; Electronic Engineering,Politics &amp; International Studies (incl Development Studies),Sociology,Computer Science,Biological Sciences,Business &amp; Management,Chemistry</t>
  </si>
  <si>
    <t>The Hong Kong University of Science and Technology</t>
  </si>
  <si>
    <t>/world-university-rankings/hong-kong-university-science-and-technology</t>
  </si>
  <si>
    <t>The Hong Kong University of Science and Technology hkust</t>
  </si>
  <si>
    <t>Mathematics &amp; Statistics,Electrical &amp; Electronic Engineering,Business &amp; Management,Mechanical &amp; Aerospace Engineering,Accounting &amp; Finance,Civil Engineering,Physics &amp; Astronomy,Geology, Environmental, Earth &amp; Marine Sciences,Computer Science,Biological Sciences,Other Health,Chemical Engineering,Economics &amp; Econometrics,General Engineering,Sociology,Chemistry</t>
  </si>
  <si>
    <t>Zhejiang University</t>
  </si>
  <si>
    <t>/world-university-rankings/zhejiang-university</t>
  </si>
  <si>
    <t>Zhejiang University ZJU Zhejiang University China research</t>
  </si>
  <si>
    <t>Other Health,Physics &amp; Astronomy,Business &amp; Management,Architecture,Veterinary Science,Law,History, Philosophy &amp; Theology,Biological Sciences,Education,Languages, Literature &amp; Linguistics,Mechanical &amp; Aerospace Engineering,Sport Science,Geography,General Engineering,Chemistry,Accounting &amp; Finance,Medicine &amp; Dentistry,Agriculture &amp; Forestry,Sociology,Art, Performing Arts &amp; Design,Electrical &amp; Electronic Engineering,Mathematics &amp; Statistics,Psychology,Computer Science,Geology, Environmental, Earth &amp; Marine Sciences,Economics &amp; Econometrics,Civil Engineering,Communication &amp; Media Studies,Archaeology,Chemical Engineering,Politics &amp; International Studies (incl Development Studies)</t>
  </si>
  <si>
    <t>Delft University of Technology</t>
  </si>
  <si>
    <t>NL</t>
  </si>
  <si>
    <t>Netherlands</t>
  </si>
  <si>
    <t>/world-university-rankings/delft-university-technology</t>
  </si>
  <si>
    <t>31 : 69</t>
  </si>
  <si>
    <t>Mechanical &amp; Aerospace Engineering,Education,Electrical &amp; Electronic Engineering,Chemistry,Art, Performing Arts &amp; Design,Chemical Engineering,Politics &amp; International Studies (incl Development Studies),Computer Science,Physics &amp; Astronomy,General Engineering,Mathematics &amp; Statistics,Economics &amp; Econometrics,Civil Engineering,Geology, Environmental, Earth &amp; Marine Sciences,Agriculture &amp; Forestry,Business &amp; Management,Other Health,Sport Science,Architecture,Communication &amp; Media Studies,History, Philosophy &amp; Theology,Biological Sciences,Geography</t>
  </si>
  <si>
    <t>Kyoto University</t>
  </si>
  <si>
    <t>/world-university-rankings/kyoto-university</t>
  </si>
  <si>
    <t>Mathematics &amp; Statistics,Education,Economics &amp; Econometrics,Mechanical &amp; Aerospace Engineering,Psychology,Computer Science,Biological Sciences,History, Philosophy &amp; Theology,Law,Electrical &amp; Electronic Engineering,Architecture,Civil Engineering,Languages, Literature &amp; Linguistics,Art, Performing Arts &amp; Design,Politics &amp; International Studies (incl Development Studies),Medicine &amp; Dentistry,Accounting &amp; Finance,Agriculture &amp; Forestry,Geography,Other Health,Physics &amp; Astronomy,Chemistry,Geology, Environmental, Earth &amp; Marine Sciences,Archaeology,Chemical Engineering,Sociology,Sport Science,General Engineering,Business &amp; Management,Communication &amp; Media Studies</t>
  </si>
  <si>
    <t>Northwestern University</t>
  </si>
  <si>
    <t>/world-university-rankings/northwestern-university</t>
  </si>
  <si>
    <t>Civil Engineering,Medicine &amp; Dentistry,Sport Science,Law,Economics &amp; Econometrics,Archaeology,Mechanical &amp; Aerospace Engineering,Geology, Environmental, Earth &amp; Marine Sciences,Other Health,Communication &amp; Media Studies,History, Philosophy &amp; Theology,Mathematics &amp; Statistics,Business &amp; Management,Architecture,Biological Sciences,Geography,Languages, Literature &amp; Linguistics,Chemical Engineering,Psychology,Computer Science,Chemistry,Accounting &amp; Finance,General Engineering,Physics &amp; Astronomy,Education,Art, Performing Arts &amp; Design,Electrical &amp; Electronic Engineering,Sociology,Politics &amp; International Studies (incl Development Studies)</t>
  </si>
  <si>
    <t>https://www.timeshighereducation.com/student/register-interest/shorelight?utm_medium=thewebsite&amp;utm_campaign=cta-link&amp;utm_source=rankings&amp;iid=i-44947751</t>
  </si>
  <si>
    <t>The London School of Economics and Political Science (LSE)</t>
  </si>
  <si>
    <t>London School of Economics and Political Science</t>
  </si>
  <si>
    <t>/world-university-rankings/london-school-economics-and-political-science</t>
  </si>
  <si>
    <t>History, Philosophy &amp; Theology,Politics &amp; International Studies (incl Development Studies),Geography,Economics &amp; Econometrics,Accounting &amp; Finance,Languages, Literature &amp; Linguistics,Law,Sociology,Geology, Environmental, Earth &amp; Marine Sciences,Psychology,Business &amp; Management,Mathematics &amp; Statistics,Communication &amp; Media Studies</t>
  </si>
  <si>
    <t>https://www.timeshighereducation.com/student/register-interest/siuk?utm_medium=thewebsite&amp;utm_campaign=cta-link&amp;utm_source=rankings&amp;iid=i-89868061</t>
  </si>
  <si>
    <t>University of Bristol</t>
  </si>
  <si>
    <t>/world-university-rankings/university-bristol</t>
  </si>
  <si>
    <t>Archaeology,Veterinary Science,Accounting &amp; Finance,Civil Engineering,Geography,Other Health,Mathematics &amp; Statistics,Mechanical &amp; Aerospace Engineering,Politics &amp; International Studies (incl Development Studies),Medicine &amp; Dentistry,Chemistry,Law,Computer Science,Geology, Environmental, Earth &amp; Marine Sciences,Economics &amp; Econometrics,Languages, Literature &amp; Linguistics,General Engineering,Education,Electrical &amp; Electronic Engineering,Sociology,Business &amp; Management,Art, Performing Arts &amp; Design,Biological Sciences,Psychology,History, Philosophy &amp; Theology,Physics &amp; Astronomy</t>
  </si>
  <si>
    <t>University of Amsterdam</t>
  </si>
  <si>
    <t>/world-university-rankings/university-amsterdam</t>
  </si>
  <si>
    <t>University of Amsterdam uva</t>
  </si>
  <si>
    <t>Computer Science,Other Health,History, Philosophy &amp; Theology,Art, Performing Arts &amp; Design,Politics &amp; International Studies (incl Development Studies),Geology, Environmental, Earth &amp; Marine Sciences,Psychology,Communication &amp; Media Studies,Economics &amp; Econometrics,Law,Biological Sciences,Sociology,Languages, Literature &amp; Linguistics,Education,Geography,Mathematics &amp; Statistics,Business &amp; Management,Physics &amp; Astronomy,Chemistry,Archaeology,Accounting &amp; Finance,Medicine &amp; Dentistry</t>
  </si>
  <si>
    <t>The Hong Kong Polytechnic University</t>
  </si>
  <si>
    <t>Hong Kong Polytechnic University</t>
  </si>
  <si>
    <t>/world-university-rankings/hong-kong-polytechnic-university</t>
  </si>
  <si>
    <t>Hong Kong Polytechnic University PolyU Poly U HK PolyU</t>
  </si>
  <si>
    <t>Physics &amp; Astronomy,Biological Sciences,Business &amp; Management,Languages, Literature &amp; Linguistics,Art, Performing Arts &amp; Design,Sociology,Civil Engineering,Geology, Environmental, Earth &amp; Marine Sciences,Economics &amp; Econometrics,Communication &amp; Media Studies,Chemistry,Electrical &amp; Electronic Engineering,Computer Science,Accounting &amp; Finance,Psychology,Chemical Engineering,Mechanical &amp; Aerospace Engineering,History, Philosophy &amp; Theology,Other Health,General Engineering,Mathematics &amp; Statistics</t>
  </si>
  <si>
    <t>Carnegie Mellon University</t>
  </si>
  <si>
    <t>/world-university-rankings/carnegie-mellon-university</t>
  </si>
  <si>
    <t>Art, Performing Arts &amp; Design,Civil Engineering,Economics &amp; Econometrics,Biological Sciences,Languages, Literature &amp; Linguistics,Chemistry,Electrical &amp; Electronic Engineering,Communication &amp; Media Studies,Architecture,Chemical Engineering,Computer Science,Psychology,Mechanical &amp; Aerospace Engineering,Business &amp; Management,Politics &amp; International Studies (incl Development Studies),Accounting &amp; Finance,Mathematics &amp; Statistics,History, Philosophy &amp; Theology,Physics &amp; Astronomy</t>
  </si>
  <si>
    <t>https://www.timeshighereducation.com/student/register-interest/shorelight?utm_medium=thewebsite&amp;utm_campaign=cta-link&amp;utm_source=rankings&amp;iid=i-14763812</t>
  </si>
  <si>
    <t>Duke University</t>
  </si>
  <si>
    <t>/world-university-rankings/duke-university</t>
  </si>
  <si>
    <t>Mechanical &amp; Aerospace Engineering,Agriculture &amp; Forestry,Psychology,History, Philosophy &amp; Theology,Mathematics &amp; Statistics,Accounting &amp; Finance,Art, Performing Arts &amp; Design,Electrical &amp; Electronic Engineering,Sociology,Civil Engineering,Physics &amp; Astronomy,Economics &amp; Econometrics,General Engineering,Geology, Environmental, Earth &amp; Marine Sciences,Other Health,Law,Computer Science,Chemistry,Languages, Literature &amp; Linguistics,Biological Sciences,Business &amp; Management,Medicine &amp; Dentistry,Politics &amp; International Studies (incl Development Studies),Communication &amp; Media Studies</t>
  </si>
  <si>
    <t>https://www.timeshighereducation.com/student/register-interest/shorelight?utm_medium=thewebsite&amp;utm_campaign=cta-link&amp;utm_source=rankings&amp;iid=i-10310643</t>
  </si>
  <si>
    <t>City University of Hong Kong</t>
  </si>
  <si>
    <t>/world-university-rankings/city-university-hong-kong</t>
  </si>
  <si>
    <t>City University of Hong Kong CityU HK</t>
  </si>
  <si>
    <t>Law,Art, Performing Arts &amp; Design,Electrical &amp; Electronic Engineering,Architecture,Accounting &amp; Finance,Chemistry,Languages, Literature &amp; Linguistics,History, Philosophy &amp; Theology,Chemical Engineering,Physics &amp; Astronomy,Business &amp; Management,Economics &amp; Econometrics,Veterinary Science,Sociology,Mechanical &amp; Aerospace Engineering,Civil Engineering,General Engineering,Geology, Environmental, Earth &amp; Marine Sciences,Biological Sciences,Politics &amp; International Studies (incl Development Studies),Mathematics &amp; Statistics,Computer Science,Psychology,Communication &amp; Media Studies</t>
  </si>
  <si>
    <t>KU Leuven</t>
  </si>
  <si>
    <t>BE</t>
  </si>
  <si>
    <t>Belgium</t>
  </si>
  <si>
    <t>/world-university-rankings/ku-leuven</t>
  </si>
  <si>
    <t>Other Health,Chemistry,Accounting &amp; Finance,Architecture,Agriculture &amp; Forestry,Geography,Electrical &amp; Electronic Engineering,Communication &amp; Media Studies,Languages, Literature &amp; Linguistics,Sport Science,Psychology,History, Philosophy &amp; Theology,Mechanical &amp; Aerospace Engineering,Mathematics &amp; Statistics,Business &amp; Management,General Engineering,Politics &amp; International Studies (incl Development Studies),Economics &amp; Econometrics,Medicine &amp; Dentistry,Physics &amp; Astronomy,Law,Computer Science,Chemical Engineering,Sociology,Art, Performing Arts &amp; Design,Civil Engineering,Geology, Environmental, Earth &amp; Marine Sciences,Archaeology,Biological Sciences,Education</t>
  </si>
  <si>
    <t>Sorbonne University</t>
  </si>
  <si>
    <t>/world-university-rankings/sorbonne-university</t>
  </si>
  <si>
    <t>Biological Sciences,General Engineering,Mathematics &amp; Statistics,History, Philosophy &amp; Theology,Civil Engineering,Geography,Other Health,Mechanical &amp; Aerospace Engineering,Sociology,Education,Geology, Environmental, Earth &amp; Marine Sciences,Computer Science,Chemical Engineering,Business &amp; Management,Languages, Literature &amp; Linguistics,Electrical &amp; Electronic Engineering,Archaeology,Chemistry,Communication &amp; Media Studies,Medicine &amp; Dentistry,Physics &amp; Astronomy</t>
  </si>
  <si>
    <t>The University of Auckland</t>
  </si>
  <si>
    <t>NZ</t>
  </si>
  <si>
    <t>New Zealand</t>
  </si>
  <si>
    <t>University of Auckland</t>
  </si>
  <si>
    <t>/world-university-rankings/university-auckland</t>
  </si>
  <si>
    <t>University of Auckland UOA Auckland University</t>
  </si>
  <si>
    <t>Psychology,Civil Engineering,Mathematics &amp; Statistics,Politics &amp; International Studies (incl Development Studies),Electrical &amp; Electronic Engineering,Communication &amp; Media Studies,Mechanical &amp; Aerospace Engineering,History, Philosophy &amp; Theology,Chemical Engineering,Economics &amp; Econometrics,Law,Medicine &amp; Dentistry,Biological Sciences,Archaeology,Sociology,Languages, Literature &amp; Linguistics,Architecture,Geography,Sport Science,Physics &amp; Astronomy,Accounting &amp; Finance,General Engineering,Other Health,Art, Performing Arts &amp; Design,Education,Business &amp; Management,Chemistry,Computer Science,Geology, Environmental, Earth &amp; Marine Sciences</t>
  </si>
  <si>
    <t>University of Texas at Austin</t>
  </si>
  <si>
    <t>/world-university-rankings/university-texas-austin</t>
  </si>
  <si>
    <t>General Engineering,Law,Archaeology,Biological Sciences,Geology, Environmental, Earth &amp; Marine Sciences,Other Health,Mathematics &amp; Statistics,Psychology,History, Philosophy &amp; Theology,Mechanical &amp; Aerospace Engineering,Chemistry,Languages, Literature &amp; Linguistics,Chemical Engineering,Education,Art, Performing Arts &amp; Design,Computer Science,Geography,Medicine &amp; Dentistry,Physics &amp; Astronomy,Business &amp; Management,Architecture,Sport Science,Sociology,Civil Engineering,Communication &amp; Media Studies,Accounting &amp; Finance,Electrical &amp; Electronic Engineering,Politics &amp; International Studies (incl Development Studies),Economics &amp; Econometrics</t>
  </si>
  <si>
    <t>https://www.timeshighereducation.com/student/register-interest/shorelight?utm_medium=thewebsite&amp;utm_campaign=cta-link&amp;utm_source=rankings&amp;iid=i-33268802</t>
  </si>
  <si>
    <t>Korea University</t>
  </si>
  <si>
    <t>201â€“250</t>
  </si>
  <si>
    <t>55.9â€“58.6</t>
  </si>
  <si>
    <t>/world-university-rankings/korea-university</t>
  </si>
  <si>
    <t>Electrical &amp; Electronic Engineering,Politics &amp; International Studies (incl Development Studies),Art, Performing Arts &amp; Design,Economics &amp; Econometrics,General Engineering,Civil Engineering,Computer Science,Mathematics &amp; Statistics,Other Health,Geography,Sociology,Chemistry,Geology, Environmental, Earth &amp; Marine Sciences,Accounting &amp; Finance,Medicine &amp; Dentistry,History, Philosophy &amp; Theology,Chemical Engineering,Business &amp; Management,Physics &amp; Astronomy,Education,Communication &amp; Media Studies,Biological Sciences,Languages, Literature &amp; Linguistics,Law,Architecture,Agriculture &amp; Forestry,Mechanical &amp; Aerospace Engineering,Archaeology,Psychology</t>
  </si>
  <si>
    <t>National Taiwan University (NTU)</t>
  </si>
  <si>
    <t>TW</t>
  </si>
  <si>
    <t>Taiwan</t>
  </si>
  <si>
    <t>/world-university-rankings/national-taiwan-university-ntu</t>
  </si>
  <si>
    <t>Architecture,Mechanical &amp; Aerospace Engineering,Chemistry,Archaeology,Chemical Engineering,Communication &amp; Media Studies,Computer Science,Physics &amp; Astronomy,Accounting &amp; Finance,Languages, Literature &amp; Linguistics,Electrical &amp; Electronic Engineering,Geology, Environmental, Earth &amp; Marine Sciences,Economics &amp; Econometrics,Other Health,Agriculture &amp; Forestry,Sociology,Art, Performing Arts &amp; Design,Mathematics &amp; Statistics,Politics &amp; International Studies (incl Development Studies),History, Philosophy &amp; Theology,Veterinary Science,Business &amp; Management,General Engineering,Sport Science,Geography,Medicine &amp; Dentistry,Civil Engineering,Law,Biological Sciences,Psychology</t>
  </si>
  <si>
    <t>The University of Warwick</t>
  </si>
  <si>
    <t>University of Warwick</t>
  </si>
  <si>
    <t>/world-university-rankings/university-warwick</t>
  </si>
  <si>
    <t>Computer Science,Politics &amp; International Studies (incl Development Studies),General Engineering,Chemistry,History, Philosophy &amp; Theology,Education,Medicine &amp; Dentistry,Communication &amp; Media Studies,Economics &amp; Econometrics,Mechanical &amp; Aerospace Engineering,Mathematics &amp; Statistics,Psychology,Civil Engineering,Geography,Electrical &amp; Electronic Engineering,Physics &amp; Astronomy,Languages, Literature &amp; Linguistics,Biological Sciences,Business &amp; Management,Other Health,Sociology,Accounting &amp; Finance,Art, Performing Arts &amp; Design,Law</t>
  </si>
  <si>
    <t>https://www.timeshighereducation.com/student/register-interest/siuk?utm_medium=thewebsite&amp;utm_campaign=cta-link&amp;utm_source=rankings&amp;iid=i-26364423</t>
  </si>
  <si>
    <t>University of Illinois at Urbana-Champaign</t>
  </si>
  <si>
    <t>/world-university-rankings/university-illinois-urbana-champaign</t>
  </si>
  <si>
    <t>Computer Science,Mathematics &amp; Statistics,Education,Architecture,Chemical Engineering,Geology, Environmental, Earth &amp; Marine Sciences,Economics &amp; Econometrics,Electrical &amp; Electronic Engineering,Physics &amp; Astronomy,Accounting &amp; Finance,Languages, Literature &amp; Linguistics,Biological Sciences,Psychology,General Engineering,Chemistry,Business &amp; Management,Art, Performing Arts &amp; Design,Civil Engineering,Politics &amp; International Studies (incl Development Studies),Archaeology,Veterinary Science,Law,Medicine &amp; Dentistry,Sport Science,Sociology,History, Philosophy &amp; Theology,Mechanical &amp; Aerospace Engineering,Communication &amp; Media Studies,Other Health,Agriculture &amp; Forestry,Geography</t>
  </si>
  <si>
    <t>https://www.timeshighereducation.com/student/register-interest/shorelight?utm_medium=thewebsite&amp;utm_campaign=cta-link&amp;utm_source=rankings&amp;iid=i-24020534</t>
  </si>
  <si>
    <t>UniversitÃ© Paris-Saclay</t>
  </si>
  <si>
    <t>/world-university-rankings/universite-paris-saclay</t>
  </si>
  <si>
    <t>Chemical Engineering,Accounting &amp; Finance,Biological Sciences,Business &amp; Management,Languages, Literature &amp; Linguistics,Electrical &amp; Electronic Engineering,Chemistry,Economics &amp; Econometrics,Art, Performing Arts &amp; Design,Mechanical &amp; Aerospace Engineering,Politics &amp; International Studies (incl Development Studies),Medicine &amp; Dentistry,Mathematics &amp; Statistics,Sociology,Other Health,Physics &amp; Astronomy,Computer Science,Sport Science,Law,Architecture,Agriculture &amp; Forestry,Education,General Engineering,Communication &amp; Media Studies,History, Philosophy &amp; Theology,Civil Engineering,Geology, Environmental, Earth &amp; Marine Sciences</t>
  </si>
  <si>
    <t xml:space="preserve">KTH Royal Institute of Technology </t>
  </si>
  <si>
    <t>SE</t>
  </si>
  <si>
    <t>Sweden</t>
  </si>
  <si>
    <t>KTH Royal Institute of Technology</t>
  </si>
  <si>
    <t>/world-university-rankings/kth-royal-institute-technology</t>
  </si>
  <si>
    <t>34 : 66</t>
  </si>
  <si>
    <t>Chemical Engineering,General Engineering,Economics &amp; Econometrics,Mathematics &amp; Statistics,Architecture,Physics &amp; Astronomy,Geology, Environmental, Earth &amp; Marine Sciences,Education,Computer Science,Mechanical &amp; Aerospace Engineering,Biological Sciences,Chemistry,Civil Engineering,Business &amp; Management,Electrical &amp; Electronic Engineering</t>
  </si>
  <si>
    <t>Lund University</t>
  </si>
  <si>
    <t>/world-university-rankings/lund-university</t>
  </si>
  <si>
    <t>Sociology,Computer Science,Physics &amp; Astronomy,Business &amp; Management,Geology, Environmental, Earth &amp; Marine Sciences,Economics &amp; Econometrics,General Engineering,Chemistry,Accounting &amp; Finance,Art, Performing Arts &amp; Design,Electrical &amp; Electronic Engineering,Communication &amp; Media Studies,Architecture,Medicine &amp; Dentistry,Biological Sciences,Education,Chemical Engineering,Geography,Archaeology,Agriculture &amp; Forestry,Law,History, Philosophy &amp; Theology,Civil Engineering,Other Health,Mathematics &amp; Statistics,Psychology,Languages, Literature &amp; Linguistics,Mechanical &amp; Aerospace Engineering,Politics &amp; International Studies (incl Development Studies)</t>
  </si>
  <si>
    <t>University of Washington</t>
  </si>
  <si>
    <t>/world-university-rankings/university-washington</t>
  </si>
  <si>
    <t>Languages, Literature &amp; Linguistics,Economics &amp; Econometrics,Architecture,Art, Performing Arts &amp; Design,Psychology,Mathematics &amp; Statistics,General Engineering,Civil Engineering,History, Philosophy &amp; Theology,Archaeology,Chemical Engineering,Education,Other Health,Law,Medicine &amp; Dentistry,Mechanical &amp; Aerospace Engineering,Sociology,Agriculture &amp; Forestry,Chemistry,Geography,Accounting &amp; Finance,Veterinary Science,Business &amp; Management,Computer Science,Physics &amp; Astronomy,Communication &amp; Media Studies,Politics &amp; International Studies (incl Development Studies),Geology, Environmental, Earth &amp; Marine Sciences,Biological Sciences,Electrical &amp; Electronic Engineering</t>
  </si>
  <si>
    <t>https://www.timeshighereducation.com/student/register-interest/shorelight?utm_medium=thewebsite&amp;utm_campaign=cta-link&amp;utm_source=rankings&amp;iid=i-79008396</t>
  </si>
  <si>
    <t>The University of Western Australia</t>
  </si>
  <si>
    <t>/world-university-rankings/university-western-australia</t>
  </si>
  <si>
    <t>Physics &amp; Astronomy,Electrical &amp; Electronic Engineering,Civil Engineering,Politics &amp; International Studies (incl Development Studies),Economics &amp; Econometrics,Psychology,Veterinary Science,Biological Sciences,Sociology,Archaeology,Architecture,Sport Science,Chemical Engineering,History, Philosophy &amp; Theology,Languages, Literature &amp; Linguistics,Geography,Medicine &amp; Dentistry,Chemistry,Mathematics &amp; Statistics,Art, Performing Arts &amp; Design,Business &amp; Management,Law,Accounting &amp; Finance,General Engineering,Geology, Environmental, Earth &amp; Marine Sciences,Mechanical &amp; Aerospace Engineering,Other Health,Computer Science,Communication &amp; Media Studies,Agriculture &amp; Forestry,Education</t>
  </si>
  <si>
    <t>https://www.timeshighereducation.com/student/register-interest/aecc?utm_medium=thewebsite&amp;utm_campaign=cta-link&amp;utm_source=rankings&amp;iid=i-74036713</t>
  </si>
  <si>
    <t>University of Glasgow</t>
  </si>
  <si>
    <t>/world-university-rankings/university-glasgow</t>
  </si>
  <si>
    <t>Architecture,Veterinary Science,Law,History, Philosophy &amp; Theology,Civil Engineering,Sociology,Languages, Literature &amp; Linguistics,Biological Sciences,Communication &amp; Media Studies,Economics &amp; Econometrics,Electrical &amp; Electronic Engineering,Chemistry,Accounting &amp; Finance,Archaeology,Sport Science,Geography,Computer Science,Mathematics &amp; Statistics,Business &amp; Management,Mechanical &amp; Aerospace Engineering,Politics &amp; International Studies (incl Development Studies),Art, Performing Arts &amp; Design,Other Health,Geology, Environmental, Earth &amp; Marine Sciences,General Engineering,Physics &amp; Astronomy,Education,Medicine &amp; Dentistry,Agriculture &amp; Forestry,Psychology</t>
  </si>
  <si>
    <t>Brown University</t>
  </si>
  <si>
    <t>/world-university-rankings/brown-university</t>
  </si>
  <si>
    <t>General Engineering,Communication &amp; Media Studies,Languages, Literature &amp; Linguistics,Biological Sciences,Architecture,Physics &amp; Astronomy,Business &amp; Management,History, Philosophy &amp; Theology,Electrical &amp; Electronic Engineering,Education,Chemical Engineering,Sociology,Art, Performing Arts &amp; Design,Mechanical &amp; Aerospace Engineering,Psychology,Medicine &amp; Dentistry,Chemistry,Archaeology,Geology, Environmental, Earth &amp; Marine Sciences,Economics &amp; Econometrics,Other Health,Mathematics &amp; Statistics,Computer Science,Politics &amp; International Studies (incl Development Studies)</t>
  </si>
  <si>
    <t>https://www.timeshighereducation.com/student/register-interest/shorelight?utm_medium=thewebsite&amp;utm_campaign=cta-link&amp;utm_source=rankings&amp;iid=i-47263781</t>
  </si>
  <si>
    <t>University of Birmingham</t>
  </si>
  <si>
    <t>/world-university-rankings/university-birmingham</t>
  </si>
  <si>
    <t>Art, Performing Arts &amp; Design,Civil Engineering,Geography,General Engineering,Geology, Environmental, Earth &amp; Marine Sciences,Business &amp; Management,Archaeology,Mathematics &amp; Statistics,Accounting &amp; Finance,Other Health,Physics &amp; Astronomy,Education,History, Philosophy &amp; Theology,Sport Science,Psychology,Languages, Literature &amp; Linguistics,Chemical Engineering,Law,Medicine &amp; Dentistry,Biological Sciences,Electrical &amp; Electronic Engineering,Sociology,Computer Science,Chemistry,Economics &amp; Econometrics,Mechanical &amp; Aerospace Engineering,Politics &amp; International Studies (incl Development Studies)</t>
  </si>
  <si>
    <t>https://www.timeshighereducation.com/student/register-interest/siuk?utm_medium=thewebsite&amp;utm_campaign=cta-link&amp;utm_source=rankings&amp;iid=i-24885315</t>
  </si>
  <si>
    <t>University of Southampton</t>
  </si>
  <si>
    <t>/world-university-rankings/university-southampton</t>
  </si>
  <si>
    <t>Geography,Computer Science,Geology, Environmental, Earth &amp; Marine Sciences,Other Health,Civil Engineering,Chemistry,Business &amp; Management,General Engineering,Communication &amp; Media Studies,Economics &amp; Econometrics,History, Philosophy &amp; Theology,Education,Medicine &amp; Dentistry,Politics &amp; International Studies (incl Development Studies),Law,Archaeology,Biological Sciences,Mechanical &amp; Aerospace Engineering,Electrical &amp; Electronic Engineering,Languages, Literature &amp; Linguistics,Physics &amp; Astronomy,Psychology,Mathematics &amp; Statistics,Art, Performing Arts &amp; Design,Chemical Engineering,Sociology,Accounting &amp; Finance</t>
  </si>
  <si>
    <t>https://www.timeshighereducation.com/student/register-interest/siuk?utm_medium=thewebsite&amp;utm_campaign=cta-link&amp;utm_source=rankings&amp;iid=i-58225932</t>
  </si>
  <si>
    <t>The University of Adelaide</t>
  </si>
  <si>
    <t>University of Adelaide</t>
  </si>
  <si>
    <t>/world-university-rankings/university-adelaide</t>
  </si>
  <si>
    <t>University of Adelaide Adelaide University</t>
  </si>
  <si>
    <t>Other Health,Geology, Environmental, Earth &amp; Marine Sciences,Economics &amp; Econometrics,Computer Science,Mathematics &amp; Statistics,Art, Performing Arts &amp; Design,Chemical Engineering,Chemistry,Geography,Law,General Engineering,Physics &amp; Astronomy,Architecture,Veterinary Science,Education,Languages, Literature &amp; Linguistics,Civil Engineering,History, Philosophy &amp; Theology,Mechanical &amp; Aerospace Engineering,Medicine &amp; Dentistry,Electrical &amp; Electronic Engineering,Biological Sciences,Communication &amp; Media Studies,Sociology,Business &amp; Management,Agriculture &amp; Forestry,Politics &amp; International Studies (incl Development Studies),Psychology,Accounting &amp; Finance</t>
  </si>
  <si>
    <t>University of Leeds</t>
  </si>
  <si>
    <t>/world-university-rankings/university-leeds</t>
  </si>
  <si>
    <t>Geography,Physics &amp; Astronomy,Chemical Engineering,Medicine &amp; Dentistry,Economics &amp; Econometrics,Psychology,Other Health,Law,Business &amp; Management,Mechanical &amp; Aerospace Engineering,General Engineering,Mathematics &amp; Statistics,Biological Sciences,Electrical &amp; Electronic Engineering,Chemistry,Agriculture &amp; Forestry,Geology, Environmental, Earth &amp; Marine Sciences,Civil Engineering,Sociology,Architecture,History, Philosophy &amp; Theology,Computer Science,Sport Science,Politics &amp; International Studies (incl Development Studies),Art, Performing Arts &amp; Design,Accounting &amp; Finance,Education,Communication &amp; Media Studies,Languages, Literature &amp; Linguistics</t>
  </si>
  <si>
    <t>https://www.timeshighereducation.com/student/register-interest/siuk?utm_medium=thewebsite&amp;utm_campaign=cta-link&amp;utm_source=rankings&amp;iid=i-90575012</t>
  </si>
  <si>
    <t>Osaka University</t>
  </si>
  <si>
    <t>/world-university-rankings/osaka-university</t>
  </si>
  <si>
    <t>32 : 68</t>
  </si>
  <si>
    <t>Osaka University Handai OU</t>
  </si>
  <si>
    <t>Archaeology,Mathematics &amp; Statistics,General Engineering,Communication &amp; Media Studies,Education,Electrical &amp; Electronic Engineering,Geology, Environmental, Earth &amp; Marine Sciences,Architecture,Physics &amp; Astronomy,Economics &amp; Econometrics,Computer Science,Biological Sciences,Business &amp; Management,History, Philosophy &amp; Theology,Chemistry,Accounting &amp; Finance,Other Health,Sport Science,Politics &amp; International Studies (incl Development Studies),Art, Performing Arts &amp; Design,Mechanical &amp; Aerospace Engineering,Sociology,Medicine &amp; Dentistry,Chemical Engineering,Geography,Languages, Literature &amp; Linguistics,Civil Engineering,Law,Psychology</t>
  </si>
  <si>
    <t>University of Technology Sydney</t>
  </si>
  <si>
    <t>/world-university-rankings/university-technology-sydney</t>
  </si>
  <si>
    <t>University of Technology Sydney UTS</t>
  </si>
  <si>
    <t>General Engineering,Chemistry,Computer Science,Sport Science,Psychology,Other Health,Agriculture &amp; Forestry,Accounting &amp; Finance,Medicine &amp; Dentistry,Physics &amp; Astronomy,Law,Architecture,Mathematics &amp; Statistics,Education,Civil Engineering,Geology, Environmental, Earth &amp; Marine Sciences,Electrical &amp; Electronic Engineering,Politics &amp; International Studies (incl Development Studies),Languages, Literature &amp; Linguistics,Chemical Engineering,Communication &amp; Media Studies,Business &amp; Management,Art, Performing Arts &amp; Design,Mechanical &amp; Aerospace Engineering,Sociology,History, Philosophy &amp; Theology,Biological Sciences,Geography,Economics &amp; Econometrics</t>
  </si>
  <si>
    <t>Durham University</t>
  </si>
  <si>
    <t>/world-university-rankings/durham-university</t>
  </si>
  <si>
    <t>Durham University united kingdom UK  England</t>
  </si>
  <si>
    <t>Civil Engineering,Sociology,Communication &amp; Media Studies,Art, Performing Arts &amp; Design,Archaeology,Mechanical &amp; Aerospace Engineering,Geography,Physics &amp; Astronomy,Economics &amp; Econometrics,Education,History, Philosophy &amp; Theology,General Engineering,Business &amp; Management,Sport Science,Languages, Literature &amp; Linguistics,Chemical Engineering,Mathematics &amp; Statistics,Law,Geology, Environmental, Earth &amp; Marine Sciences,Electrical &amp; Electronic Engineering,Accounting &amp; Finance,Psychology,Other Health,Chemistry,Architecture,Computer Science,Biological Sciences,Politics &amp; International Studies (incl Development Studies)</t>
  </si>
  <si>
    <t>https://www.timeshighereducation.com/student/register-interest/siuk?utm_medium=thewebsite&amp;utm_campaign=cta-link&amp;utm_source=rankings&amp;iid=i-56154151</t>
  </si>
  <si>
    <t>Pontificia Universidad CatÃ³lica de Chile (UC)</t>
  </si>
  <si>
    <t>CL</t>
  </si>
  <si>
    <t>Chile</t>
  </si>
  <si>
    <t>401â€“500</t>
  </si>
  <si>
    <t>Pontificia Universidad CatÃ³lica de Chile</t>
  </si>
  <si>
    <t>45.4â€“49.0</t>
  </si>
  <si>
    <t>/world-university-rankings/pontificia-universidad-catolica-de-chile</t>
  </si>
  <si>
    <t>Sociology,Chemistry,Psychology,General Engineering,Business &amp; Management,Mathematics &amp; Statistics,Architecture,History, Philosophy &amp; Theology,Sport Science,Politics &amp; International Studies (incl Development Studies),Communication &amp; Media Studies,Agriculture &amp; Forestry,Medicine &amp; Dentistry,Civil Engineering,Computer Science,Mechanical &amp; Aerospace Engineering,Languages, Literature &amp; Linguistics,Law,Education,Physics &amp; Astronomy,Biological Sciences,Electrical &amp; Electronic Engineering,Geography,Economics &amp; Econometrics,Chemical Engineering,Geology, Environmental, Earth &amp; Marine Sciences,Other Health,Accounting &amp; Finance,Archaeology,Veterinary Science,Art, Performing Arts &amp; Design</t>
  </si>
  <si>
    <t>Lomonosov Moscow State University</t>
  </si>
  <si>
    <t>RU</t>
  </si>
  <si>
    <t>Russia</t>
  </si>
  <si>
    <t>/world-university-rankings/lomonosov-moscow-state-university</t>
  </si>
  <si>
    <t>Russian Federation</t>
  </si>
  <si>
    <t>Art, Performing Arts &amp; Design,Agriculture &amp; Forestry,Biological Sciences,Chemistry,Economics &amp; Econometrics,Mechanical &amp; Aerospace Engineering,Politics &amp; International Studies (incl Development Studies),Electrical &amp; Electronic Engineering,Education,Chemical Engineering,Communication &amp; Media Studies,Computer Science,Geography,History, Philosophy &amp; Theology,Sport Science,Law,Other Health,Geology, Environmental, Earth &amp; Marine Sciences,Psychology,Languages, Literature &amp; Linguistics,Medicine &amp; Dentistry,Physics &amp; Astronomy,Accounting &amp; Finance,Archaeology,Mathematics &amp; Statistics,Business &amp; Management,Sociology</t>
  </si>
  <si>
    <t>University of Alberta</t>
  </si>
  <si>
    <t>/world-university-rankings/university-alberta</t>
  </si>
  <si>
    <t>History, Philosophy &amp; Theology,Agriculture &amp; Forestry,Sociology,Computer Science,Chemical Engineering,Law,Architecture,Sport Science,Politics &amp; International Studies (incl Development Studies),Art, Performing Arts &amp; Design,Electrical &amp; Electronic Engineering,Mathematics &amp; Statistics,Business &amp; Management,Mechanical &amp; Aerospace Engineering,Geology, Environmental, Earth &amp; Marine Sciences,Accounting &amp; Finance,General Engineering,Physics &amp; Astronomy,Economics &amp; Econometrics,Other Health,Civil Engineering,Communication &amp; Media Studies,Languages, Literature &amp; Linguistics,Biological Sciences,Education,Medicine &amp; Dentistry,Veterinary Science,Geography,Archaeology,Chemistry,Psychology</t>
  </si>
  <si>
    <t>https://www.timeshighereducation.com/student/register-interest/applyboard?utm_medium=thewebsite&amp;utm_campaign=cta-link&amp;utm_source=rankings&amp;iid=i-20147712</t>
  </si>
  <si>
    <t>Pohang University of Science And Technology (POSTECH)</t>
  </si>
  <si>
    <t>S</t>
  </si>
  <si>
    <t>Pohang University of Science and Technology (POSTECH)</t>
  </si>
  <si>
    <t>/world-university-rankings/pohang-university-science-and-technology-postech</t>
  </si>
  <si>
    <t>Pohang University of Science and Technology (POSTECH) postech</t>
  </si>
  <si>
    <t>Physics &amp; Astronomy,General Engineering,Biological Sciences,Agriculture &amp; Forestry,Mechanical &amp; Aerospace Engineering,Other Health,Chemical Engineering,Electrical &amp; Electronic Engineering,Medicine &amp; Dentistry,Geology, Environmental, Earth &amp; Marine Sciences,Chemistry,Mathematics &amp; Statistics,Computer Science,Communication &amp; Media Studies,Art, Performing Arts &amp; Design</t>
  </si>
  <si>
    <t>RWTH Aachen University</t>
  </si>
  <si>
    <t>/world-university-rankings/rwth-aachen-university</t>
  </si>
  <si>
    <t>Mechanical &amp; Aerospace Engineering,Communication &amp; Media Studies,Computer Science,Biological Sciences,Chemistry,Accounting &amp; Finance,Chemical Engineering,Mathematics &amp; Statistics,Business &amp; Management,History, Philosophy &amp; Theology,Civil Engineering,Education,Languages, Literature &amp; Linguistics,Geography,Electrical &amp; Electronic Engineering,Sociology,Other Health,Veterinary Science,Physics &amp; Astronomy,Economics &amp; Econometrics,General Engineering,Geology, Environmental, Earth &amp; Marine Sciences,Medicine &amp; Dentistry,Politics &amp; International Studies (incl Development Studies),Architecture,Psychology</t>
  </si>
  <si>
    <t>University of Copenhagen</t>
  </si>
  <si>
    <t>DK</t>
  </si>
  <si>
    <t>Denmark</t>
  </si>
  <si>
    <t>/world-university-rankings/university-copenhagen</t>
  </si>
  <si>
    <t>Sport Science,Chemistry,Archaeology,Geography,Medicine &amp; Dentistry,Languages, Literature &amp; Linguistics,Computer Science,Other Health,Mathematics &amp; Statistics,Communication &amp; Media Studies,Geology, Environmental, Earth &amp; Marine Sciences,Psychology,Biological Sciences,Law,Veterinary Science,Economics &amp; Econometrics,Agriculture &amp; Forestry,Sociology,Physics &amp; Astronomy,Politics &amp; International Studies (incl Development Studies),History, Philosophy &amp; Theology</t>
  </si>
  <si>
    <t>King Fahd University of Petroleum &amp; Minerals</t>
  </si>
  <si>
    <t>SA</t>
  </si>
  <si>
    <t>Saudi Arabia</t>
  </si>
  <si>
    <t>King Fahd University of Petroleum and Minerals</t>
  </si>
  <si>
    <t>/world-university-rankings/king-fahd-university-petroleum-and-minerals</t>
  </si>
  <si>
    <t>Business &amp; Management,Civil Engineering,General Engineering,Geology, Environmental, Earth &amp; Marine Sciences,Accounting &amp; Finance,Chemical Engineering,Computer Science,Mathematics &amp; Statistics,Chemistry,Electrical &amp; Electronic Engineering,Economics &amp; Econometrics,Physics &amp; Astronomy,Mechanical &amp; Aerospace Engineering</t>
  </si>
  <si>
    <t>KIT, Karlsruhe Institute of Technology</t>
  </si>
  <si>
    <t>Karlsruhe Institute of Technology</t>
  </si>
  <si>
    <t>/world-university-rankings/karlsruhe-institute-technology</t>
  </si>
  <si>
    <t>29 : 71</t>
  </si>
  <si>
    <t>Civil Engineering,Chemistry,Electrical &amp; Electronic Engineering,Geography,History, Philosophy &amp; Theology,Agriculture &amp; Forestry,Accounting &amp; Finance,Architecture,Biological Sciences,Mathematics &amp; Statistics,Business &amp; Management,General Engineering,Education,Art, Performing Arts &amp; Design,Sport Science,Chemical Engineering,Geology, Environmental, Earth &amp; Marine Sciences,Economics &amp; Econometrics,Computer Science,Physics &amp; Astronomy,Mechanical &amp; Aerospace Engineering,Communication &amp; Media Studies</t>
  </si>
  <si>
    <t>Uppsala University</t>
  </si>
  <si>
    <t>/world-university-rankings/uppsala-university</t>
  </si>
  <si>
    <t>Languages, Literature &amp; Linguistics,Biological Sciences,Communication &amp; Media Studies,General Engineering,Politics &amp; International Studies (incl Development Studies),History, Philosophy &amp; Theology,Chemistry,Economics &amp; Econometrics,Medicine &amp; Dentistry,Civil Engineering,Education,Chemical Engineering,Law,Accounting &amp; Finance,Computer Science,Geography,Business &amp; Management,Mathematics &amp; Statistics,Psychology,Electrical &amp; Electronic Engineering,Sociology,Archaeology,Geology, Environmental, Earth &amp; Marine Sciences,Other Health,Physics &amp; Astronomy</t>
  </si>
  <si>
    <t>University of St Andrews</t>
  </si>
  <si>
    <t>/world-university-rankings/university-st-andrews</t>
  </si>
  <si>
    <t>Chemistry,Economics &amp; Econometrics,Mathematics &amp; Statistics,Geology, Environmental, Earth &amp; Marine Sciences,Medicine &amp; Dentistry,Sociology,Archaeology,Psychology,Other Health,Geography,Languages, Literature &amp; Linguistics,Computer Science,Biological Sciences,Politics &amp; International Studies (incl Development Studies),Physics &amp; Astronomy,Business &amp; Management,History, Philosophy &amp; Theology,Communication &amp; Media Studies</t>
  </si>
  <si>
    <t>https://www.timeshighereducation.com/student/register-interest/siuk?utm_medium=thewebsite&amp;utm_campaign=cta-link&amp;utm_source=rankings&amp;iid=i-44428293</t>
  </si>
  <si>
    <t>The University of Sheffield</t>
  </si>
  <si>
    <t>University of Sheffield</t>
  </si>
  <si>
    <t>/world-university-rankings/university-sheffield</t>
  </si>
  <si>
    <t>University of Sheffield united kingdom UK Sheffield</t>
  </si>
  <si>
    <t>History, Philosophy &amp; Theology,Computer Science,Geography,Archaeology,Mathematics &amp; Statistics,Sociology,Languages, Literature &amp; Linguistics,Chemical Engineering,General Engineering,Geology, Environmental, Earth &amp; Marine Sciences,Mechanical &amp; Aerospace Engineering,Chemistry,Electrical &amp; Electronic Engineering,Politics &amp; International Studies (incl Development Studies),Other Health,Economics &amp; Econometrics,Communication &amp; Media Studies,Law,Civil Engineering,Physics &amp; Astronomy,Medicine &amp; Dentistry,Accounting &amp; Finance,Business &amp; Management,Psychology,Architecture,Biological Sciences,Education</t>
  </si>
  <si>
    <t>https://www.timeshighereducation.com/student/register-interest/siuk?utm_medium=thewebsite&amp;utm_campaign=cta-link&amp;utm_source=rankings&amp;iid=i-51616042</t>
  </si>
  <si>
    <t>Tohoku University</t>
  </si>
  <si>
    <t>/world-university-rankings/tohoku-university</t>
  </si>
  <si>
    <t>28 : 72</t>
  </si>
  <si>
    <t>Architecture,Agriculture &amp; Forestry,Chemistry,Business &amp; Management,Electrical &amp; Electronic Engineering,Communication &amp; Media Studies,Economics &amp; Econometrics,Civil Engineering,Geology, Environmental, Earth &amp; Marine Sciences,Medicine &amp; Dentistry,Physics &amp; Astronomy,Archaeology,Biological Sciences,Geography,General Engineering,Sociology,Accounting &amp; Finance,Languages, Literature &amp; Linguistics,Chemical Engineering,Mathematics &amp; Statistics,Psychology,History, Philosophy &amp; Theology,Mechanical &amp; Aerospace Engineering,Politics &amp; International Studies (incl Development Studies),Art, Performing Arts &amp; Design,Other Health,Veterinary Science,Education,Computer Science,Sport Science,Law</t>
  </si>
  <si>
    <t>University of Nottingham</t>
  </si>
  <si>
    <t>/world-university-rankings/university-nottingham</t>
  </si>
  <si>
    <t>History, Philosophy &amp; Theology,Civil Engineering,Politics &amp; International Studies (incl Development Studies),Computer Science,Communication &amp; Media Studies,General Engineering,Geology, Environmental, Earth &amp; Marine Sciences,Economics &amp; Econometrics,Other Health,Mechanical &amp; Aerospace Engineering,Mathematics &amp; Statistics,Psychology,Biological Sciences,Law,Accounting &amp; Finance,Archaeology,Chemical Engineering,Chemistry,Art, Performing Arts &amp; Design,Agriculture &amp; Forestry,Physics &amp; Astronomy,Architecture,Sport Science,Geography,Medicine &amp; Dentistry,Veterinary Science,Sociology,Business &amp; Management,Languages, Literature &amp; Linguistics,Electrical &amp; Electronic Engineering,Education</t>
  </si>
  <si>
    <t>https://www.timeshighereducation.com/student/register-interest/siuk?utm_medium=thewebsite&amp;utm_campaign=cta-link&amp;utm_source=rankings&amp;iid=i-18193873</t>
  </si>
  <si>
    <t>Technical University of Denmark</t>
  </si>
  <si>
    <t>/world-university-rankings/technical-university-denmark</t>
  </si>
  <si>
    <t>Veterinary Science,Mechanical &amp; Aerospace Engineering,Mathematics &amp; Statistics,Electrical &amp; Electronic Engineering,Chemical Engineering,Agriculture &amp; Forestry,General Engineering,Physics &amp; Astronomy,Geology, Environmental, Earth &amp; Marine Sciences,Civil Engineering,Chemistry,Biological Sciences,Computer Science,Other Health</t>
  </si>
  <si>
    <t>University of Zurich</t>
  </si>
  <si>
    <t>CH</t>
  </si>
  <si>
    <t>Switzerland</t>
  </si>
  <si>
    <t>/world-university-rankings/university-zurich</t>
  </si>
  <si>
    <t>Business &amp; Management,Accounting &amp; Finance,Veterinary Science,Physics &amp; Astronomy,Sociology,Education,Chemistry,Geography,Archaeology,Politics &amp; International Studies (incl Development Studies),Mathematics &amp; Statistics,Biological Sciences,Other Health,Communication &amp; Media Studies,Law,Computer Science,Agriculture &amp; Forestry,Art, Performing Arts &amp; Design,Psychology,Economics &amp; Econometrics,History, Philosophy &amp; Theology,Geology, Environmental, Earth &amp; Marine Sciences,Languages, Literature &amp; Linguistics,Medicine &amp; Dentistry</t>
  </si>
  <si>
    <t>Politecnico di Milano</t>
  </si>
  <si>
    <t>IT</t>
  </si>
  <si>
    <t>Italy</t>
  </si>
  <si>
    <t>/world-university-rankings/politecnico-di-milano</t>
  </si>
  <si>
    <t>35 : 65</t>
  </si>
  <si>
    <t>Civil Engineering,Business &amp; Management,Electrical &amp; Electronic Engineering,Architecture,Mechanical &amp; Aerospace Engineering,Art, Performing Arts &amp; Design,Computer Science,Chemical Engineering,General Engineering</t>
  </si>
  <si>
    <t>Boston University</t>
  </si>
  <si>
    <t>/world-university-rankings/boston-university</t>
  </si>
  <si>
    <t>Electrical &amp; Electronic Engineering,Architecture,Mathematics &amp; Statistics,Accounting &amp; Finance,Medicine &amp; Dentistry,Chemistry,Politics &amp; International Studies (incl Development Studies),Mechanical &amp; Aerospace Engineering,General Engineering,Law,Archaeology,Sociology,History, Philosophy &amp; Theology,Languages, Literature &amp; Linguistics,Biological Sciences,Communication &amp; Media Studies,Psychology,Business &amp; Management,Physics &amp; Astronomy,Computer Science,Art, Performing Arts &amp; Design,Education,Geology, Environmental, Earth &amp; Marine Sciences,Geography,Other Health,Economics &amp; Econometrics</t>
  </si>
  <si>
    <t>https://www.timeshighereducation.com/student/register-interest/shorelight?utm_medium=thewebsite&amp;utm_campaign=cta-link&amp;utm_source=rankings&amp;iid=i-74571941</t>
  </si>
  <si>
    <t>Aalto University</t>
  </si>
  <si>
    <t>FI</t>
  </si>
  <si>
    <t>Finland</t>
  </si>
  <si>
    <t>/world-university-rankings/aalto-university</t>
  </si>
  <si>
    <t>39 : 61</t>
  </si>
  <si>
    <t>Electrical &amp; Electronic Engineering,Art, Performing Arts &amp; Design,Education,Business &amp; Management,Computer Science,Communication &amp; Media Studies,Accounting &amp; Finance,Chemistry,Mathematics &amp; Statistics,Physics &amp; Astronomy,Architecture,Economics &amp; Econometrics,Psychology,Chemical Engineering,Mechanical &amp; Aerospace Engineering,Civil Engineering,General Engineering</t>
  </si>
  <si>
    <t>Georgia Institute of Technology</t>
  </si>
  <si>
    <t>/world-university-rankings/georgia-institute-technology</t>
  </si>
  <si>
    <t>Chemical Engineering,Other Health,Languages, Literature &amp; Linguistics,Physics &amp; Astronomy,Politics &amp; International Studies (incl Development Studies),Mechanical &amp; Aerospace Engineering,Biological Sciences,Geography,Communication &amp; Media Studies,Architecture,Art, Performing Arts &amp; Design,Sociology,General Engineering,Computer Science,Geology, Environmental, Earth &amp; Marine Sciences,Electrical &amp; Electronic Engineering,Economics &amp; Econometrics,Business &amp; Management,Mathematics &amp; Statistics,Chemistry,Psychology,Civil Engineering,History, Philosophy &amp; Theology</t>
  </si>
  <si>
    <t>https://www.timeshighereducation.com/student/register-interest/shorelight?utm_medium=thewebsite&amp;utm_campaign=cta-link&amp;utm_source=rankings&amp;iid=i-55860137</t>
  </si>
  <si>
    <t>University of Waterloo</t>
  </si>
  <si>
    <t>/world-university-rankings/university-waterloo</t>
  </si>
  <si>
    <t>Computer Science,Chemistry,General Engineering,Geology, Environmental, Earth &amp; Marine Sciences,Other Health,Physics &amp; Astronomy,Economics &amp; Econometrics,Civil Engineering,Sociology,Mechanical &amp; Aerospace Engineering,Politics &amp; International Studies (incl Development Studies),History, Philosophy &amp; Theology,Sport Science,Accounting &amp; Finance,Art, Performing Arts &amp; Design,Chemical Engineering,Geography,Architecture,Electrical &amp; Electronic Engineering,Mathematics &amp; Statistics,Communication &amp; Media Studies,Business &amp; Management,Languages, Literature &amp; Linguistics,Biological Sciences,Psychology</t>
  </si>
  <si>
    <t>University of Wisconsin-Madison</t>
  </si>
  <si>
    <t>/world-university-rankings/university-wisconsin-madison</t>
  </si>
  <si>
    <t>Civil Engineering,Geography,Medicine &amp; Dentistry,Law,Mathematics &amp; Statistics,Communication &amp; Media Studies,Accounting &amp; Finance,Archaeology,Languages, Literature &amp; Linguistics,History, Philosophy &amp; Theology,Physics &amp; Astronomy,General Engineering,Electrical &amp; Electronic Engineering,Sport Science,Veterinary Science,Chemistry,Politics &amp; International Studies (incl Development Studies),Business &amp; Management,Agriculture &amp; Forestry,Biological Sciences,Computer Science,Chemical Engineering,Psychology,Art, Performing Arts &amp; Design,Mechanical &amp; Aerospace Engineering,Geology, Environmental, Earth &amp; Marine Sciences,Other Health,Education,Architecture,Economics &amp; Econometrics,Sociology</t>
  </si>
  <si>
    <t>https://www.timeshighereducation.com/student/register-interest/shorelight?utm_medium=thewebsite&amp;utm_campaign=cta-link&amp;utm_source=rankings&amp;iid=i-96030823</t>
  </si>
  <si>
    <t>University of Helsinki</t>
  </si>
  <si>
    <t>/world-university-rankings/university-helsinki</t>
  </si>
  <si>
    <t>Computer Science,Geography,Physics &amp; Astronomy,Biological Sciences,Psychology,Archaeology,Chemistry,Medicine &amp; Dentistry,Communication &amp; Media Studies,Agriculture &amp; Forestry,Sociology,Languages, Literature &amp; Linguistics,Mathematics &amp; Statistics,Economics &amp; Econometrics,Other Health,Geology, Environmental, Earth &amp; Marine Sciences,Law,History, Philosophy &amp; Theology,Politics &amp; International Studies (incl Development Studies),Veterinary Science,Education</t>
  </si>
  <si>
    <t>University of Oslo</t>
  </si>
  <si>
    <t>NO</t>
  </si>
  <si>
    <t>Norway</t>
  </si>
  <si>
    <t>/world-university-rankings/university-oslo</t>
  </si>
  <si>
    <t>Politics &amp; International Studies (incl Development Studies),Mathematics &amp; Statistics,Geology, Environmental, Earth &amp; Marine Sciences,Other Health,Art, Performing Arts &amp; Design,Biological Sciences,Geography,Education,Computer Science,Communication &amp; Media Studies,Archaeology,Chemistry,History, Philosophy &amp; Theology,Languages, Literature &amp; Linguistics,Sociology,Psychology,Economics &amp; Econometrics,Medicine &amp; Dentistry,Physics &amp; Astronomy,Law</t>
  </si>
  <si>
    <t>Queen Mary University of London</t>
  </si>
  <si>
    <t>/world-university-rankings/queen-mary-university-london</t>
  </si>
  <si>
    <t>Medicine &amp; Dentistry,Biological Sciences,Chemistry,Communication &amp; Media Studies,Electrical &amp; Electronic Engineering,Business &amp; Management,Mechanical &amp; Aerospace Engineering,Languages, Literature &amp; Linguistics,Psychology,Civil Engineering,General Engineering,Geology, Environmental, Earth &amp; Marine Sciences,Economics &amp; Econometrics,Art, Performing Arts &amp; Design,History, Philosophy &amp; Theology,Law,Computer Science,Mathematics &amp; Statistics,Chemical Engineering,Geography,Politics &amp; International Studies (incl Development Studies),Other Health,Veterinary Science,Accounting &amp; Finance,Physics &amp; Astronomy</t>
  </si>
  <si>
    <t>Western University</t>
  </si>
  <si>
    <t>/world-university-rankings/western-university</t>
  </si>
  <si>
    <t>Sociology,History, Philosophy &amp; Theology,Computer Science,Languages, Literature &amp; Linguistics,Communication &amp; Media Studies,Economics &amp; Econometrics,General Engineering,Mathematics &amp; Statistics,Archaeology,Education,Medicine &amp; Dentistry,Accounting &amp; Finance,Electrical &amp; Electronic Engineering,Mechanical &amp; Aerospace Engineering,Chemical Engineering,Politics &amp; International Studies (incl Development Studies),Psychology,Chemistry,Biological Sciences,Business &amp; Management,Geography,Physics &amp; Astronomy,Other Health,Geology, Environmental, Earth &amp; Marine Sciences,Law,Art, Performing Arts &amp; Design,Sport Science,Civil Engineering</t>
  </si>
  <si>
    <t>https://www.timeshighereducation.com/student/register-interest/applyboard?utm_medium=thewebsite&amp;utm_campaign=cta-link&amp;utm_source=rankings&amp;iid=i-91582771</t>
  </si>
  <si>
    <t>Qatar University</t>
  </si>
  <si>
    <t>QA</t>
  </si>
  <si>
    <t>Qatar</t>
  </si>
  <si>
    <t>251â€“300</t>
  </si>
  <si>
    <t>53.1â€“55.8</t>
  </si>
  <si>
    <t>/world-university-rankings/qatar-university</t>
  </si>
  <si>
    <t>Mechanical &amp; Aerospace Engineering,Politics &amp; International Studies (incl Development Studies),Chemical Engineering,Sociology,Medicine &amp; Dentistry,Computer Science,Geology, Environmental, Earth &amp; Marine Sciences,Biological Sciences,Electrical &amp; Electronic Engineering,Law,Architecture,History, Philosophy &amp; Theology,Physics &amp; Astronomy,Psychology,Civil Engineering,Geography,Other Health,Sport Science,Education,Languages, Literature &amp; Linguistics,Communication &amp; Media Studies,Economics &amp; Econometrics,General Engineering,Mathematics &amp; Statistics,Accounting &amp; Finance,Chemistry,Business &amp; Management,Art, Performing Arts &amp; Design</t>
  </si>
  <si>
    <t>RMIT University</t>
  </si>
  <si>
    <t>/world-university-rankings/rmit-university</t>
  </si>
  <si>
    <t>RMIT University RMIT Australia Melbourne</t>
  </si>
  <si>
    <t>Civil Engineering,Politics &amp; International Studies (incl Development Studies),Medicine &amp; Dentistry,Biological Sciences,Education,Art, Performing Arts &amp; Design,Chemical Engineering,Sociology,Electrical &amp; Electronic Engineering,Geology, Environmental, Earth &amp; Marine Sciences,Economics &amp; Econometrics,Psychology,Mechanical &amp; Aerospace Engineering,Communication &amp; Media Studies,Other Health,Mathematics &amp; Statistics,Business &amp; Management,Computer Science,Physics &amp; Astronomy,Languages, Literature &amp; Linguistics,Agriculture &amp; Forestry,Geography,General Engineering,Chemistry,Accounting &amp; Finance,Architecture,Sport Science,Law</t>
  </si>
  <si>
    <t>https://www.timeshighereducation.com/student/register-interest/aecc?utm_medium=thewebsite&amp;utm_campaign=cta-link&amp;utm_source=rankings&amp;iid=i-01576523</t>
  </si>
  <si>
    <t>Sungkyunkwan University(SKKU)</t>
  </si>
  <si>
    <t>Sungkyunkwan University (SKKU)</t>
  </si>
  <si>
    <t>/world-university-rankings/sungkyunkwan-university-skku</t>
  </si>
  <si>
    <t>Architecture,Chemical Engineering,Education,Other Health,Communication &amp; Media Studies,Accounting &amp; Finance,Languages, Literature &amp; Linguistics,Biological Sciences,Psychology,Art, Performing Arts &amp; Design,Medicine &amp; Dentistry,Sport Science,Business &amp; Management,General Engineering,Chemistry,History, Philosophy &amp; Theology,Law,Civil Engineering,Sociology,Computer Science,Physics &amp; Astronomy,Economics &amp; Econometrics,Mechanical &amp; Aerospace Engineering,Politics &amp; International Studies (incl Development Studies),Electrical &amp; Electronic Engineering,Mathematics &amp; Statistics</t>
  </si>
  <si>
    <t>University of Southern California</t>
  </si>
  <si>
    <t>/world-university-rankings/university-southern-california</t>
  </si>
  <si>
    <t>Mathematics &amp; Statistics,Other Health,Physics &amp; Astronomy,Languages, Literature &amp; Linguistics,Psychology,Geology, Environmental, Earth &amp; Marine Sciences,Economics &amp; Econometrics,Mechanical &amp; Aerospace Engineering,Agriculture &amp; Forestry,Archaeology,Business &amp; Management,Chemistry,Computer Science,Art, Performing Arts &amp; Design,Politics &amp; International Studies (incl Development Studies),Law,Geography,Chemical Engineering,Medicine &amp; Dentistry,Sport Science,Sociology,Communication &amp; Media Studies,General Engineering,Accounting &amp; Finance,Education,Electrical &amp; Electronic Engineering,Architecture,Civil Engineering,History, Philosophy &amp; Theology,Biological Sciences</t>
  </si>
  <si>
    <t>https://www.timeshighereducation.com/student/register-interest/shorelight?utm_medium=thewebsite&amp;utm_campaign=cta-link&amp;utm_source=rankings&amp;iid=i-74975443</t>
  </si>
  <si>
    <t>University College Dublin</t>
  </si>
  <si>
    <t>IE</t>
  </si>
  <si>
    <t>Ireland</t>
  </si>
  <si>
    <t>/world-university-rankings/university-college-dublin</t>
  </si>
  <si>
    <t>Law,Chemistry,General Engineering,Politics &amp; International Studies (incl Development Studies),Sport Science,Archaeology,Education,Economics &amp; Econometrics,Biological Sciences,Computer Science,Veterinary Science,Civil Engineering,Medicine &amp; Dentistry,Business &amp; Management,Agriculture &amp; Forestry,Architecture,Accounting &amp; Finance,Psychology,Communication &amp; Media Studies,Physics &amp; Astronomy,Electrical &amp; Electronic Engineering,History, Philosophy &amp; Theology,Chemical Engineering,Mechanical &amp; Aerospace Engineering,Art, Performing Arts &amp; Design,Languages, Literature &amp; Linguistics,Mathematics &amp; Statistics,Other Health,Geography,Geology, Environmental, Earth &amp; Marine Sciences,Sociology</t>
  </si>
  <si>
    <t>Stockholm University</t>
  </si>
  <si>
    <t>/world-university-rankings/stockholm-university</t>
  </si>
  <si>
    <t>Biological Sciences,Law,Mathematics &amp; Statistics,Economics &amp; Econometrics,Languages, Literature &amp; Linguistics,Chemistry,Psychology,History, Philosophy &amp; Theology,Geology, Environmental, Earth &amp; Marine Sciences,Education,Physics &amp; Astronomy,Accounting &amp; Finance,Computer Science,Politics &amp; International Studies (incl Development Studies),Archaeology,Geography,Agriculture &amp; Forestry,Business &amp; Management,Art, Performing Arts &amp; Design,Veterinary Science,Communication &amp; Media Studies,Other Health,Sociology</t>
  </si>
  <si>
    <t>Newcastle University</t>
  </si>
  <si>
    <t>University of Newcastle</t>
  </si>
  <si>
    <t>/world-university-rankings/university-newcastle</t>
  </si>
  <si>
    <t>Biological Sciences,Politics &amp; International Studies (incl Development Studies),Architecture,Chemical Engineering,Law,Languages, Literature &amp; Linguistics,Chemistry,Accounting &amp; Finance,Geology, Environmental, Earth &amp; Marine Sciences,Art, Performing Arts &amp; Design,Mechanical &amp; Aerospace Engineering,Geography,Medicine &amp; Dentistry,Sociology,History, Philosophy &amp; Theology,Agriculture &amp; Forestry,Physics &amp; Astronomy,Economics &amp; Econometrics,Electrical &amp; Electronic Engineering,Mathematics &amp; Statistics,Education,Computer Science,Communication &amp; Media Studies,Business &amp; Management,General Engineering,Civil Engineering,Sport Science,Psychology,Other Health</t>
  </si>
  <si>
    <t>https://www.timeshighereducation.com/student/register-interest/aecc?utm_medium=thewebsite&amp;utm_campaign=cta-link&amp;utm_source=rankings&amp;iid=i-35453247</t>
  </si>
  <si>
    <t>University of California, Davis</t>
  </si>
  <si>
    <t>/world-university-rankings/university-california-davis</t>
  </si>
  <si>
    <t>Mathematics &amp; Statistics,Architecture,History, Philosophy &amp; Theology,Law,Civil Engineering,Chemical Engineering,Business &amp; Management,Languages, Literature &amp; Linguistics,Electrical &amp; Electronic Engineering,Sociology,Physics &amp; Astronomy,Medicine &amp; Dentistry,Mechanical &amp; Aerospace Engineering,General Engineering,Archaeology,Geography,Veterinary Science,Other Health,Psychology,Biological Sciences,Chemistry,Accounting &amp; Finance,Politics &amp; International Studies (incl Development Studies),Computer Science,Communication &amp; Media Studies,Education,Sport Science,Art, Performing Arts &amp; Design,Agriculture &amp; Forestry,Economics &amp; Econometrics,Geology, Environmental, Earth &amp; Marine Sciences</t>
  </si>
  <si>
    <t>https://www.timeshighereducation.com/student/register-interest/shorelight?utm_medium=thewebsite&amp;utm_campaign=cta-link&amp;utm_source=rankings&amp;iid=i-62049829</t>
  </si>
  <si>
    <t>University of Basel</t>
  </si>
  <si>
    <t>/world-university-rankings/university-basel</t>
  </si>
  <si>
    <t>Economics &amp; Econometrics,Psychology,Communication &amp; Media Studies,Art, Performing Arts &amp; Design,Languages, Literature &amp; Linguistics,Geology, Environmental, Earth &amp; Marine Sciences,Accounting &amp; Finance,Chemistry,Other Health,Computer Science,Sociology,Politics &amp; International Studies (incl Development Studies),Sport Science,Mathematics &amp; Statistics,History, Philosophy &amp; Theology,Law,Medicine &amp; Dentistry,Physics &amp; Astronomy,Archaeology,Geography,Business &amp; Management,Education,Biological Sciences</t>
  </si>
  <si>
    <t>Sapienza University of Rome</t>
  </si>
  <si>
    <t>/world-university-rankings/sapienza-university-rome</t>
  </si>
  <si>
    <t>History, Philosophy &amp; Theology,Geology, Environmental, Earth &amp; Marine Sciences,Civil Engineering,Communication &amp; Media Studies,Education,Art, Performing Arts &amp; Design,Chemical Engineering,Law,Computer Science,Physics &amp; Astronomy,Business &amp; Management,Architecture,Electrical &amp; Electronic Engineering,Geography,Medicine &amp; Dentistry,Biological Sciences,Sociology,Mechanical &amp; Aerospace Engineering,Psychology,Other Health,Politics &amp; International Studies (incl Development Studies),Languages, Literature &amp; Linguistics,Mathematics &amp; Statistics,Economics &amp; Econometrics,Archaeology,General Engineering,Chemistry,Accounting &amp; Finance</t>
  </si>
  <si>
    <t>Macquarie University</t>
  </si>
  <si>
    <t>/world-university-rankings/macquarie-university</t>
  </si>
  <si>
    <t>General Engineering,Biological Sciences,Sociology,Civil Engineering,Medicine &amp; Dentistry,Economics &amp; Econometrics,Mathematics &amp; Statistics,Other Health,Mechanical &amp; Aerospace Engineering,Communication &amp; Media Studies,Education,Politics &amp; International Studies (incl Development Studies),Physics &amp; Astronomy,Law,Psychology,Agriculture &amp; Forestry,Geology, Environmental, Earth &amp; Marine Sciences,Geography,History, Philosophy &amp; Theology,Art, Performing Arts &amp; Design,Accounting &amp; Finance,Architecture,Languages, Literature &amp; Linguistics,Archaeology,Chemistry,Electrical &amp; Electronic Engineering,Sport Science,Computer Science,Business &amp; Management</t>
  </si>
  <si>
    <t>Nanjing University</t>
  </si>
  <si>
    <t>/world-university-rankings/nanjing-university</t>
  </si>
  <si>
    <t>Archaeology,Architecture,Sociology,Electrical &amp; Electronic Engineering,Politics &amp; International Studies (incl Development Studies),Business &amp; Management,Computer Science,Biological Sciences,Law,Languages, Literature &amp; Linguistics,Communication &amp; Media Studies,Psychology,Art, Performing Arts &amp; Design,Chemical Engineering,Education,Other Health,Chemistry,Economics &amp; Econometrics,History, Philosophy &amp; Theology,Geology, Environmental, Earth &amp; Marine Sciences,Accounting &amp; Finance,General Engineering,Geography,Medicine &amp; Dentistry,Physics &amp; Astronomy,Mathematics &amp; Statistics</t>
  </si>
  <si>
    <t>Eindhoven University of Technology</t>
  </si>
  <si>
    <t>/world-university-rankings/eindhoven-university-technology</t>
  </si>
  <si>
    <t>Art, Performing Arts &amp; Design,Electrical &amp; Electronic Engineering,Languages, Literature &amp; Linguistics,Civil Engineering,Mechanical &amp; Aerospace Engineering,Archaeology,Geology, Environmental, Earth &amp; Marine Sciences,Chemical Engineering,Architecture,Chemistry,History, Philosophy &amp; Theology,Physics &amp; Astronomy,General Engineering,Mathematics &amp; Statistics,Computer Science</t>
  </si>
  <si>
    <t>University of Vienna</t>
  </si>
  <si>
    <t>AT</t>
  </si>
  <si>
    <t>Austria</t>
  </si>
  <si>
    <t>/world-university-rankings/university-vienna</t>
  </si>
  <si>
    <t>Physics &amp; Astronomy,Accounting &amp; Finance,Archaeology,Chemistry,Education,History, Philosophy &amp; Theology,Geography,Sport Science,Law,Languages, Literature &amp; Linguistics,Veterinary Science,Business &amp; Management,Mathematics &amp; Statistics,Psychology,Other Health,Communication &amp; Media Studies,Economics &amp; Econometrics,Computer Science,Politics &amp; International Studies (incl Development Studies),Biological Sciences,Sociology,Agriculture &amp; Forestry,Geology, Environmental, Earth &amp; Marine Sciences</t>
  </si>
  <si>
    <t>Universiti Kebangsaan Malaysia (UKM)</t>
  </si>
  <si>
    <t>MY</t>
  </si>
  <si>
    <t>Malaysia</t>
  </si>
  <si>
    <t>Universiti Kebangsaan Malaysia</t>
  </si>
  <si>
    <t>/world-university-rankings/universiti-kebangsaan-malaysia</t>
  </si>
  <si>
    <t>Archaeology,Chemical Engineering,Geography,Architecture,Physics &amp; Astronomy,Sociology,Mechanical &amp; Aerospace Engineering,Psychology,Computer Science,Geology, Environmental, Earth &amp; Marine Sciences,Agriculture &amp; Forestry,Medicine &amp; Dentistry,Sport Science,Education,Languages, Literature &amp; Linguistics,Electrical &amp; Electronic Engineering,Politics &amp; International Studies (incl Development Studies),Economics &amp; Econometrics,Other Health,Mathematics &amp; Statistics,Business &amp; Management,Civil Engineering,Chemistry,Accounting &amp; Finance,History, Philosophy &amp; Theology,Biological Sciences,Communication &amp; Media Studies,General Engineering,Law</t>
  </si>
  <si>
    <t>Chalmers University of Technology</t>
  </si>
  <si>
    <t>/world-university-rankings/chalmers-university-technology</t>
  </si>
  <si>
    <t>Economics &amp; Econometrics,Accounting &amp; Finance,Mechanical &amp; Aerospace Engineering,Chemistry,Civil Engineering,Education,Chemical Engineering,Electrical &amp; Electronic Engineering,Computer Science,Mathematics &amp; Statistics,Other Health,Geology, Environmental, Earth &amp; Marine Sciences,General Engineering,Architecture,Business &amp; Management,Physics &amp; Astronomy,Sport Science,Biological Sciences</t>
  </si>
  <si>
    <t>Lancaster University</t>
  </si>
  <si>
    <t>/world-university-rankings/lancaster-university</t>
  </si>
  <si>
    <t>Chemistry,Electrical &amp; Electronic Engineering,History, Philosophy &amp; Theology,Mechanical &amp; Aerospace Engineering,Business &amp; Management,Physics &amp; Astronomy,Psychology,Economics &amp; Econometrics,Politics &amp; International Studies (incl Development Studies),Other Health,Architecture,Communication &amp; Media Studies,Sociology,General Engineering,Sport Science,Chemical Engineering,Accounting &amp; Finance,Art, Performing Arts &amp; Design,Languages, Literature &amp; Linguistics,Law,Geology, Environmental, Earth &amp; Marine Sciences,Computer Science,Biological Sciences,Mathematics &amp; Statistics,Geography,Medicine &amp; Dentistry,Education</t>
  </si>
  <si>
    <t>https://www.timeshighereducation.com/student/register-interest/siuk?utm_medium=thewebsite&amp;utm_campaign=cta-link&amp;utm_source=rankings&amp;iid=i-49618222</t>
  </si>
  <si>
    <t>Leiden University</t>
  </si>
  <si>
    <t>/world-university-rankings/leiden-university</t>
  </si>
  <si>
    <t>Architecture,Politics &amp; International Studies (incl Development Studies),Other Health,Law,History, Philosophy &amp; Theology,Communication &amp; Media Studies,Languages, Literature &amp; Linguistics,Physics &amp; Astronomy,Art, Performing Arts &amp; Design,Mathematics &amp; Statistics,Computer Science,Education,Chemistry,Biological Sciences,Psychology,Medicine &amp; Dentistry,Sociology,Archaeology,Geology, Environmental, Earth &amp; Marine Sciences</t>
  </si>
  <si>
    <t>Rice University</t>
  </si>
  <si>
    <t>/world-university-rankings/rice-university</t>
  </si>
  <si>
    <t>Mechanical &amp; Aerospace Engineering,Physics &amp; Astronomy,Business &amp; Management,Biological Sciences,Other Health,General Engineering,Geology, Environmental, Earth &amp; Marine Sciences,Art, Performing Arts &amp; Design,Sport Science,Economics &amp; Econometrics,Civil Engineering,Sociology,Architecture,Chemistry,Languages, Literature &amp; Linguistics,Mathematics &amp; Statistics,Education,Computer Science,Politics &amp; International Studies (incl Development Studies),Electrical &amp; Electronic Engineering,Psychology,History, Philosophy &amp; Theology,Chemical Engineering,Accounting &amp; Finance</t>
  </si>
  <si>
    <t>https://www.timeshighereducation.com/student/register-interest/shorelight?utm_medium=thewebsite&amp;utm_campaign=cta-link&amp;utm_source=rankings&amp;iid=i-26979505</t>
  </si>
  <si>
    <t>Aarhus University</t>
  </si>
  <si>
    <t>/world-university-rankings/aarhus-university</t>
  </si>
  <si>
    <t>Other Health,Sport Science,Law,Computer Science,Mathematics &amp; Statistics,Education,Veterinary Science,Geography,Economics &amp; Econometrics,Electrical &amp; Electronic Engineering,Communication &amp; Media Studies,Biological Sciences,Politics &amp; International Studies (incl Development Studies),Archaeology,Physics &amp; Astronomy,Accounting &amp; Finance,Languages, Literature &amp; Linguistics,Chemical Engineering,Business &amp; Management,Medicine &amp; Dentistry,Agriculture &amp; Forestry,Geology, Environmental, Earth &amp; Marine Sciences,History, Philosophy &amp; Theology,Civil Engineering,Psychology,Art, Performing Arts &amp; Design,Mechanical &amp; Aerospace Engineering,Chemistry</t>
  </si>
  <si>
    <t>University of Science and Technology of China</t>
  </si>
  <si>
    <t>/world-university-rankings/university-science-and-technology-china</t>
  </si>
  <si>
    <t>University of Science and Technology of China USTC China University of Science and Technology</t>
  </si>
  <si>
    <t>History, Philosophy &amp; Theology,Physics &amp; Astronomy,Communication &amp; Media Studies,Mathematics &amp; Statistics,Archaeology,Biological Sciences,Computer Science,Accounting &amp; Finance,Chemistry,Chemical Engineering,Languages, Literature &amp; Linguistics,Other Health,Law,Economics &amp; Econometrics,Electrical &amp; Electronic Engineering,Business &amp; Management,General Engineering,Geology, Environmental, Earth &amp; Marine Sciences</t>
  </si>
  <si>
    <t>Universiti Sains Malaysia (USM)</t>
  </si>
  <si>
    <t>Universiti Sains Malaysia</t>
  </si>
  <si>
    <t>/world-university-rankings/universiti-sains-malaysia</t>
  </si>
  <si>
    <t>Medicine &amp; Dentistry,Mathematics &amp; Statistics,Chemical Engineering,Sociology,Biological Sciences,Education,Civil Engineering,Sport Science,Business &amp; Management,Archaeology,Chemistry,Mechanical &amp; Aerospace Engineering,Communication &amp; Media Studies,Other Health,Politics &amp; International Studies (incl Development Studies),General Engineering,Languages, Literature &amp; Linguistics,Electrical &amp; Electronic Engineering,Physics &amp; Astronomy,Accounting &amp; Finance,Art, Performing Arts &amp; Design,Computer Science,Geography,Architecture,Geology, Environmental, Earth &amp; Marine Sciences,History, Philosophy &amp; Theology,Economics &amp; Econometrics</t>
  </si>
  <si>
    <t>Universiti Putra Malaysia (UPM)</t>
  </si>
  <si>
    <t>501â€“600</t>
  </si>
  <si>
    <t>Universiti Putra Malaysia</t>
  </si>
  <si>
    <t>41.9â€“45.3</t>
  </si>
  <si>
    <t>/world-university-rankings/universiti-putra-malaysia</t>
  </si>
  <si>
    <t>Chemistry,Geography,Languages, Literature &amp; Linguistics,Chemical Engineering,Architecture,Accounting &amp; Finance,Mechanical &amp; Aerospace Engineering,Other Health,Sociology,Art, Performing Arts &amp; Design,Archaeology,Veterinary Science,Electrical &amp; Electronic Engineering,Business &amp; Management,Biological Sciences,Economics &amp; Econometrics,Civil Engineering,History, Philosophy &amp; Theology,Politics &amp; International Studies (incl Development Studies),Agriculture &amp; Forestry,Medicine &amp; Dentistry,Psychology,General Engineering,Communication &amp; Media Studies,Geology, Environmental, Earth &amp; Marine Sciences,Sport Science,Education,Mathematics &amp; Statistics,Computer Science,Physics &amp; Astronomy</t>
  </si>
  <si>
    <t>University of Bath</t>
  </si>
  <si>
    <t>/world-university-rankings/university-bath</t>
  </si>
  <si>
    <t>Electrical &amp; Electronic Engineering,Chemical Engineering,Politics &amp; International Studies (incl Development Studies),Accounting &amp; Finance,Architecture,Economics &amp; Econometrics,Mechanical &amp; Aerospace Engineering,Mathematics &amp; Statistics,Chemistry,Sport Science,Other Health,Computer Science,Physics &amp; Astronomy,Languages, Literature &amp; Linguistics,Education,General Engineering,Geology, Environmental, Earth &amp; Marine Sciences,Psychology,Civil Engineering,Biological Sciences,Business &amp; Management,Sociology</t>
  </si>
  <si>
    <t>https://www.timeshighereducation.com/student/register-interest/siuk?utm_medium=thewebsite&amp;utm_campaign=cta-link&amp;utm_source=rankings&amp;iid=i-70346313</t>
  </si>
  <si>
    <t>Michigan State University</t>
  </si>
  <si>
    <t>/world-university-rankings/michigan-state-university</t>
  </si>
  <si>
    <t>Architecture,Veterinary Science,Communication &amp; Media Studies,Art, Performing Arts &amp; Design,Agriculture &amp; Forestry,Biological Sciences,Electrical &amp; Electronic Engineering,Law,Medicine &amp; Dentistry,Geography,History, Philosophy &amp; Theology,Geology, Environmental, Earth &amp; Marine Sciences,Accounting &amp; Finance,Chemical Engineering,Economics &amp; Econometrics,Other Health,Sociology,Languages, Literature &amp; Linguistics,Education,Chemistry,Business &amp; Management,Sport Science,Physics &amp; Astronomy,Mechanical &amp; Aerospace Engineering,Civil Engineering,Mathematics &amp; Statistics,Psychology,Computer Science,Politics &amp; International Studies (incl Development Studies),General Engineering</t>
  </si>
  <si>
    <t>https://www.timeshighereducation.com/student/register-interest/shorelight?utm_medium=thewebsite&amp;utm_campaign=cta-link&amp;utm_source=rankings&amp;iid=i-58650993</t>
  </si>
  <si>
    <t>Nagoya University</t>
  </si>
  <si>
    <t>/world-university-rankings/nagoya-university</t>
  </si>
  <si>
    <t>30 : 70</t>
  </si>
  <si>
    <t>Architecture,Electrical &amp; Electronic Engineering,Psychology,Agriculture &amp; Forestry,Geography,Other Health,Communication &amp; Media Studies,Accounting &amp; Finance,Languages, Literature &amp; Linguistics,Chemical Engineering,Physics &amp; Astronomy,Biological Sciences,Education,Civil Engineering,Law,Archaeology,Computer Science,Mathematics &amp; Statistics,Sociology,Economics &amp; Econometrics,Mechanical &amp; Aerospace Engineering,Chemistry,Business &amp; Management,Medicine &amp; Dentistry,General Engineering,Geology, Environmental, Earth &amp; Marine Sciences,History, Philosophy &amp; Theology,Sport Science,Politics &amp; International Studies (incl Development Studies)</t>
  </si>
  <si>
    <t>Texas A&amp;M University</t>
  </si>
  <si>
    <t>/world-university-rankings/texas-am-university</t>
  </si>
  <si>
    <t>Architecture,Physics &amp; Astronomy,Communication &amp; Media Studies,Education,Computer Science,Sport Science,Accounting &amp; Finance,History, Philosophy &amp; Theology,Chemical Engineering,Sociology,General Engineering,Geology, Environmental, Earth &amp; Marine Sciences,Law,Medicine &amp; Dentistry,Agriculture &amp; Forestry,Politics &amp; International Studies (incl Development Studies),Art, Performing Arts &amp; Design,Mechanical &amp; Aerospace Engineering,Chemistry,Archaeology,Biological Sciences,Psychology,Electrical &amp; Electronic Engineering,Veterinary Science,Business &amp; Management,Other Health,Mathematics &amp; Statistics,Economics &amp; Econometrics,Languages, Literature &amp; Linguistics,Civil Engineering,Geography</t>
  </si>
  <si>
    <t>University of Geneva</t>
  </si>
  <si>
    <t>/world-university-rankings/university-geneva</t>
  </si>
  <si>
    <t>Computer Science,Geography,Chemistry,Biological Sciences,Psychology,Languages, Literature &amp; Linguistics,Physics &amp; Astronomy,Economics &amp; Econometrics,Archaeology,Sociology,History, Philosophy &amp; Theology,Mathematics &amp; Statistics,Law,Sport Science,Geology, Environmental, Earth &amp; Marine Sciences,Business &amp; Management,Other Health,Politics &amp; International Studies (incl Development Studies),Medicine &amp; Dentistry,Education,Communication &amp; Media Studies,Accounting &amp; Finance</t>
  </si>
  <si>
    <t>University of North Carolina, Chapel Hill</t>
  </si>
  <si>
    <t>University of North Carolina at Chapel Hill</t>
  </si>
  <si>
    <t>/world-university-rankings/university-north-carolina-chapel-hill</t>
  </si>
  <si>
    <t>Computer Science,Accounting &amp; Finance,Art, Performing Arts &amp; Design,Chemistry,Psychology,Physics &amp; Astronomy,Languages, Literature &amp; Linguistics,Sport Science,Sociology,Geography,Geology, Environmental, Earth &amp; Marine Sciences,Business &amp; Management,Agriculture &amp; Forestry,Mathematics &amp; Statistics,History, Philosophy &amp; Theology,Other Health,Law,General Engineering,Education,Economics &amp; Econometrics,Archaeology,Communication &amp; Media Studies,Politics &amp; International Studies (incl Development Studies),Biological Sciences,Medicine &amp; Dentistry</t>
  </si>
  <si>
    <t>https://www.timeshighereducation.com/student/register-interest/shorelight?utm_medium=thewebsite&amp;utm_campaign=cta-link&amp;utm_source=rankings&amp;iid=i-95855921</t>
  </si>
  <si>
    <t>Wageningen University &amp; Research</t>
  </si>
  <si>
    <t>/world-university-rankings/wageningen-university-research</t>
  </si>
  <si>
    <t>Other Health,Economics &amp; Econometrics,Politics &amp; International Studies (incl Development Studies),Geology, Environmental, Earth &amp; Marine Sciences,Veterinary Science,Chemistry,Biological Sciences,Chemical Engineering,Sociology,Agriculture &amp; Forestry,Business &amp; Management,Communication &amp; Media Studies</t>
  </si>
  <si>
    <t xml:space="preserve">Erasmus University Rotterdam </t>
  </si>
  <si>
    <t>Erasmus University Rotterdam</t>
  </si>
  <si>
    <t>/world-university-rankings/erasmus-university-rotterdam</t>
  </si>
  <si>
    <t>Biological Sciences,Law,Psychology,Mathematics &amp; Statistics,Art, Performing Arts &amp; Design,Other Health,History, Philosophy &amp; Theology,Sociology,Politics &amp; International Studies (incl Development Studies),Economics &amp; Econometrics,Accounting &amp; Finance,Business &amp; Management,Medicine &amp; Dentistry,Education,Communication &amp; Media Studies</t>
  </si>
  <si>
    <t>University of Groningen</t>
  </si>
  <si>
    <t>/world-university-rankings/university-groningen</t>
  </si>
  <si>
    <t>Archaeology,Communication &amp; Media Studies,Geography,History, Philosophy &amp; Theology,Mathematics &amp; Statistics,Psychology,Politics &amp; International Studies (incl Development Studies),Education,Chemical Engineering,Accounting &amp; Finance,Computer Science,Sociology,General Engineering,Physics &amp; Astronomy,Law,Other Health,Biological Sciences,Economics &amp; Econometrics,Medicine &amp; Dentistry,Chemistry,Business &amp; Management,Languages, Literature &amp; Linguistics,Geology, Environmental, Earth &amp; Marine Sciences</t>
  </si>
  <si>
    <t>University of Bern</t>
  </si>
  <si>
    <t>/world-university-rankings/university-bern</t>
  </si>
  <si>
    <t>Medicine &amp; Dentistry,Mathematics &amp; Statistics,Accounting &amp; Finance,Biological Sciences,Law,Other Health,Sociology,Veterinary Science,Psychology,Languages, Literature &amp; Linguistics,Archaeology,Geology, Environmental, Earth &amp; Marine Sciences,Business &amp; Management,Chemistry,Education,Art, Performing Arts &amp; Design,Computer Science,Geography,History, Philosophy &amp; Theology,Politics &amp; International Studies (incl Development Studies),Economics &amp; Econometrics,Physics &amp; Astronomy,Sport Science,Communication &amp; Media Studies</t>
  </si>
  <si>
    <t>Hanyang University</t>
  </si>
  <si>
    <t>301â€“350</t>
  </si>
  <si>
    <t>51.1â€“53.0</t>
  </si>
  <si>
    <t>/world-university-rankings/hanyang-university</t>
  </si>
  <si>
    <t>Medicine &amp; Dentistry,Physics &amp; Astronomy,Business &amp; Management,Other Health,Biological Sciences,Law,Art, Performing Arts &amp; Design,General Engineering,Communication &amp; Media Studies,Mechanical &amp; Aerospace Engineering,Sociology,Languages, Literature &amp; Linguistics,Chemistry,Architecture,Mathematics &amp; Statistics,Electrical &amp; Electronic Engineering,Politics &amp; International Studies (incl Development Studies),History, Philosophy &amp; Theology,Sport Science,Economics &amp; Econometrics,Civil Engineering,Geology, Environmental, Earth &amp; Marine Sciences,Education,Computer Science,Chemical Engineering,Accounting &amp; Finance</t>
  </si>
  <si>
    <t>Al-Farabi Kazakh National University</t>
  </si>
  <si>
    <t>KZ</t>
  </si>
  <si>
    <t>Kazakhstan</t>
  </si>
  <si>
    <t>1201â€“1500</t>
  </si>
  <si>
    <t>22.8â€“28.2</t>
  </si>
  <si>
    <t>/world-university-rankings/al-farabi-kazakh-national-university</t>
  </si>
  <si>
    <t>Electrical &amp; Electronic Engineering,Law,Sport Science,Communication &amp; Media Studies,Accounting &amp; Finance,Biological Sciences,Geology, Environmental, Earth &amp; Marine Sciences,Economics &amp; Econometrics,Other Health,Physics &amp; Astronomy,Business &amp; Management,Medicine &amp; Dentistry,General Engineering,Chemistry,Archaeology,Chemical Engineering,Psychology,Computer Science,Politics &amp; International Studies (incl Development Studies),Mechanical &amp; Aerospace Engineering,Sociology,History, Philosophy &amp; Theology,Mathematics &amp; Statistics,Geography,Languages, Literature &amp; Linguistics,Civil Engineering,Education</t>
  </si>
  <si>
    <t>Complutense University of Madrid</t>
  </si>
  <si>
    <t>ES</t>
  </si>
  <si>
    <t>Spain</t>
  </si>
  <si>
    <t>/world-university-rankings/complutense-university-madrid</t>
  </si>
  <si>
    <t>Veterinary Science,Education,Medicine &amp; Dentistry,Geology, Environmental, Earth &amp; Marine Sciences,Accounting &amp; Finance,Other Health,Communication &amp; Media Studies,Computer Science,Physics &amp; Astronomy,Archaeology,Politics &amp; International Studies (incl Development Studies),Psychology,Art, Performing Arts &amp; Design,Mathematics &amp; Statistics,Business &amp; Management,Chemical Engineering,Law,History, Philosophy &amp; Theology,Biological Sciences,Sociology,Electrical &amp; Electronic Engineering,Geography,Languages, Literature &amp; Linguistics,Chemistry,Economics &amp; Econometrics</t>
  </si>
  <si>
    <t>University of Liverpool</t>
  </si>
  <si>
    <t>/world-university-rankings/university-liverpool</t>
  </si>
  <si>
    <t>General Engineering,Medicine &amp; Dentistry,Mechanical &amp; Aerospace Engineering,Chemistry,Sociology,Economics &amp; Econometrics,Electrical &amp; Electronic Engineering,Languages, Literature &amp; Linguistics,Computer Science,Physics &amp; Astronomy,Politics &amp; International Studies (incl Development Studies),Veterinary Science,History, Philosophy &amp; Theology,Civil Engineering,Accounting &amp; Finance,Communication &amp; Media Studies,Law,Other Health,Archaeology,Mathematics &amp; Statistics,Business &amp; Management,Psychology,Biological Sciences,Geology, Environmental, Earth &amp; Marine Sciences,Geography,Architecture</t>
  </si>
  <si>
    <t>https://www.timeshighereducation.com/student/register-interest/siuk?utm_medium=thewebsite&amp;utm_campaign=cta-link&amp;utm_source=rankings&amp;iid=i-48205864</t>
  </si>
  <si>
    <t>Kyushu University</t>
  </si>
  <si>
    <t>/world-university-rankings/kyushu-university</t>
  </si>
  <si>
    <t>Computer Science,Archaeology,Electrical &amp; Electronic Engineering,Sociology,General Engineering,Medicine &amp; Dentistry,Psychology,Sport Science,Veterinary Science,Business &amp; Management,Architecture,Biological Sciences,Geology, Environmental, Earth &amp; Marine Sciences,Chemistry,Accounting &amp; Finance,Geography,Art, Performing Arts &amp; Design,Other Health,Politics &amp; International Studies (incl Development Studies),Civil Engineering,Languages, Literature &amp; Linguistics,Mechanical &amp; Aerospace Engineering,Agriculture &amp; Forestry,Education,Mathematics &amp; Statistics,Chemical Engineering,Law,History, Philosophy &amp; Theology,Physics &amp; Astronomy,Communication &amp; Media Studies,Economics &amp; Econometrics</t>
  </si>
  <si>
    <t>University of Wollongong</t>
  </si>
  <si>
    <t>/world-university-rankings/university-wollongong</t>
  </si>
  <si>
    <t>University of Wollongong UOW University of Wollongong Australia</t>
  </si>
  <si>
    <t>Archaeology,History, Philosophy &amp; Theology,Politics &amp; International Studies (incl Development Studies),Civil Engineering,Psychology,Economics &amp; Econometrics,Accounting &amp; Finance,Agriculture &amp; Forestry,Geology, Environmental, Earth &amp; Marine Sciences,Geography,Law,Mechanical &amp; Aerospace Engineering,General Engineering,Architecture,Languages, Literature &amp; Linguistics,Physics &amp; Astronomy,Business &amp; Management,Chemistry,Electrical &amp; Electronic Engineering,Communication &amp; Media Studies,Computer Science,Art, Performing Arts &amp; Design,Mathematics &amp; Statistics,Medicine &amp; Dentistry,Education,Sociology,Sport Science,Biological Sciences,Other Health</t>
  </si>
  <si>
    <t>Ghent University</t>
  </si>
  <si>
    <t>/world-university-rankings/ghent-university</t>
  </si>
  <si>
    <t>Languages, Literature &amp; Linguistics,Accounting &amp; Finance,Chemistry,Chemical Engineering,Psychology,Economics &amp; Econometrics,Archaeology,Physics &amp; Astronomy,Biological Sciences,History, Philosophy &amp; Theology,Mathematics &amp; Statistics,Sociology,Law,Mechanical &amp; Aerospace Engineering,Other Health,Geography,Art, Performing Arts &amp; Design,Medicine &amp; Dentistry,General Engineering,Politics &amp; International Studies (incl Development Studies),Electrical &amp; Electronic Engineering,Geology, Environmental, Earth &amp; Marine Sciences,Computer Science,Sport Science,Business &amp; Management,Civil Engineering,Veterinary Science,Education,Agriculture &amp; Forestry,Communication &amp; Media Studies</t>
  </si>
  <si>
    <t>The University of Exeter</t>
  </si>
  <si>
    <t>University of Exeter</t>
  </si>
  <si>
    <t>/world-university-rankings/university-exeter</t>
  </si>
  <si>
    <t>Other Health,Sociology,Medicine &amp; Dentistry,Agriculture &amp; Forestry,Psychology,Languages, Literature &amp; Linguistics,Sport Science,Economics &amp; Econometrics,Architecture,Civil Engineering,Mathematics &amp; Statistics,Archaeology,Mechanical &amp; Aerospace Engineering,Education,Computer Science,Politics &amp; International Studies (incl Development Studies),History, Philosophy &amp; Theology,Electrical &amp; Electronic Engineering,Geology, Environmental, Earth &amp; Marine Sciences,Law,General Engineering,Communication &amp; Media Studies,Accounting &amp; Finance,Veterinary Science,Physics &amp; Astronomy,Business &amp; Management,Art, Performing Arts &amp; Design,Biological Sciences,Geography</t>
  </si>
  <si>
    <t>University of Cape Town</t>
  </si>
  <si>
    <t>ZA</t>
  </si>
  <si>
    <t>South Africa</t>
  </si>
  <si>
    <t>/world-university-rankings/university-cape-town</t>
  </si>
  <si>
    <t>University of Cape Town UCT</t>
  </si>
  <si>
    <t>Communication &amp; Media Studies,Economics &amp; Econometrics,Law,General Engineering,Art, Performing Arts &amp; Design,Accounting &amp; Finance,Architecture,Mechanical &amp; Aerospace Engineering,Biological Sciences,History, Philosophy &amp; Theology,Business &amp; Management,Sport Science,Chemistry,Physics &amp; Astronomy,Sociology,Archaeology,Psychology,Medicine &amp; Dentistry,Other Health,Computer Science,Education,Languages, Literature &amp; Linguistics,Chemical Engineering,Geology, Environmental, Earth &amp; Marine Sciences,Electrical &amp; Electronic Engineering,Geography,Mathematics &amp; Statistics,Civil Engineering,Politics &amp; International Studies (incl Development Studies)</t>
  </si>
  <si>
    <t>University of Reading</t>
  </si>
  <si>
    <t>/world-university-rankings/university-reading</t>
  </si>
  <si>
    <t>Other Health,Mathematics &amp; Statistics,Accounting &amp; Finance,Art, Performing Arts &amp; Design,Chemical Engineering,Education,Biological Sciences,Physics &amp; Astronomy,Computer Science,Geography,History, Philosophy &amp; Theology,Agriculture &amp; Forestry,Psychology,Languages, Literature &amp; Linguistics,Veterinary Science,Business &amp; Management,Archaeology,Law,Civil Engineering,Politics &amp; International Studies (incl Development Studies),General Engineering,Geology, Environmental, Earth &amp; Marine Sciences,Economics &amp; Econometrics,Architecture,Chemistry,Communication &amp; Media Studies</t>
  </si>
  <si>
    <t>https://www.timeshighereducation.com/student/register-interest/siuk?utm_medium=thewebsite&amp;utm_campaign=cta-link&amp;utm_source=rankings&amp;iid=i-33306644</t>
  </si>
  <si>
    <t>Hokkaido University</t>
  </si>
  <si>
    <t>351â€“400</t>
  </si>
  <si>
    <t>49.1â€“51.0</t>
  </si>
  <si>
    <t>/world-university-rankings/hokkaido-university</t>
  </si>
  <si>
    <t>Business &amp; Management,Electrical &amp; Electronic Engineering,Chemistry,Education,Sport Science,Archaeology,Art, Performing Arts &amp; Design,Psychology,Computer Science,Veterinary Science,Mathematics &amp; Statistics,Politics &amp; International Studies (incl Development Studies),Architecture,General Engineering,Civil Engineering,Communication &amp; Media Studies,Sociology,Accounting &amp; Finance,Languages, Literature &amp; Linguistics,Law,Medicine &amp; Dentistry,Agriculture &amp; Forestry,Other Health,Economics &amp; Econometrics,Chemical Engineering,History, Philosophy &amp; Theology,Geology, Environmental, Earth &amp; Marine Sciences,Mechanical &amp; Aerospace Engineering,Geography,Biological Sciences,Physics &amp; Astronomy</t>
  </si>
  <si>
    <t>Curtin University</t>
  </si>
  <si>
    <t>/world-university-rankings/curtin-university</t>
  </si>
  <si>
    <t>Curtin University Curtin</t>
  </si>
  <si>
    <t>Languages, Literature &amp; Linguistics,Computer Science,Physics &amp; Astronomy,History, Philosophy &amp; Theology,Sport Science,Education,Medicine &amp; Dentistry,Agriculture &amp; Forestry,Law,Chemical Engineering,Politics &amp; International Studies (incl Development Studies),Architecture,Mathematics &amp; Statistics,Psychology,Civil Engineering,Geology, Environmental, Earth &amp; Marine Sciences,Business &amp; Management,Other Health,Biological Sciences,Sociology,Electrical &amp; Electronic Engineering,Chemistry,Accounting &amp; Finance,Mechanical &amp; Aerospace Engineering,Communication &amp; Media Studies,Economics &amp; Econometrics,Art, Performing Arts &amp; Design,General Engineering,Geography</t>
  </si>
  <si>
    <t>McMaster University</t>
  </si>
  <si>
    <t>/world-university-rankings/mcmaster-university</t>
  </si>
  <si>
    <t>Other Health,Physics &amp; Astronomy,Economics &amp; Econometrics,Politics &amp; International Studies (incl Development Studies),Mechanical &amp; Aerospace Engineering,General Engineering,Geology, Environmental, Earth &amp; Marine Sciences,History, Philosophy &amp; Theology,Biological Sciences,Psychology,Art, Performing Arts &amp; Design,Civil Engineering,Sociology,Languages, Literature &amp; Linguistics,Chemical Engineering,Geography,Electrical &amp; Electronic Engineering,Communication &amp; Media Studies,Archaeology,Sport Science,Business &amp; Management,Medicine &amp; Dentistry,Mathematics &amp; Statistics,Accounting &amp; Finance,Computer Science,Chemistry</t>
  </si>
  <si>
    <t>Washington University in St. Louis</t>
  </si>
  <si>
    <t>Washington University in St Louis</t>
  </si>
  <si>
    <t>/world-university-rankings/washington-university-st-louis</t>
  </si>
  <si>
    <t>Computer Science,History, Philosophy &amp; Theology,Psychology,Mathematics &amp; Statistics,Electrical &amp; Electronic Engineering,Art, Performing Arts &amp; Design,Other Health,Business &amp; Management,Education,Geology, Environmental, Earth &amp; Marine Sciences,Communication &amp; Media Studies,Economics &amp; Econometrics,Accounting &amp; Finance,Sociology,Law,Politics &amp; International Studies (incl Development Studies),Biological Sciences,Mechanical &amp; Aerospace Engineering,General Engineering,Languages, Literature &amp; Linguistics,Architecture,Chemical Engineering,Chemistry,Medicine &amp; Dentistry,Archaeology,Physics &amp; Astronomy</t>
  </si>
  <si>
    <t xml:space="preserve">Universiti Teknologi Malaysia </t>
  </si>
  <si>
    <t>Universiti Teknologi Malaysia</t>
  </si>
  <si>
    <t>/world-university-rankings/universiti-teknologi-malaysia</t>
  </si>
  <si>
    <t>Civil Engineering,Architecture,Art, Performing Arts &amp; Design,Other Health,Politics &amp; International Studies (incl Development Studies),Chemistry,General Engineering,Physics &amp; Astronomy,Mathematics &amp; Statistics,Economics &amp; Econometrics,Communication &amp; Media Studies,Geology, Environmental, Earth &amp; Marine Sciences,Chemical Engineering,Mechanical &amp; Aerospace Engineering,Computer Science,Languages, Literature &amp; Linguistics,Education,Psychology,Accounting &amp; Finance,Sport Science,Electrical &amp; Electronic Engineering,History, Philosophy &amp; Theology,Business &amp; Management,Biological Sciences</t>
  </si>
  <si>
    <t>Waseda University</t>
  </si>
  <si>
    <t>801â€“1000</t>
  </si>
  <si>
    <t>32.7â€“36.9</t>
  </si>
  <si>
    <t>/world-university-rankings/waseda-university</t>
  </si>
  <si>
    <t>Waseda University Waseda Japan Tokyo</t>
  </si>
  <si>
    <t>Art, Performing Arts &amp; Design,Other Health,Mathematics &amp; Statistics,Business &amp; Management,Computer Science,Sociology,Education,Architecture,Geology, Environmental, Earth &amp; Marine Sciences,Electrical &amp; Electronic Engineering,Communication &amp; Media Studies,Economics &amp; Econometrics,Archaeology,Physics &amp; Astronomy,Law,Civil Engineering,Biological Sciences,Psychology,Languages, Literature &amp; Linguistics,Chemical Engineering,Geography,History, Philosophy &amp; Theology,Chemistry,Medicine &amp; Dentistry,Mechanical &amp; Aerospace Engineering,Politics &amp; International Studies (incl Development Studies),General Engineering,Sport Science,Accounting &amp; Finance</t>
  </si>
  <si>
    <t>University of York</t>
  </si>
  <si>
    <t>York University</t>
  </si>
  <si>
    <t>/world-university-rankings/york-university</t>
  </si>
  <si>
    <t>Sport Science,Chemistry,Mechanical &amp; Aerospace Engineering,Biological Sciences,Physics &amp; Astronomy,Computer Science,Sociology,Electrical &amp; Electronic Engineering,Law,Mathematics &amp; Statistics,Business &amp; Management,Other Health,History, Philosophy &amp; Theology,Civil Engineering,Geography,Economics &amp; Econometrics,Languages, Literature &amp; Linguistics,Geology, Environmental, Earth &amp; Marine Sciences,Politics &amp; International Studies (incl Development Studies),Agriculture &amp; Forestry,Education,Psychology,Accounting &amp; Finance,Art, Performing Arts &amp; Design,General Engineering,Communication &amp; Media Studies</t>
  </si>
  <si>
    <t>Cardiff University</t>
  </si>
  <si>
    <t>/world-university-rankings/cardiff-university</t>
  </si>
  <si>
    <t>Communication &amp; Media Studies,Mathematics &amp; Statistics,Architecture,History, Philosophy &amp; Theology,Economics &amp; Econometrics,Computer Science,Chemistry,Languages, Literature &amp; Linguistics,Biological Sciences,Sociology,Civil Engineering,Medicine &amp; Dentistry,Geology, Environmental, Earth &amp; Marine Sciences,Law,Other Health,Archaeology,Business &amp; Management,Education,Electrical &amp; Electronic Engineering,Geography,General Engineering,Chemical Engineering,Politics &amp; International Studies (incl Development Studies),Physics &amp; Astronomy,Mechanical &amp; Aerospace Engineering,Accounting &amp; Finance,Psychology,Art, Performing Arts &amp; Design</t>
  </si>
  <si>
    <t>https://www.timeshighereducation.com/student/register-interest/siuk?utm_medium=thewebsite&amp;utm_campaign=cta-link&amp;utm_source=rankings&amp;iid=i-50330553</t>
  </si>
  <si>
    <t>Ã‰cole Normale SupÃ©rieure de Lyon</t>
  </si>
  <si>
    <t>/world-university-rankings/ecole-normale-superieure-de-lyon</t>
  </si>
  <si>
    <t>Geography,Mathematics &amp; Statistics,History, Philosophy &amp; Theology,Economics &amp; Econometrics,Art, Performing Arts &amp; Design,Physics &amp; Astronomy,Education,Chemistry,Biological Sciences,Computer Science,Sociology,Languages, Literature &amp; Linguistics,Geology, Environmental, Earth &amp; Marine Sciences</t>
  </si>
  <si>
    <t>Keio University</t>
  </si>
  <si>
    <t>601â€“800</t>
  </si>
  <si>
    <t>37.0â€“41.8</t>
  </si>
  <si>
    <t>/world-university-rankings/keio-university</t>
  </si>
  <si>
    <t>36 : 64</t>
  </si>
  <si>
    <t>Archaeology,Mechanical &amp; Aerospace Engineering,Chemistry,Economics &amp; Econometrics,Computer Science,Sociology,Art, Performing Arts &amp; Design,Sport Science,Politics &amp; International Studies (incl Development Studies),Medicine &amp; Dentistry,Biological Sciences,Law,Other Health,Physics &amp; Astronomy,Education,Chemical Engineering,Psychology,Civil Engineering,Geography,History, Philosophy &amp; Theology,Electrical &amp; Electronic Engineering,Geology, Environmental, Earth &amp; Marine Sciences,Accounting &amp; Finance,Architecture,Mathematics &amp; Statistics,Business &amp; Management,Languages, Literature &amp; Linguistics,General Engineering,Communication &amp; Media Studies</t>
  </si>
  <si>
    <t>University of Ottawa</t>
  </si>
  <si>
    <t>/world-university-rankings/university-ottawa</t>
  </si>
  <si>
    <t>Other Health,Chemistry,Sociology,Art, Performing Arts &amp; Design,Politics &amp; International Studies (incl Development Studies),Business &amp; Management,General Engineering,Psychology,Languages, Literature &amp; Linguistics,Education,Civil Engineering,Geography,Chemical Engineering,Biological Sciences,Communication &amp; Media Studies,Geology, Environmental, Earth &amp; Marine Sciences,Medicine &amp; Dentistry,Electrical &amp; Electronic Engineering,Computer Science,Law,Mathematics &amp; Statistics,Mechanical &amp; Aerospace Engineering,Accounting &amp; Finance,Physics &amp; Astronomy,Economics &amp; Econometrics,History, Philosophy &amp; Theology,Sport Science</t>
  </si>
  <si>
    <t>https://www.timeshighereducation.com/student/register-interest/applyboard?utm_medium=thewebsite&amp;utm_campaign=cta-link&amp;utm_source=rankings&amp;iid=i-65998905</t>
  </si>
  <si>
    <t>Wuhan University</t>
  </si>
  <si>
    <t>/world-university-rankings/wuhan-university</t>
  </si>
  <si>
    <t>Computer Science,Chemistry,Business &amp; Management,Languages, Literature &amp; Linguistics,Agriculture &amp; Forestry,Geography,Art, Performing Arts &amp; Design,Mechanical &amp; Aerospace Engineering,Sociology,General Engineering,Biological Sciences,Communication &amp; Media Studies,History, Philosophy &amp; Theology,Civil Engineering,Law,Archaeology,Veterinary Science,Psychology,Architecture,Electrical &amp; Electronic Engineering,Geology, Environmental, Earth &amp; Marine Sciences,Education,Chemical Engineering,Politics &amp; International Studies (incl Development Studies),Medicine &amp; Dentistry,Physics &amp; Astronomy,Economics &amp; Econometrics,Other Health,Mathematics &amp; Statistics,Accounting &amp; Finance</t>
  </si>
  <si>
    <t>University of Gothenburg</t>
  </si>
  <si>
    <t>/world-university-rankings/university-gothenburg</t>
  </si>
  <si>
    <t>Psychology,Geography,Accounting &amp; Finance,Languages, Literature &amp; Linguistics,Sociology,Sport Science,Education,Geology, Environmental, Earth &amp; Marine Sciences,Archaeology,Communication &amp; Media Studies,History, Philosophy &amp; Theology,Business &amp; Management,Veterinary Science,Art, Performing Arts &amp; Design,Chemistry,Physics &amp; Astronomy,Medicine &amp; Dentistry,Economics &amp; Econometrics,Law,Mathematics &amp; Statistics,Biological Sciences,Politics &amp; International Studies (incl Development Studies),Computer Science,Other Health</t>
  </si>
  <si>
    <t xml:space="preserve">Beijing Normal University </t>
  </si>
  <si>
    <t>Beijing Normal University</t>
  </si>
  <si>
    <t>/world-university-rankings/beijing-normal-university</t>
  </si>
  <si>
    <t>Education,Biological Sciences,Psychology,History, Philosophy &amp; Theology,Physics &amp; Astronomy,Computer Science,Chemistry,Economics &amp; Econometrics,Languages, Literature &amp; Linguistics,Geology, Environmental, Earth &amp; Marine Sciences,Accounting &amp; Finance,Archaeology,Mathematics &amp; Statistics,Sport Science,Geography,Art, Performing Arts &amp; Design,Communication &amp; Media Studies,Business &amp; Management,Civil Engineering,Sociology,General Engineering,Law</t>
  </si>
  <si>
    <t>Emory University</t>
  </si>
  <si>
    <t>/world-university-rankings/emory-university</t>
  </si>
  <si>
    <t>Art, Performing Arts &amp; Design,Mathematics &amp; Statistics,Accounting &amp; Finance,Chemistry,Economics &amp; Econometrics,General Engineering,Psychology,Languages, Literature &amp; Linguistics,Geology, Environmental, Earth &amp; Marine Sciences,Computer Science,History, Philosophy &amp; Theology,Communication &amp; Media Studies,Other Health,Sociology,Politics &amp; International Studies (incl Development Studies),Physics &amp; Astronomy,Law,Medicine &amp; Dentistry,Biological Sciences,Business &amp; Management</t>
  </si>
  <si>
    <t>https://www.timeshighereducation.com/student/register-interest/shorelight?utm_medium=thewebsite&amp;utm_campaign=cta-link&amp;utm_source=rankings&amp;iid=i-20903556</t>
  </si>
  <si>
    <t>Deakin University</t>
  </si>
  <si>
    <t>/world-university-rankings/deakin-university</t>
  </si>
  <si>
    <t>Chemistry,Art, Performing Arts &amp; Design,Sociology,Psychology,Medicine &amp; Dentistry,Geology, Environmental, Earth &amp; Marine Sciences,Civil Engineering,Law,Communication &amp; Media Studies,General Engineering,Economics &amp; Econometrics,Politics &amp; International Studies (incl Development Studies),Computer Science,Other Health,Mechanical &amp; Aerospace Engineering,Mathematics &amp; Statistics,Geography,Accounting &amp; Finance,Biological Sciences,Languages, Literature &amp; Linguistics,Electrical &amp; Electronic Engineering,Architecture,Sport Science,History, Philosophy &amp; Theology,Business &amp; Management,Education</t>
  </si>
  <si>
    <t>https://www.timeshighereducation.com/student/register-interest/aecc?utm_medium=thewebsite&amp;utm_campaign=cta-link&amp;utm_source=rankings&amp;iid=i-92679623</t>
  </si>
  <si>
    <t>University of Calgary</t>
  </si>
  <si>
    <t>/world-university-rankings/university-calgary</t>
  </si>
  <si>
    <t>Architecture,Art, Performing Arts &amp; Design,Agriculture &amp; Forestry,Politics &amp; International Studies (incl Development Studies),Sociology,Archaeology,Languages, Literature &amp; Linguistics,Physics &amp; Astronomy,Medicine &amp; Dentistry,History, Philosophy &amp; Theology,Biological Sciences,General Engineering,Communication &amp; Media Studies,Veterinary Science,Geology, Environmental, Earth &amp; Marine Sciences,Civil Engineering,Mechanical &amp; Aerospace Engineering,Geography,Business &amp; Management,Chemistry,Sport Science,Computer Science,Psychology,Accounting &amp; Finance,Electrical &amp; Electronic Engineering,Mathematics &amp; Statistics,Economics &amp; Econometrics,Chemical Engineering,Law,Education,Other Health</t>
  </si>
  <si>
    <t>https://www.timeshighereducation.com/student/register-interest/applyboard?utm_medium=thewebsite&amp;utm_campaign=cta-link&amp;utm_source=rankings&amp;iid=i-81953893</t>
  </si>
  <si>
    <t>King Saud University</t>
  </si>
  <si>
    <t>/world-university-rankings/king-saud-university</t>
  </si>
  <si>
    <t>Psychology,Mechanical &amp; Aerospace Engineering,Economics &amp; Econometrics,Geology, Environmental, Earth &amp; Marine Sciences,Communication &amp; Media Studies,Chemical Engineering,Computer Science,Agriculture &amp; Forestry,Chemistry,Electrical &amp; Electronic Engineering,Sociology,Mathematics &amp; Statistics,General Engineering,Business &amp; Management,Languages, Literature &amp; Linguistics,Geography,Law,Medicine &amp; Dentistry,Physics &amp; Astronomy,Biological Sciences,Veterinary Science,Art, Performing Arts &amp; Design,History, Philosophy &amp; Theology,Architecture,Politics &amp; International Studies (incl Development Studies),Other Health,Sport Science,Education,Accounting &amp; Finance,Civil Engineering,Archaeology</t>
  </si>
  <si>
    <t>Khalifa University of Science and Technology</t>
  </si>
  <si>
    <t>AE</t>
  </si>
  <si>
    <t>United Arab Emirates</t>
  </si>
  <si>
    <t>1001â€“1200</t>
  </si>
  <si>
    <t>Kohat University of Science and Technology</t>
  </si>
  <si>
    <t>28.3â€“32.6</t>
  </si>
  <si>
    <t>/world-university-rankings/kohat-university-science-and-technology</t>
  </si>
  <si>
    <t>Pakistan</t>
  </si>
  <si>
    <t>26 : 74</t>
  </si>
  <si>
    <t>Agriculture &amp; Forestry,Business &amp; Management,Medicine &amp; Dentistry,Geology, Environmental, Earth &amp; Marine Sciences,Economics &amp; Econometrics,Chemistry,Computer Science,Law,Languages, Literature &amp; Linguistics,Physics &amp; Astronomy,Veterinary Science,Sociology,Mathematics &amp; Statistics,Accounting &amp; Finance,History, Philosophy &amp; Theology,Communication &amp; Media Studies,Biological Sciences,Education,Other Health,Psychology</t>
  </si>
  <si>
    <t>Ecole des Ponts ParisTech</t>
  </si>
  <si>
    <t>Ã‰cole des Ponts ParisTech</t>
  </si>
  <si>
    <t>/world-university-rankings/ecole-nationale-des-ponts-et-chaussees</t>
  </si>
  <si>
    <t>Economics &amp; Econometrics,Mechanical &amp; Aerospace Engineering,Mathematics &amp; Statistics,General Engineering,Civil Engineering,Geology, Environmental, Earth &amp; Marine Sciences,Sociology,Computer Science,Accounting &amp; Finance</t>
  </si>
  <si>
    <t>Queen's University Belfast</t>
  </si>
  <si>
    <t>Queenâ€™s University Belfast</t>
  </si>
  <si>
    <t>/world-university-rankings/queens-university-belfast</t>
  </si>
  <si>
    <t>Queenâ€™s University Belfast qub queen&amp;#039;s</t>
  </si>
  <si>
    <t>Medicine &amp; Dentistry,Business &amp; Management,Biological Sciences,Geology, Environmental, Earth &amp; Marine Sciences,Accounting &amp; Finance,Physics &amp; Astronomy,Computer Science,Economics &amp; Econometrics,Chemistry,Art, Performing Arts &amp; Design,Mechanical &amp; Aerospace Engineering,Geography,Electrical &amp; Electronic Engineering,Communication &amp; Media Studies,Other Health,Psychology,Mathematics &amp; Statistics,Sociology,Politics &amp; International Studies (incl Development Studies),Civil Engineering,Agriculture &amp; Forestry,Chemical Engineering,Archaeology,Law,History, Philosophy &amp; Theology,Architecture,Education,Languages, Literature &amp; Linguistics</t>
  </si>
  <si>
    <t>Tel Aviv University</t>
  </si>
  <si>
    <t>IL</t>
  </si>
  <si>
    <t>Israel</t>
  </si>
  <si>
    <t>/world-university-rankings/tel-aviv-university</t>
  </si>
  <si>
    <t>Languages, Literature &amp; Linguistics,Computer Science,Archaeology,History, Philosophy &amp; Theology,Mechanical &amp; Aerospace Engineering,Geography,Physics &amp; Astronomy,Psychology,Mathematics &amp; Statistics,Education,Business &amp; Management,Economics &amp; Econometrics,Sociology,Electrical &amp; Electronic Engineering,General Engineering,Art, Performing Arts &amp; Design,Biological Sciences,Chemical Engineering,Agriculture &amp; Forestry,Other Health,Politics &amp; International Studies (incl Development Studies),Chemistry,Law,Geology, Environmental, Earth &amp; Marine Sciences,Medicine &amp; Dentistry,Communication &amp; Media Studies,Architecture,Accounting &amp; Finance</t>
  </si>
  <si>
    <t>National Tsing Hua University</t>
  </si>
  <si>
    <t>/world-university-rankings/national-tsing-hua-university</t>
  </si>
  <si>
    <t>General Engineering,Politics &amp; International Studies (incl Development Studies),Art, Performing Arts &amp; Design,Accounting &amp; Finance,Chemistry,Psychology,Education,History, Philosophy &amp; Theology,Computer Science,Electrical &amp; Electronic Engineering,Biological Sciences,Communication &amp; Media Studies,Languages, Literature &amp; Linguistics,Agriculture &amp; Forestry,Mechanical &amp; Aerospace Engineering,Physics &amp; Astronomy,Law,Medicine &amp; Dentistry,Sociology,Civil Engineering,Business &amp; Management,Economics &amp; Econometrics,Other Health,Archaeology,Chemical Engineering,Mathematics &amp; Statistics,Geography,Sport Science,Geology, Environmental, Earth &amp; Marine Sciences</t>
  </si>
  <si>
    <t>Indian Institute of Science</t>
  </si>
  <si>
    <t>IN</t>
  </si>
  <si>
    <t>India</t>
  </si>
  <si>
    <t>/world-university-rankings/indian-institute-science</t>
  </si>
  <si>
    <t>27 : 73</t>
  </si>
  <si>
    <t>Chemistry,Computer Science,Biological Sciences,Civil Engineering,Mechanical &amp; Aerospace Engineering,Electrical &amp; Electronic Engineering,Mathematics &amp; Statistics,Chemical Engineering,Physics &amp; Astronomy,Geology, Environmental, Earth &amp; Marine Sciences</t>
  </si>
  <si>
    <t>University of Otago</t>
  </si>
  <si>
    <t>/world-university-rankings/university-otago</t>
  </si>
  <si>
    <t>General Engineering,Chemistry,Chemical Engineering,Other Health,Communication &amp; Media Studies,Sport Science,History, Philosophy &amp; Theology,Education,Biological Sciences,Psychology,Geography,Art, Performing Arts &amp; Design,Politics &amp; International Studies (incl Development Studies),Law,Mathematics &amp; Statistics,Economics &amp; Econometrics,Archaeology,Medicine &amp; Dentistry,Accounting &amp; Finance,Physics &amp; Astronomy,Agriculture &amp; Forestry,Geology, Environmental, Earth &amp; Marine Sciences,Computer Science,Business &amp; Management,Languages, Literature &amp; Linguistics,Veterinary Science,Sociology</t>
  </si>
  <si>
    <t>National Cheng Kung University (NCKU)</t>
  </si>
  <si>
    <t>/world-university-rankings/national-cheng-kung-university-ncku</t>
  </si>
  <si>
    <t>Computer Science,Mechanical &amp; Aerospace Engineering,Architecture,Other Health,Sport Science,Economics &amp; Econometrics,Electrical &amp; Electronic Engineering,Geology, Environmental, Earth &amp; Marine Sciences,General Engineering,Physics &amp; Astronomy,Education,History, Philosophy &amp; Theology,Biological Sciences,Psychology,Art, Performing Arts &amp; Design,Chemistry,Business &amp; Management,Medicine &amp; Dentistry,Agriculture &amp; Forestry,Politics &amp; International Studies (incl Development Studies),Archaeology,Mathematics &amp; Statistics,Law,Languages, Literature &amp; Linguistics,Civil Engineering,Chemical Engineering,Accounting &amp; Finance</t>
  </si>
  <si>
    <t>University of Florida</t>
  </si>
  <si>
    <t>/world-university-rankings/university-florida</t>
  </si>
  <si>
    <t>Mechanical &amp; Aerospace Engineering,Communication &amp; Media Studies,Economics &amp; Econometrics,Medicine &amp; Dentistry,Veterinary Science,Sociology,Other Health,Biological Sciences,Psychology,Computer Science,Mathematics &amp; Statistics,Education,Languages, Literature &amp; Linguistics,General Engineering,Chemistry,Electrical &amp; Electronic Engineering,Physics &amp; Astronomy,Law,Art, Performing Arts &amp; Design,Chemical Engineering,Geography,Architecture,Agriculture &amp; Forestry,Business &amp; Management,History, Philosophy &amp; Theology,Sport Science,Geology, Environmental, Earth &amp; Marine Sciences,Accounting &amp; Finance,Civil Engineering,Politics &amp; International Studies (incl Development Studies)</t>
  </si>
  <si>
    <t>https://www.timeshighereducation.com/student/register-interest/shorelight?utm_medium=thewebsite&amp;utm_campaign=cta-link&amp;utm_source=rankings&amp;iid=i-25479123</t>
  </si>
  <si>
    <t>La Trobe University</t>
  </si>
  <si>
    <t>/world-university-rankings/la-trobe-university</t>
  </si>
  <si>
    <t>Politics &amp; International Studies (incl Development Studies),Economics &amp; Econometrics,Civil Engineering,Geology, Environmental, Earth &amp; Marine Sciences,Education,General Engineering,Chemistry,Veterinary Science,Other Health,Biological Sciences,Law,Computer Science,Mathematics &amp; Statistics,Accounting &amp; Finance,History, Philosophy &amp; Theology,Physics &amp; Astronomy,Business &amp; Management,Archaeology,Sport Science,Psychology,Electrical &amp; Electronic Engineering,Sociology,Languages, Literature &amp; Linguistics,Communication &amp; Media Studies,Medicine &amp; Dentistry,Agriculture &amp; Forestry</t>
  </si>
  <si>
    <t>https://www.timeshighereducation.com/student/register-interest/aecc?utm_medium=thewebsite&amp;utm_campaign=cta-link&amp;utm_source=rankings&amp;iid=i-05999552</t>
  </si>
  <si>
    <t>University of Maryland, College Park</t>
  </si>
  <si>
    <t>/world-university-rankings/university-maryland-college-park</t>
  </si>
  <si>
    <t>Chemical Engineering,General Engineering,Education,Geography,Communication &amp; Media Studies,History, Philosophy &amp; Theology,Economics &amp; Econometrics,Art, Performing Arts &amp; Design,Computer Science,Civil Engineering,Other Health,Mathematics &amp; Statistics,Languages, Literature &amp; Linguistics,Chemistry,Mechanical &amp; Aerospace Engineering,Archaeology,Sport Science,Politics &amp; International Studies (incl Development Studies),Sociology,Accounting &amp; Finance,Business &amp; Management,Agriculture &amp; Forestry,Physics &amp; Astronomy,Electrical &amp; Electronic Engineering,Architecture,Veterinary Science,Geology, Environmental, Earth &amp; Marine Sciences,Biological Sciences</t>
  </si>
  <si>
    <t>https://www.timeshighereducation.com/student/register-interest/shorelight?utm_medium=thewebsite&amp;utm_campaign=cta-link&amp;utm_source=rankings&amp;iid=i-76110123</t>
  </si>
  <si>
    <t>National Yang Ming Chiao Tung University</t>
  </si>
  <si>
    <t>/world-university-rankings/national-yang-ming-chiao-tung-university-0</t>
  </si>
  <si>
    <t>Languages, Literature &amp; Linguistics,Biological Sciences,Art, Performing Arts &amp; Design,Education,Economics &amp; Econometrics,Communication &amp; Media Studies,Mathematics &amp; Statistics,Architecture,History, Philosophy &amp; Theology,Law,Other Health,General Engineering,Geology, Environmental, Earth &amp; Marine Sciences,Chemical Engineering,Psychology,Medicine &amp; Dentistry,Chemistry,Business &amp; Management,Electrical &amp; Electronic Engineering,Civil Engineering,Mechanical &amp; Aerospace Engineering,Accounting &amp; Finance,Computer Science,Politics &amp; International Studies (incl Development Studies),Physics &amp; Astronomy,Sociology</t>
  </si>
  <si>
    <t>Vrije Universiteit Amsterdam</t>
  </si>
  <si>
    <t>/world-university-rankings/vrije-universiteit-amsterdam</t>
  </si>
  <si>
    <t>Sport Science,Psychology,Sociology,Medicine &amp; Dentistry,Architecture,Politics &amp; International Studies (incl Development Studies),Chemistry,Languages, Literature &amp; Linguistics,Other Health,Accounting &amp; Finance,Geology, Environmental, Earth &amp; Marine Sciences,Art, Performing Arts &amp; Design,Biological Sciences,Computer Science,Communication &amp; Media Studies,Law,Agriculture &amp; Forestry,History, Philosophy &amp; Theology,Mechanical &amp; Aerospace Engineering,Education,Economics &amp; Econometrics,Geography,Physics &amp; Astronomy,Business &amp; Management,Archaeology,Mathematics &amp; Statistics</t>
  </si>
  <si>
    <t>Loughborough University</t>
  </si>
  <si>
    <t>/world-university-rankings/loughborough-university</t>
  </si>
  <si>
    <t>40 : 60</t>
  </si>
  <si>
    <t>Law,General Engineering,Other Health,Civil Engineering,Psychology,Physics &amp; Astronomy,Education,Economics &amp; Econometrics,Sport Science,Biological Sciences,Languages, Literature &amp; Linguistics,Geography,Politics &amp; International Studies (incl Development Studies),Architecture,Mechanical &amp; Aerospace Engineering,Business &amp; Management,Chemistry,Accounting &amp; Finance,Sociology,Geology, Environmental, Earth &amp; Marine Sciences,Art, Performing Arts &amp; Design,Chemical Engineering,Electrical &amp; Electronic Engineering,History, Philosophy &amp; Theology,Mathematics &amp; Statistics,Communication &amp; Media Studies,Computer Science</t>
  </si>
  <si>
    <t>https://www.timeshighereducation.com/student/register-interest/siuk?utm_medium=thewebsite&amp;utm_campaign=cta-link&amp;utm_source=rankings&amp;iid=i-89667825</t>
  </si>
  <si>
    <t>University of Lausanne</t>
  </si>
  <si>
    <t>/world-university-rankings/university-lausanne</t>
  </si>
  <si>
    <t>Geography,Biological Sciences,Communication &amp; Media Studies,Sociology,Languages, Literature &amp; Linguistics,Psychology,Accounting &amp; Finance,Geology, Environmental, Earth &amp; Marine Sciences,History, Philosophy &amp; Theology,Archaeology,Law,Economics &amp; Econometrics,Other Health,Business &amp; Management,Education,Medicine &amp; Dentistry,Politics &amp; International Studies (incl Development Studies),Sport Science,Computer Science</t>
  </si>
  <si>
    <t>Chulalongkorn University</t>
  </si>
  <si>
    <t>TH</t>
  </si>
  <si>
    <t>Thailand</t>
  </si>
  <si>
    <t>/world-university-rankings/chulalongkorn-university</t>
  </si>
  <si>
    <t>Chulalongkorn University Chula Chulalongkorn</t>
  </si>
  <si>
    <t>History, Philosophy &amp; Theology,Politics &amp; International Studies (incl Development Studies),Communication &amp; Media Studies,Archaeology,Physics &amp; Astronomy,Biological Sciences,Electrical &amp; Electronic Engineering,Sociology,Computer Science,Veterinary Science,Psychology,Languages, Literature &amp; Linguistics,Chemical Engineering,General Engineering,Chemistry,Law,Accounting &amp; Finance,Mechanical &amp; Aerospace Engineering,Civil Engineering,Art, Performing Arts &amp; Design,Education,Agriculture &amp; Forestry,Business &amp; Management,Architecture,Geology, Environmental, Earth &amp; Marine Sciences,Mathematics &amp; Statistics,Economics &amp; Econometrics,Medicine &amp; Dentistry,Sport Science,Other Health,Geography</t>
  </si>
  <si>
    <t xml:space="preserve">Maastricht University </t>
  </si>
  <si>
    <t>Maastricht University</t>
  </si>
  <si>
    <t>/world-university-rankings/maastricht-university</t>
  </si>
  <si>
    <t>Education,Biological Sciences,Computer Science,Chemical Engineering,Medicine &amp; Dentistry,Communication &amp; Media Studies,Law,Languages, Literature &amp; Linguistics,Economics &amp; Econometrics,Other Health,Politics &amp; International Studies (incl Development Studies),Art, Performing Arts &amp; Design,Sociology,Business &amp; Management,Sport Science,Psychology,Accounting &amp; Finance,Chemistry,Mathematics &amp; Statistics,General Engineering,History, Philosophy &amp; Theology</t>
  </si>
  <si>
    <t>Universite libre de Bruxelles</t>
  </si>
  <si>
    <t>UniversitÃ© Libre de Bruxelles</t>
  </si>
  <si>
    <t>/world-university-rankings/universite-libre-de-bruxelles</t>
  </si>
  <si>
    <t>Art, Performing Arts &amp; Design,Electrical &amp; Electronic Engineering,Physics &amp; Astronomy,Other Health,Communication &amp; Media Studies,General Engineering,Chemistry,Business &amp; Management,Computer Science,Agriculture &amp; Forestry,Sociology,History, Philosophy &amp; Theology,Civil Engineering,Sport Science,Psychology,Languages, Literature &amp; Linguistics,Mathematics &amp; Statistics,Education,Mechanical &amp; Aerospace Engineering,Politics &amp; International Studies (incl Development Studies),Archaeology,Chemical Engineering,Geography,Economics &amp; Econometrics,Medicine &amp; Dentistry,Veterinary Science,Law,Architecture,Biological Sciences,Geology, Environmental, Earth &amp; Marine Sciences,Accounting &amp; Finance</t>
  </si>
  <si>
    <t>University of Twente</t>
  </si>
  <si>
    <t>/world-university-rankings/university-twente</t>
  </si>
  <si>
    <t>Law,Chemical Engineering,Sport Science,Computer Science,Biological Sciences,History, Philosophy &amp; Theology,Sociology,Business &amp; Management,Mathematics &amp; Statistics,Civil Engineering,Psychology,Accounting &amp; Finance,Physics &amp; Astronomy,Economics &amp; Econometrics,Politics &amp; International Studies (incl Development Studies),General Engineering,Mechanical &amp; Aerospace Engineering,Other Health,Geography,Agriculture &amp; Forestry,Electrical &amp; Electronic Engineering,Communication &amp; Media Studies,Medicine &amp; Dentistry,Geology, Environmental, Earth &amp; Marine Sciences,Chemistry,Education</t>
  </si>
  <si>
    <t>University of Waikato</t>
  </si>
  <si>
    <t>/world-university-rankings/university-waikato</t>
  </si>
  <si>
    <t>University of Waikato UoW</t>
  </si>
  <si>
    <t>Languages, Literature &amp; Linguistics,Physics &amp; Astronomy,Psychology,History, Philosophy &amp; Theology,Sport Science,Economics &amp; Econometrics,Agriculture &amp; Forestry,Geography,Other Health,Biological Sciences,Education,Mechanical &amp; Aerospace Engineering,Politics &amp; International Studies (incl Development Studies),General Engineering,Geology, Environmental, Earth &amp; Marine Sciences,Business &amp; Management,Electrical &amp; Electronic Engineering,Communication &amp; Media Studies,Civil Engineering,Chemistry,Accounting &amp; Finance,Computer Science,Mathematics &amp; Statistics,Law,Art, Performing Arts &amp; Design,Chemical Engineering,Sociology</t>
  </si>
  <si>
    <t>https://www.timeshighereducation.com/student/register-interest/aecc?utm_medium=thewebsite&amp;utm_campaign=cta-link&amp;utm_source=rankings&amp;iid=i-22862122</t>
  </si>
  <si>
    <t>University of Aberdeen</t>
  </si>
  <si>
    <t>/world-university-rankings/university-aberdeen</t>
  </si>
  <si>
    <t>Education,History, Philosophy &amp; Theology,Physics &amp; Astronomy,Mathematics &amp; Statistics,Geography,Art, Performing Arts &amp; Design,Business &amp; Management,Medicine &amp; Dentistry,Sport Science,Other Health,Chemical Engineering,Politics &amp; International Studies (incl Development Studies),Languages, Literature &amp; Linguistics,Computer Science,Chemistry,Accounting &amp; Finance,Biological Sciences,Law,Geology, Environmental, Earth &amp; Marine Sciences,Mechanical &amp; Aerospace Engineering,General Engineering,Economics &amp; Econometrics,Sociology,Electrical &amp; Electronic Engineering,Archaeology,Civil Engineering,Psychology</t>
  </si>
  <si>
    <t>https://www.timeshighereducation.com/student/register-interest/siuk?utm_medium=thewebsite&amp;utm_campaign=cta-link&amp;utm_source=rankings&amp;iid=i-57429768</t>
  </si>
  <si>
    <t>University of Rochester</t>
  </si>
  <si>
    <t>/world-university-rankings/university-rochester</t>
  </si>
  <si>
    <t>Mechanical &amp; Aerospace Engineering,Biological Sciences,Education,Medicine &amp; Dentistry,History, Philosophy &amp; Theology,General Engineering,Geology, Environmental, Earth &amp; Marine Sciences,Chemistry,Communication &amp; Media Studies,Mathematics &amp; Statistics,Chemical Engineering,Sociology,Psychology,Accounting &amp; Finance,Electrical &amp; Electronic Engineering,Business &amp; Management,Languages, Literature &amp; Linguistics,Other Health,Art, Performing Arts &amp; Design,Archaeology,Politics &amp; International Studies (incl Development Studies),Computer Science,Physics &amp; Astronomy,Economics &amp; Econometrics</t>
  </si>
  <si>
    <t>https://www.timeshighereducation.com/student/register-interest/shorelight?utm_medium=thewebsite&amp;utm_campaign=cta-link&amp;utm_source=rankings&amp;iid=i-49369082</t>
  </si>
  <si>
    <t>Massey University</t>
  </si>
  <si>
    <t>/world-university-rankings/massey-university</t>
  </si>
  <si>
    <t>Sport Science,Other Health,Architecture,Chemistry,Mechanical &amp; Aerospace Engineering,Veterinary Science,Mathematics &amp; Statistics,Economics &amp; Econometrics,Languages, Literature &amp; Linguistics,Electrical &amp; Electronic Engineering,Art, Performing Arts &amp; Design,Biological Sciences,Business &amp; Management,History, Philosophy &amp; Theology,Civil Engineering,Chemical Engineering,Agriculture &amp; Forestry,Computer Science,General Engineering,Politics &amp; International Studies (incl Development Studies),Geography,Archaeology,Sociology,Accounting &amp; Finance,Physics &amp; Astronomy,Geology, Environmental, Earth &amp; Marine Sciences,Education,Psychology,Communication &amp; Media Studies</t>
  </si>
  <si>
    <t>https://www.timeshighereducation.com/student/register-interest/aecc?utm_medium=thewebsite&amp;utm_campaign=cta-link&amp;utm_source=rankings&amp;iid=i-92906672</t>
  </si>
  <si>
    <t>Technical University of Darmstadt</t>
  </si>
  <si>
    <t>/world-university-rankings/technical-university-darmstadt</t>
  </si>
  <si>
    <t>33 : 67</t>
  </si>
  <si>
    <t>Technical University of Darmstadt Technical University of Darmstadt</t>
  </si>
  <si>
    <t>General Engineering,Computer Science,Chemistry,Other Health,Physics &amp; Astronomy,Education,Biological Sciences,Psychology,Electrical &amp; Electronic Engineering,Sociology,Architecture,Civil Engineering,Economics &amp; Econometrics,History, Philosophy &amp; Theology,Chemical Engineering,Languages, Literature &amp; Linguistics,Mathematics &amp; Statistics,Business &amp; Management,Mechanical &amp; Aerospace Engineering,Geology, Environmental, Earth &amp; Marine Sciences,Sport Science,Politics &amp; International Studies (incl Development Studies)</t>
  </si>
  <si>
    <t>Dartmouth College</t>
  </si>
  <si>
    <t>/world-university-rankings/dartmouth-college</t>
  </si>
  <si>
    <t>General Engineering,Geography,History, Philosophy &amp; Theology,Mathematics &amp; Statistics,Business &amp; Management,Art, Performing Arts &amp; Design,Chemical Engineering,Politics &amp; International Studies (incl Development Studies),Languages, Literature &amp; Linguistics,Agriculture &amp; Forestry,Sociology,Mechanical &amp; Aerospace Engineering,Communication &amp; Media Studies,Medicine &amp; Dentistry,Civil Engineering,Psychology,Computer Science,Geology, Environmental, Earth &amp; Marine Sciences,Other Health,Chemistry,Economics &amp; Econometrics,Archaeology,Biological Sciences,Electrical &amp; Electronic Engineering,Physics &amp; Astronomy</t>
  </si>
  <si>
    <t>https://www.timeshighereducation.com/student/register-interest/shorelight?utm_medium=thewebsite&amp;utm_campaign=cta-link&amp;utm_source=rankings&amp;iid=i-46262331</t>
  </si>
  <si>
    <t>Victoria University of Wellington</t>
  </si>
  <si>
    <t>/world-university-rankings/victoria-university-wellington</t>
  </si>
  <si>
    <t>Architecture,Politics &amp; International Studies (incl Development Studies),History, Philosophy &amp; Theology,Psychology,Biological Sciences,Law,Art, Performing Arts &amp; Design,Chemistry,Accounting &amp; Finance,Physics &amp; Astronomy,Education,Electrical &amp; Electronic Engineering,Geography,Other Health,Communication &amp; Media Studies,Geology, Environmental, Earth &amp; Marine Sciences,Economics &amp; Econometrics,Languages, Literature &amp; Linguistics,Mathematics &amp; Statistics,Business &amp; Management,Computer Science,Sociology</t>
  </si>
  <si>
    <t>https://www.timeshighereducation.com/student/register-interest/aecc?utm_medium=thewebsite&amp;utm_campaign=cta-link&amp;utm_source=rankings&amp;iid=i-06549291</t>
  </si>
  <si>
    <t>University of Macau</t>
  </si>
  <si>
    <t>MO</t>
  </si>
  <si>
    <t>Macau SAR</t>
  </si>
  <si>
    <t>/world-university-rankings/university-macau</t>
  </si>
  <si>
    <t>Macao</t>
  </si>
  <si>
    <t>Sport Science,Law,General Engineering,Geology, Environmental, Earth &amp; Marine Sciences,Other Health,Physics &amp; Astronomy,Biological Sciences,Politics &amp; International Studies (incl Development Studies),Electrical &amp; Electronic Engineering,Sociology,History, Philosophy &amp; Theology,Mechanical &amp; Aerospace Engineering,Psychology,Languages, Literature &amp; Linguistics,Civil Engineering,Communication &amp; Media Studies,Economics &amp; Econometrics,Art, Performing Arts &amp; Design,Mathematics &amp; Statistics,Accounting &amp; Finance,Computer Science,Chemistry,Business &amp; Management,Medicine &amp; Dentistry,Education</t>
  </si>
  <si>
    <t>Charles University</t>
  </si>
  <si>
    <t>CZ</t>
  </si>
  <si>
    <t>Czech Republic</t>
  </si>
  <si>
    <t>/world-university-rankings/charles-university</t>
  </si>
  <si>
    <t>Politics &amp; International Studies (incl Development Studies),Archaeology,Physics &amp; Astronomy,Accounting &amp; Finance,Psychology,Geology, Environmental, Earth &amp; Marine Sciences,Computer Science,Geography,Languages, Literature &amp; Linguistics,Education,Art, Performing Arts &amp; Design,Mathematics &amp; Statistics,Biological Sciences,Business &amp; Management,Medicine &amp; Dentistry,Economics &amp; Econometrics,Chemistry,Law,Sociology,Other Health,History, Philosophy &amp; Theology,Communication &amp; Media Studies,Sport Science</t>
  </si>
  <si>
    <t>University of Sussex</t>
  </si>
  <si>
    <t>/world-university-rankings/university-sussex</t>
  </si>
  <si>
    <t>Sociology,Mechanical &amp; Aerospace Engineering,Education,Computer Science,Accounting &amp; Finance,General Engineering,Law,Geography,Biological Sciences,Medicine &amp; Dentistry,Chemistry,Art, Performing Arts &amp; Design,Politics &amp; International Studies (incl Development Studies),Business &amp; Management,Mathematics &amp; Statistics,Electrical &amp; Electronic Engineering,Psychology,Economics &amp; Econometrics,History, Philosophy &amp; Theology,Communication &amp; Media Studies,Geology, Environmental, Earth &amp; Marine Sciences,Physics &amp; Astronomy,Languages, Literature &amp; Linguistics,Other Health</t>
  </si>
  <si>
    <t>https://www.timeshighereducation.com/student/register-interest/siuk?utm_medium=thewebsite&amp;utm_campaign=cta-link&amp;utm_source=rankings&amp;iid=i-64911343</t>
  </si>
  <si>
    <t>Vanderbilt University</t>
  </si>
  <si>
    <t>/world-university-rankings/vanderbilt-university</t>
  </si>
  <si>
    <t>Physics &amp; Astronomy,Mechanical &amp; Aerospace Engineering,General Engineering,Sociology,History, Philosophy &amp; Theology,Geology, Environmental, Earth &amp; Marine Sciences,Computer Science,Psychology,Other Health,Economics &amp; Econometrics,Chemistry,Mathematics &amp; Statistics,Accounting &amp; Finance,Communication &amp; Media Studies,Business &amp; Management,Civil Engineering,Medicine &amp; Dentistry,Art, Performing Arts &amp; Design,Geography,Politics &amp; International Studies (incl Development Studies),Biological Sciences,Archaeology,Electrical &amp; Electronic Engineering,Law,Education,Chemical Engineering,Languages, Literature &amp; Linguistics</t>
  </si>
  <si>
    <t>https://www.timeshighereducation.com/student/register-interest/shorelight?utm_medium=thewebsite&amp;utm_campaign=cta-link&amp;utm_source=rankings&amp;iid=i-72359222</t>
  </si>
  <si>
    <t>University of Navarra</t>
  </si>
  <si>
    <t>/world-university-rankings/university-navarra</t>
  </si>
  <si>
    <t>Computer Science,Psychology,Archaeology,Law,General Engineering,Business &amp; Management,Chemistry,Architecture,Mechanical &amp; Aerospace Engineering,Electrical &amp; Electronic Engineering,Accounting &amp; Finance,Education,Art, Performing Arts &amp; Design,Politics &amp; International Studies (incl Development Studies),Languages, Literature &amp; Linguistics,Communication &amp; Media Studies,Other Health,Biological Sciences,Medicine &amp; Dentistry,Geology, Environmental, Earth &amp; Marine Sciences,History, Philosophy &amp; Theology,Economics &amp; Econometrics</t>
  </si>
  <si>
    <t>Tongji University</t>
  </si>
  <si>
    <t>/world-university-rankings/tongji-university</t>
  </si>
  <si>
    <t>Art, Performing Arts &amp; Design,Electrical &amp; Electronic Engineering,Civil Engineering,Other Health,Agriculture &amp; Forestry,History, Philosophy &amp; Theology,Sport Science,Chemical Engineering,General Engineering,Medicine &amp; Dentistry,Mathematics &amp; Statistics,Sociology,Geology, Environmental, Earth &amp; Marine Sciences,Politics &amp; International Studies (incl Development Studies),Geography,Economics &amp; Econometrics,Psychology,Computer Science,Mechanical &amp; Aerospace Engineering,Chemistry,Architecture,Business &amp; Management,Law,Biological Sciences,Physics &amp; Astronomy,Communication &amp; Media Studies,Languages, Literature &amp; Linguistics,Education,Veterinary Science,Accounting &amp; Finance</t>
  </si>
  <si>
    <t>Hong Kong Baptist University</t>
  </si>
  <si>
    <t>/world-university-rankings/hong-kong-baptist-university</t>
  </si>
  <si>
    <t>Hong Kong Baptist University hkbu</t>
  </si>
  <si>
    <t>Economics &amp; Econometrics,Art, Performing Arts &amp; Design,Mathematics &amp; Statistics,Chemistry,Politics &amp; International Studies (incl Development Studies),Languages, Literature &amp; Linguistics,Communication &amp; Media Studies,Geography,Sociology,Biological Sciences,Business &amp; Management,Medicine &amp; Dentistry,Computer Science,Physics &amp; Astronomy,Agriculture &amp; Forestry,Sport Science,History, Philosophy &amp; Theology,Education,Accounting &amp; Finance</t>
  </si>
  <si>
    <t>University of GÃ¶ttingen</t>
  </si>
  <si>
    <t>/world-university-rankings/university-gottingen</t>
  </si>
  <si>
    <t>History, Philosophy &amp; Theology,Veterinary Science,Law,Languages, Literature &amp; Linguistics,Physics &amp; Astronomy,Geography,Sport Science,Accounting &amp; Finance,Computer Science,Politics &amp; International Studies (incl Development Studies),Medicine &amp; Dentistry,Education,Archaeology,Sociology,Other Health,Geology, Environmental, Earth &amp; Marine Sciences,Agriculture &amp; Forestry,Psychology,Biological Sciences,Chemistry,Economics &amp; Econometrics,Art, Performing Arts &amp; Design,Mathematics &amp; Statistics,Business &amp; Management</t>
  </si>
  <si>
    <t>Griffith University</t>
  </si>
  <si>
    <t>/world-university-rankings/griffith-university</t>
  </si>
  <si>
    <t>Communication &amp; Media Studies,Medicine &amp; Dentistry,Sociology,Geography,Business &amp; Management,Economics &amp; Econometrics,Architecture,Sport Science,Politics &amp; International Studies (incl Development Studies),Law,Archaeology,Chemistry,Civil Engineering,Accounting &amp; Finance,Biological Sciences,Mathematics &amp; Statistics,Mechanical &amp; Aerospace Engineering,Electrical &amp; Electronic Engineering,Psychology,Computer Science,Education,History, Philosophy &amp; Theology,Languages, Literature &amp; Linguistics,Agriculture &amp; Forestry,Art, Performing Arts &amp; Design,Geology, Environmental, Earth &amp; Marine Sciences,Physics &amp; Astronomy,Other Health,General Engineering</t>
  </si>
  <si>
    <t>Bandung Institute of Technology (ITB)</t>
  </si>
  <si>
    <t>ID</t>
  </si>
  <si>
    <t>Indonesia</t>
  </si>
  <si>
    <t>/world-university-rankings/bandung-institute-technology-itb</t>
  </si>
  <si>
    <t>Art, Performing Arts &amp; Design,Chemical Engineering,Chemistry,General Engineering,Physics &amp; Astronomy,Accounting &amp; Finance,Computer Science,Mathematics &amp; Statistics,Law,Archaeology,Biological Sciences,Education,Languages, Literature &amp; Linguistics,Mechanical &amp; Aerospace Engineering,Sociology,Economics &amp; Econometrics,History, Philosophy &amp; Theology,Agriculture &amp; Forestry,Geology, Environmental, Earth &amp; Marine Sciences,Architecture,Veterinary Science,Politics &amp; International Studies (incl Development Studies),Business &amp; Management,Medicine &amp; Dentistry,Electrical &amp; Electronic Engineering,Geography,Civil Engineering,Sport Science,Psychology,Other Health,Communication &amp; Media Studies</t>
  </si>
  <si>
    <t>Heriot-Watt University</t>
  </si>
  <si>
    <t>/world-university-rankings/heriot-watt-university</t>
  </si>
  <si>
    <t>Art, Performing Arts &amp; Design,Chemical Engineering,Geology, Environmental, Earth &amp; Marine Sciences,Civil Engineering,Accounting &amp; Finance,Languages, Literature &amp; Linguistics,Physics &amp; Astronomy,General Engineering,Geography,Computer Science,Business &amp; Management,Electrical &amp; Electronic Engineering,Economics &amp; Econometrics,Biological Sciences,Mechanical &amp; Aerospace Engineering,Chemistry,Mathematics &amp; Statistics,Psychology,Architecture,Sport Science,Agriculture &amp; Forestry</t>
  </si>
  <si>
    <t>https://www.timeshighereducation.com/student/register-interest/siuk?utm_medium=thewebsite&amp;utm_campaign=cta-link&amp;utm_source=rankings&amp;iid=i-23564362</t>
  </si>
  <si>
    <t xml:space="preserve">University of Warsaw </t>
  </si>
  <si>
    <t>PL</t>
  </si>
  <si>
    <t>Poland</t>
  </si>
  <si>
    <t>University of Warsaw</t>
  </si>
  <si>
    <t>/world-university-rankings/university-warsaw</t>
  </si>
  <si>
    <t>Accounting &amp; Finance,Chemistry,Law,Biological Sciences,Communication &amp; Media Studies,Sociology,Physics &amp; Astronomy,Education,Politics &amp; International Studies (incl Development Studies),Economics &amp; Econometrics,Archaeology,Geology, Environmental, Earth &amp; Marine Sciences,Business &amp; Management,Geography,History, Philosophy &amp; Theology,Psychology,Art, Performing Arts &amp; Design,Computer Science,Medicine &amp; Dentistry,Mathematics &amp; Statistics,Languages, Literature &amp; Linguistics</t>
  </si>
  <si>
    <t>Case Western Reserve University</t>
  </si>
  <si>
    <t>/world-university-rankings/case-western-reserve-university</t>
  </si>
  <si>
    <t>General Engineering,Physics &amp; Astronomy,Business &amp; Management,Mechanical &amp; Aerospace Engineering,Chemistry,Economics &amp; Econometrics,Other Health,Politics &amp; International Studies (incl Development Studies),Medicine &amp; Dentistry,Geology, Environmental, Earth &amp; Marine Sciences,History, Philosophy &amp; Theology,Chemical Engineering,Psychology,Civil Engineering,Mathematics &amp; Statistics,Accounting &amp; Finance,Languages, Literature &amp; Linguistics,Biological Sciences,Electrical &amp; Electronic Engineering,Education,Architecture,Law,Art, Performing Arts &amp; Design,Computer Science,Sociology</t>
  </si>
  <si>
    <t>https://www.timeshighereducation.com/student/register-interest/shorelight?utm_medium=thewebsite&amp;utm_campaign=cta-link&amp;utm_source=rankings&amp;iid=i-36123924</t>
  </si>
  <si>
    <t xml:space="preserve">University of Lisbon </t>
  </si>
  <si>
    <t>PT</t>
  </si>
  <si>
    <t>Portugal</t>
  </si>
  <si>
    <t>University of Lisbon</t>
  </si>
  <si>
    <t>/world-university-rankings/university-lisbon</t>
  </si>
  <si>
    <t>History, Philosophy &amp; Theology,Electrical &amp; Electronic Engineering,Agriculture &amp; Forestry,Psychology,Architecture,Mathematics &amp; Statistics,Business &amp; Management,Art, Performing Arts &amp; Design,Medicine &amp; Dentistry,Veterinary Science,Education,Archaeology,Chemistry,Geography,Mechanical &amp; Aerospace Engineering,Geology, Environmental, Earth &amp; Marine Sciences,Economics &amp; Econometrics,Biological Sciences,Law,Other Health,Languages, Literature &amp; Linguistics,Chemical Engineering,Communication &amp; Media Studies,Computer Science,Sport Science,Politics &amp; International Studies (incl Development Studies),Civil Engineering,Sociology,General Engineering,Physics &amp; Astronomy,Accounting &amp; Finance</t>
  </si>
  <si>
    <t>United Arab Emirates University</t>
  </si>
  <si>
    <t>/world-university-rankings/united-arab-emirates-university</t>
  </si>
  <si>
    <t>Geology, Environmental, Earth &amp; Marine Sciences,Politics &amp; International Studies (incl Development Studies),Chemical Engineering,Biological Sciences,Sociology,Agriculture &amp; Forestry,Other Health,Communication &amp; Media Studies,Archaeology,Veterinary Science,History, Philosophy &amp; Theology,Architecture,Education,Business &amp; Management,Psychology,Law,Mathematics &amp; Statistics,Accounting &amp; Finance,Computer Science,Mechanical &amp; Aerospace Engineering,Art, Performing Arts &amp; Design,Medicine &amp; Dentistry,Civil Engineering,Chemistry,Languages, Literature &amp; Linguistics,General Engineering,Physics &amp; Astronomy,Electrical &amp; Electronic Engineering,Economics &amp; Econometrics,Geography</t>
  </si>
  <si>
    <t>Norwegian University of Science And Technology</t>
  </si>
  <si>
    <t>Norwegian University of Science and Technology</t>
  </si>
  <si>
    <t>/world-university-rankings/norwegian-university-science-and-technology</t>
  </si>
  <si>
    <t>Civil Engineering,Sociology,Art, Performing Arts &amp; Design,Chemical Engineering,Accounting &amp; Finance,Other Health,Electrical &amp; Electronic Engineering,Geography,History, Philosophy &amp; Theology,Geology, Environmental, Earth &amp; Marine Sciences,Economics &amp; Econometrics,Architecture,Mathematics &amp; Statistics,Education,Biological Sciences,Business &amp; Management,Computer Science,Physics &amp; Astronomy,Psychology,Archaeology,Mechanical &amp; Aerospace Engineering,Communication &amp; Media Studies,Medicine &amp; Dentistry,General Engineering,Chemistry,Languages, Literature &amp; Linguistics,Sport Science,Politics &amp; International Studies (incl Development Studies)</t>
  </si>
  <si>
    <t>University of Antwerp</t>
  </si>
  <si>
    <t>/world-university-rankings/university-antwerp</t>
  </si>
  <si>
    <t>Sociology,General Engineering,Education,Biological Sciences,Law,Languages, Literature &amp; Linguistics,Business &amp; Management,Chemical Engineering,Physics &amp; Astronomy,History, Philosophy &amp; Theology,Economics &amp; Econometrics,Veterinary Science,Chemistry,Electrical &amp; Electronic Engineering,Politics &amp; International Studies (incl Development Studies),Communication &amp; Media Studies,Computer Science,Other Health,Geology, Environmental, Earth &amp; Marine Sciences,Architecture,Mechanical &amp; Aerospace Engineering,Medicine &amp; Dentistry,Mathematics &amp; Statistics,Art, Performing Arts &amp; Design</t>
  </si>
  <si>
    <t>University of Witwatersrand</t>
  </si>
  <si>
    <t>University of the Witwatersrand</t>
  </si>
  <si>
    <t>/world-university-rankings/university-witwatersrand</t>
  </si>
  <si>
    <t>University of the Witwatersrand Wits</t>
  </si>
  <si>
    <t>Communication &amp; Media Studies,Chemistry,Archaeology,Geology, Environmental, Earth &amp; Marine Sciences,Mathematics &amp; Statistics,Psychology,Biological Sciences,History, Philosophy &amp; Theology,Education,Art, Performing Arts &amp; Design,Architecture,Sociology,Accounting &amp; Finance,Economics &amp; Econometrics,Physics &amp; Astronomy,Languages, Literature &amp; Linguistics,Civil Engineering,Business &amp; Management,Medicine &amp; Dentistry,Computer Science,Law,Chemical Engineering,General Engineering,Electrical &amp; Electronic Engineering,Politics &amp; International Studies (incl Development Studies),Other Health,Mechanical &amp; Aerospace Engineering,Geography</t>
  </si>
  <si>
    <t>Sun Yat-sen University</t>
  </si>
  <si>
    <t>/world-university-rankings/sun-yat-sen-university</t>
  </si>
  <si>
    <t>Languages, Literature &amp; Linguistics,Accounting &amp; Finance,Geography,Agriculture &amp; Forestry,History, Philosophy &amp; Theology,Biological Sciences,Other Health,Education,Architecture,Chemical Engineering,Mathematics &amp; Statistics,Politics &amp; International Studies (incl Development Studies),Sociology,Medicine &amp; Dentistry,Veterinary Science,Art, Performing Arts &amp; Design,Law,Civil Engineering,Psychology,Geology, Environmental, Earth &amp; Marine Sciences,Archaeology,Economics &amp; Econometrics,Physics &amp; Astronomy,Electrical &amp; Electronic Engineering,Business &amp; Management,Chemistry,General Engineering,Sport Science,Mechanical &amp; Aerospace Engineering,Communication &amp; Media Studies,Computer Science</t>
  </si>
  <si>
    <t>Universiti Teknologi PETRONAS (UTP)</t>
  </si>
  <si>
    <t>Universiti Teknologi Petronas</t>
  </si>
  <si>
    <t>/world-university-rankings/universiti-teknologi-petronas</t>
  </si>
  <si>
    <t>Universiti Teknologi Petronas UTP Petronas University of Technology University Technology Petronas</t>
  </si>
  <si>
    <t>Electrical &amp; Electronic Engineering,Chemical Engineering,Chemistry,Geology, Environmental, Earth &amp; Marine Sciences,Mechanical &amp; Aerospace Engineering,Computer Science,Civil Engineering,Business &amp; Management,General Engineering</t>
  </si>
  <si>
    <t>Harbin Institute of Technology</t>
  </si>
  <si>
    <t>/world-university-rankings/harbin-institute-technology</t>
  </si>
  <si>
    <t>Mathematics &amp; Statistics,Computer Science,Geology, Environmental, Earth &amp; Marine Sciences,Chemistry,Civil Engineering,Business &amp; Management,Languages, Literature &amp; Linguistics,Mechanical &amp; Aerospace Engineering,Physics &amp; Astronomy,Economics &amp; Econometrics,Chemical Engineering,Electrical &amp; Electronic Engineering,Law,Biological Sciences,Accounting &amp; Finance,General Engineering</t>
  </si>
  <si>
    <t>University College Cork</t>
  </si>
  <si>
    <t>/world-university-rankings/university-college-cork</t>
  </si>
  <si>
    <t>University College Cork ucc</t>
  </si>
  <si>
    <t>Other Health,Civil Engineering,Architecture,Sociology,Art, Performing Arts &amp; Design,Mechanical &amp; Aerospace Engineering,Agriculture &amp; Forestry,Biological Sciences,Languages, Literature &amp; Linguistics,Physics &amp; Astronomy,Economics &amp; Econometrics,Business &amp; Management,Psychology,Mathematics &amp; Statistics,General Engineering,Archaeology,Geography,Medicine &amp; Dentistry,Law,Chemical Engineering,Geology, Environmental, Earth &amp; Marine Sciences,Electrical &amp; Electronic Engineering,Sport Science,Accounting &amp; Finance,Computer Science,Education,Chemistry,History, Philosophy &amp; Theology,Politics &amp; International Studies (incl Development Studies)</t>
  </si>
  <si>
    <t>University of Galway</t>
  </si>
  <si>
    <t>/world-university-rankings/university-galway</t>
  </si>
  <si>
    <t>University of Galway nui nui galway</t>
  </si>
  <si>
    <t>Physics &amp; Astronomy,Languages, Literature &amp; Linguistics,Psychology,Geology, Environmental, Earth &amp; Marine Sciences,Education,Mathematics &amp; Statistics,Agriculture &amp; Forestry,Medicine &amp; Dentistry,Chemistry,Computer Science,Mechanical &amp; Aerospace Engineering,Electrical &amp; Electronic Engineering,Politics &amp; International Studies (incl Development Studies),General Engineering,Law,Geography,Sociology,Archaeology,Art, Performing Arts &amp; Design,Accounting &amp; Finance,History, Philosophy &amp; Theology,Communication &amp; Media Studies,Biological Sciences,Economics &amp; Econometrics,Business &amp; Management,Other Health,Civil Engineering</t>
  </si>
  <si>
    <t>Dalhousie University</t>
  </si>
  <si>
    <t>/world-university-rankings/dalhousie-university</t>
  </si>
  <si>
    <t>Physics &amp; Astronomy,Business &amp; Management,Chemistry,Sport Science,Communication &amp; Media Studies,Economics &amp; Econometrics,Mathematics &amp; Statistics,Chemical Engineering,Architecture,Mechanical &amp; Aerospace Engineering,Geology, Environmental, Earth &amp; Marine Sciences,Art, Performing Arts &amp; Design,Law,Veterinary Science,Politics &amp; International Studies (incl Development Studies),Languages, Literature &amp; Linguistics,Other Health,Accounting &amp; Finance,Electrical &amp; Electronic Engineering,History, Philosophy &amp; Theology,Civil Engineering,Medicine &amp; Dentistry,Computer Science,General Engineering,Agriculture &amp; Forestry,Psychology,Biological Sciences,Sociology</t>
  </si>
  <si>
    <t>https://www.timeshighereducation.com/student/register-interest/applyboard?utm_medium=thewebsite&amp;utm_campaign=cta-link&amp;utm_source=rankings&amp;iid=i-91697003</t>
  </si>
  <si>
    <t>University of Porto</t>
  </si>
  <si>
    <t>/world-university-rankings/university-porto</t>
  </si>
  <si>
    <t>General Engineering,Medicine &amp; Dentistry,Languages, Literature &amp; Linguistics,Archaeology,Chemical Engineering,History, Philosophy &amp; Theology,Agriculture &amp; Forestry,Law,Physics &amp; Astronomy,Other Health,Business &amp; Management,Geology, Environmental, Earth &amp; Marine Sciences,Geography,Accounting &amp; Finance,Education,Economics &amp; Econometrics,Mechanical &amp; Aerospace Engineering,Psychology,Sport Science,Chemistry,Civil Engineering,Computer Science,Mathematics &amp; Statistics,Art, Performing Arts &amp; Design,Architecture,Politics &amp; International Studies (incl Development Studies),Electrical &amp; Electronic Engineering,Veterinary Science,Communication &amp; Media Studies,Biological Sciences,Sociology</t>
  </si>
  <si>
    <t>Vrije Universiteit Brussel (VUB)</t>
  </si>
  <si>
    <t>Vrije Universiteit Brussel</t>
  </si>
  <si>
    <t>/world-university-rankings/vrije-universiteit-brussel</t>
  </si>
  <si>
    <t>Mechanical &amp; Aerospace Engineering,Sociology,Physics &amp; Astronomy,Biological Sciences,Medicine &amp; Dentistry,Psychology,Chemical Engineering,History, Philosophy &amp; Theology,General Engineering,Civil Engineering,Geology, Environmental, Earth &amp; Marine Sciences,Education,Languages, Literature &amp; Linguistics,Geography,Law,Economics &amp; Econometrics,Mathematics &amp; Statistics,Communication &amp; Media Studies,Archaeology,Chemistry,Politics &amp; International Studies (incl Development Studies),Other Health,Electrical &amp; Electronic Engineering,Business &amp; Management,Sport Science,Computer Science</t>
  </si>
  <si>
    <t>Ulsan National Institute of Science and Technology (UNIST)</t>
  </si>
  <si>
    <t>/world-university-rankings/ulsan-national-institute-science-and-technology-unist</t>
  </si>
  <si>
    <t>General Engineering,Physics &amp; Astronomy,Biological Sciences,Computer Science,Business &amp; Management,Mathematics &amp; Statistics,Mechanical &amp; Aerospace Engineering,Chemical Engineering,Geology, Environmental, Earth &amp; Marine Sciences,Chemistry,Civil Engineering,Accounting &amp; Finance,Electrical &amp; Electronic Engineering,Economics &amp; Econometrics</t>
  </si>
  <si>
    <t>The Hebrew University of Jerusalem</t>
  </si>
  <si>
    <t>Hebrew University of Jerusalem</t>
  </si>
  <si>
    <t>/world-university-rankings/hebrew-university-jerusalem</t>
  </si>
  <si>
    <t>Other Health,Languages, Literature &amp; Linguistics,Veterinary Science,Education,Physics &amp; Astronomy,Politics &amp; International Studies (incl Development Studies),Accounting &amp; Finance,Art, Performing Arts &amp; Design,Mathematics &amp; Statistics,Agriculture &amp; Forestry,Economics &amp; Econometrics,Geology, Environmental, Earth &amp; Marine Sciences,Medicine &amp; Dentistry,Computer Science,Business &amp; Management,Chemistry,Geography,Communication &amp; Media Studies,Electrical &amp; Electronic Engineering,Archaeology,Law,Sociology,Biological Sciences,Psychology,History, Philosophy &amp; Theology</t>
  </si>
  <si>
    <t>University of Strathclyde</t>
  </si>
  <si>
    <t>/world-university-rankings/university-strathclyde</t>
  </si>
  <si>
    <t>History, Philosophy &amp; Theology,Agriculture &amp; Forestry,Geology, Environmental, Earth &amp; Marine Sciences,Economics &amp; Econometrics,Art, Performing Arts &amp; Design,General Engineering,Communication &amp; Media Studies,Civil Engineering,Sociology,Electrical &amp; Electronic Engineering,Politics &amp; International Studies (incl Development Studies),Other Health,Mathematics &amp; Statistics,Psychology,Sport Science,Education,Languages, Literature &amp; Linguistics,Biological Sciences,Business &amp; Management,Computer Science,Chemical Engineering,Geography,Mechanical &amp; Aerospace Engineering,Chemistry,Law,Architecture,Physics &amp; Astronomy,Accounting &amp; Finance</t>
  </si>
  <si>
    <t>https://www.timeshighereducation.com/student/register-interest/siuk?utm_medium=thewebsite&amp;utm_campaign=cta-link&amp;utm_source=rankings&amp;iid=i-30420621</t>
  </si>
  <si>
    <t>Xiamen University</t>
  </si>
  <si>
    <t>/world-university-rankings/xiamen-university</t>
  </si>
  <si>
    <t>Medicine &amp; Dentistry,Architecture,Other Health,Geography,Chemical Engineering,Biological Sciences,Art, Performing Arts &amp; Design,Veterinary Science,Sociology,Mathematics &amp; Statistics,Politics &amp; International Studies (incl Development Studies),General Engineering,Communication &amp; Media Studies,Mechanical &amp; Aerospace Engineering,Physics &amp; Astronomy,Archaeology,Economics &amp; Econometrics,Psychology,Accounting &amp; Finance,Electrical &amp; Electronic Engineering,Business &amp; Management,Geology, Environmental, Earth &amp; Marine Sciences,Sport Science,Languages, Literature &amp; Linguistics,Law,Chemistry,Education,History, Philosophy &amp; Theology,Civil Engineering,Computer Science,Agriculture &amp; Forestry</t>
  </si>
  <si>
    <t>Middle East Technical University</t>
  </si>
  <si>
    <t>TR</t>
  </si>
  <si>
    <t>Turkey</t>
  </si>
  <si>
    <t>/world-university-rankings/middle-east-technical-university</t>
  </si>
  <si>
    <t>Architecture,Geology, Environmental, Earth &amp; Marine Sciences,Archaeology,Chemistry,Art, Performing Arts &amp; Design,General Engineering,Sociology,Languages, Literature &amp; Linguistics,Civil Engineering,Education,Chemical Engineering,Economics &amp; Econometrics,Mechanical &amp; Aerospace Engineering,Communication &amp; Media Studies,Biological Sciences,Politics &amp; International Studies (incl Development Studies),History, Philosophy &amp; Theology,Electrical &amp; Electronic Engineering,Psychology,Mathematics &amp; Statistics,Computer Science,Physics &amp; Astronomy,Business &amp; Management</t>
  </si>
  <si>
    <t>University of Cologne</t>
  </si>
  <si>
    <t>/world-university-rankings/university-cologne</t>
  </si>
  <si>
    <t>Languages, Literature &amp; Linguistics,Sociology,Physics &amp; Astronomy,Education,Chemistry,Economics &amp; Econometrics,Medicine &amp; Dentistry,Law,Accounting &amp; Finance,Archaeology,Geography,Other Health,Communication &amp; Media Studies,Mathematics &amp; Statistics,Business &amp; Management,Computer Science,Politics &amp; International Studies (incl Development Studies),Art, Performing Arts &amp; Design,Geology, Environmental, Earth &amp; Marine Sciences,History, Philosophy &amp; Theology,Biological Sciences,Psychology</t>
  </si>
  <si>
    <t>University of Leicester</t>
  </si>
  <si>
    <t>/world-university-rankings/university-leicester</t>
  </si>
  <si>
    <t>University of Leicester uk united kingdom leicester</t>
  </si>
  <si>
    <t>Education,Mechanical &amp; Aerospace Engineering,Geology, Environmental, Earth &amp; Marine Sciences,General Engineering,Physics &amp; Astronomy,Law,Art, Performing Arts &amp; Design,Agriculture &amp; Forestry,Sociology,Economics &amp; Econometrics,Other Health,Civil Engineering,Chemistry,Business &amp; Management,Languages, Literature &amp; Linguistics,Chemical Engineering,Communication &amp; Media Studies,History, Philosophy &amp; Theology,Sport Science,Accounting &amp; Finance,Medicine &amp; Dentistry,Mathematics &amp; Statistics,Psychology,Electrical &amp; Electronic Engineering,Politics &amp; International Studies (incl Development Studies),Computer Science,Veterinary Science,Geography,Archaeology,Biological Sciences</t>
  </si>
  <si>
    <t>https://www.timeshighereducation.com/student/register-interest/siuk?utm_medium=thewebsite&amp;utm_campaign=cta-link&amp;utm_source=rankings&amp;iid=i-37055783</t>
  </si>
  <si>
    <t>University of Milan</t>
  </si>
  <si>
    <t>/world-university-rankings/university-milan</t>
  </si>
  <si>
    <t>Agriculture &amp; Forestry,Communication &amp; Media Studies,Other Health,Sport Science,Law,Chemical Engineering,Sociology,Archaeology,Mathematics &amp; Statistics,Economics &amp; Econometrics,Medicine &amp; Dentistry,Geography,Languages, Literature &amp; Linguistics,Politics &amp; International Studies (incl Development Studies),Computer Science,Geology, Environmental, Earth &amp; Marine Sciences,Biological Sciences,Chemistry,Business &amp; Management,History, Philosophy &amp; Theology,Physics &amp; Astronomy,Accounting &amp; Finance,Art, Performing Arts &amp; Design,Veterinary Science,Psychology</t>
  </si>
  <si>
    <t>University of Surrey</t>
  </si>
  <si>
    <t>/world-university-rankings/university-surrey</t>
  </si>
  <si>
    <t>Mathematics &amp; Statistics,Law,Communication &amp; Media Studies,Art, Performing Arts &amp; Design,Mechanical &amp; Aerospace Engineering,Electrical &amp; Electronic Engineering,Chemistry,Veterinary Science,Physics &amp; Astronomy,Civil Engineering,Sociology,Languages, Literature &amp; Linguistics,Economics &amp; Econometrics,Politics &amp; International Studies (incl Development Studies),Biological Sciences,Sport Science,Chemical Engineering,Computer Science,Accounting &amp; Finance,Business &amp; Management,Psychology,Geology, Environmental, Earth &amp; Marine Sciences,General Engineering,Other Health</t>
  </si>
  <si>
    <t>Swinburne University of Technology</t>
  </si>
  <si>
    <t>/world-university-rankings/swinburne-university-technology</t>
  </si>
  <si>
    <t>Physics &amp; Astronomy,Biological Sciences,Sport Science,Mechanical &amp; Aerospace Engineering,Economics &amp; Econometrics,Languages, Literature &amp; Linguistics,Medicine &amp; Dentistry,Sociology,Chemical Engineering,Mathematics &amp; Statistics,Other Health,Law,Politics &amp; International Studies (incl Development Studies),Computer Science,Electrical &amp; Electronic Engineering,Business &amp; Management,Communication &amp; Media Studies,Accounting &amp; Finance,General Engineering,Agriculture &amp; Forestry,Psychology,Chemistry,Education,History, Philosophy &amp; Theology,Architecture,Civil Engineering,Art, Performing Arts &amp; Design</t>
  </si>
  <si>
    <t>https://www.timeshighereducation.com/student/register-interest/aecc?utm_medium=thewebsite&amp;utm_campaign=cta-link&amp;utm_source=rankings&amp;iid=i-90741515</t>
  </si>
  <si>
    <t>University of Bergen</t>
  </si>
  <si>
    <t>/world-university-rankings/university-bergen</t>
  </si>
  <si>
    <t>Other Health,Mathematics &amp; Statistics,Psychology,Art, Performing Arts &amp; Design,Physics &amp; Astronomy,Economics &amp; Econometrics,Biological Sciences,Education,History, Philosophy &amp; Theology,Sociology,Archaeology,Geography,Computer Science,Law,Communication &amp; Media Studies,Chemistry,Medicine &amp; Dentistry,Politics &amp; International Studies (incl Development Studies),Languages, Literature &amp; Linguistics,Geology, Environmental, Earth &amp; Marine Sciences</t>
  </si>
  <si>
    <t>The University of Arizona</t>
  </si>
  <si>
    <t>University of Arizona</t>
  </si>
  <si>
    <t>/world-university-rankings/university-arizona</t>
  </si>
  <si>
    <t>Languages, Literature &amp; Linguistics,Chemistry,Law,Business &amp; Management,Economics &amp; Econometrics,History, Philosophy &amp; Theology,Sociology,Veterinary Science,Psychology,Other Health,Politics &amp; International Studies (incl Development Studies),Geology, Environmental, Earth &amp; Marine Sciences,Chemical Engineering,Archaeology,Accounting &amp; Finance,Biological Sciences,Mathematics &amp; Statistics,General Engineering,Agriculture &amp; Forestry,Geography,Physics &amp; Astronomy,Computer Science,Architecture,Sport Science,Electrical &amp; Electronic Engineering,Education,Communication &amp; Media Studies,Mechanical &amp; Aerospace Engineering,Medicine &amp; Dentistry,Art, Performing Arts &amp; Design,Civil Engineering</t>
  </si>
  <si>
    <t>https://www.timeshighereducation.com/student/into-university-partnerships?utm_medium=thewebsite&amp;utm_campaign=cta-link&amp;utm_source=rankings&amp;iid=i-84754683</t>
  </si>
  <si>
    <t>University of Tasmania</t>
  </si>
  <si>
    <t>/world-university-rankings/university-tasmania</t>
  </si>
  <si>
    <t>Other Health,Geology, Environmental, Earth &amp; Marine Sciences,Languages, Literature &amp; Linguistics,Biological Sciences,Geography,Architecture,Sport Science,Economics &amp; Econometrics,Electrical &amp; Electronic Engineering,Politics &amp; International Studies (incl Development Studies),Computer Science,Physics &amp; Astronomy,Business &amp; Management,History, Philosophy &amp; Theology,Agriculture &amp; Forestry,Sociology,Art, Performing Arts &amp; Design,Mechanical &amp; Aerospace Engineering,Communication &amp; Media Studies,Education,Civil Engineering,Law,General Engineering,Mathematics &amp; Statistics,Psychology,Medicine &amp; Dentistry,Chemistry,Accounting &amp; Finance</t>
  </si>
  <si>
    <t>https://www.timeshighereducation.com/student/register-interest/aecc?utm_medium=thewebsite&amp;utm_campaign=cta-link&amp;utm_source=rankings&amp;iid=i-41097594</t>
  </si>
  <si>
    <t>Beijing Institute of Technology</t>
  </si>
  <si>
    <t>/world-university-rankings/beijing-institute-technology</t>
  </si>
  <si>
    <t>Sociology,Chemistry,History, Philosophy &amp; Theology,Chemical Engineering,Electrical &amp; Electronic Engineering,Physics &amp; Astronomy,Business &amp; Management,Biological Sciences,Law,Geology, Environmental, Earth &amp; Marine Sciences,Psychology,Languages, Literature &amp; Linguistics,General Engineering,Mathematics &amp; Statistics,Education,Computer Science,Sport Science,Art, Performing Arts &amp; Design,Accounting &amp; Finance,Economics &amp; Econometrics,Mechanical &amp; Aerospace Engineering</t>
  </si>
  <si>
    <t>Stellenbosch University</t>
  </si>
  <si>
    <t>/world-university-rankings/stellenbosch-university</t>
  </si>
  <si>
    <t>Stellenbosch University SU South Africa</t>
  </si>
  <si>
    <t>Art, Performing Arts &amp; Design,Civil Engineering,Geology, Environmental, Earth &amp; Marine Sciences,Medicine &amp; Dentistry,Chemistry,Business &amp; Management,Computer Science,Sociology,Psychology,Languages, Literature &amp; Linguistics,Mechanical &amp; Aerospace Engineering,Politics &amp; International Studies (incl Development Studies),Economics &amp; Econometrics,Other Health,Geography,Electrical &amp; Electronic Engineering,Sport Science,Accounting &amp; Finance,History, Philosophy &amp; Theology,General Engineering,Mathematics &amp; Statistics,Agriculture &amp; Forestry,Communication &amp; Media Studies,Archaeology,Biological Sciences,Law,Chemical Engineering,Physics &amp; Astronomy,Education</t>
  </si>
  <si>
    <t>Bauman Moscow State Technical University</t>
  </si>
  <si>
    <t>/world-university-rankings/bauman-moscow-state-technical-university</t>
  </si>
  <si>
    <t>Other Health,Veterinary Science,History, Philosophy &amp; Theology,Economics &amp; Econometrics,Mathematics &amp; Statistics,Computer Science,Geology, Environmental, Earth &amp; Marine Sciences,Chemical Engineering,Accounting &amp; Finance,Physics &amp; Astronomy,Medicine &amp; Dentistry,Electrical &amp; Electronic Engineering,Chemistry,Agriculture &amp; Forestry,Law,Business &amp; Management,Civil Engineering,Sociology,Mechanical &amp; Aerospace Engineering,Art, Performing Arts &amp; Design,Languages, Literature &amp; Linguistics,Biological Sciences,Sport Science,General Engineering</t>
  </si>
  <si>
    <t>Swansea University</t>
  </si>
  <si>
    <t>/world-university-rankings/swansea-university</t>
  </si>
  <si>
    <t>Electrical &amp; Electronic Engineering,Chemistry,Languages, Literature &amp; Linguistics,Mathematics &amp; Statistics,Business &amp; Management,History, Philosophy &amp; Theology,Mechanical &amp; Aerospace Engineering,Sociology,Other Health,Chemical Engineering,Psychology,Computer Science,Communication &amp; Media Studies,Medicine &amp; Dentistry,Sport Science,Politics &amp; International Studies (incl Development Studies),Archaeology,Biological Sciences,Geography,Geology, Environmental, Earth &amp; Marine Sciences,Economics &amp; Econometrics,Physics &amp; Astronomy,Education,General Engineering,Civil Engineering,Accounting &amp; Finance,Law</t>
  </si>
  <si>
    <t>https://www.timeshighereducation.com/student/register-interest/siuk?utm_medium=thewebsite&amp;utm_campaign=cta-link&amp;utm_source=rankings&amp;iid=i-33335862</t>
  </si>
  <si>
    <t>Huazhong University of Science and Technology</t>
  </si>
  <si>
    <t>/world-university-rankings/huazhong-university-science-and-technology</t>
  </si>
  <si>
    <t>Huazhong University of Science and Technology Hua Zhong University HUST Tech</t>
  </si>
  <si>
    <t>Architecture,Electrical &amp; Electronic Engineering,Sociology,Communication &amp; Media Studies,Mathematics &amp; Statistics,Physics &amp; Astronomy,History, Philosophy &amp; Theology,Agriculture &amp; Forestry,General Engineering,Business &amp; Management,Computer Science,Geology, Environmental, Earth &amp; Marine Sciences,Medicine &amp; Dentistry,Law,Economics &amp; Econometrics,Chemistry,Mechanical &amp; Aerospace Engineering,Languages, Literature &amp; Linguistics,Civil Engineering,Biological Sciences,Education,Chemical Engineering,Other Health</t>
  </si>
  <si>
    <t>Georgetown University</t>
  </si>
  <si>
    <t>/world-university-rankings/georgetown-university</t>
  </si>
  <si>
    <t>Agriculture &amp; Forestry,Politics &amp; International Studies (incl Development Studies),Economics &amp; Econometrics,Other Health,Geology, Environmental, Earth &amp; Marine Sciences,Art, Performing Arts &amp; Design,Communication &amp; Media Studies,Accounting &amp; Finance,Mathematics &amp; Statistics,General Engineering,Law,Languages, Literature &amp; Linguistics,Biological Sciences,Education,History, Philosophy &amp; Theology,Sport Science,Psychology,Architecture,Chemistry,Computer Science,Sociology,Medicine &amp; Dentistry,Physics &amp; Astronomy,Business &amp; Management</t>
  </si>
  <si>
    <t>https://www.timeshighereducation.com/student/register-interest/shorelight?utm_medium=thewebsite&amp;utm_campaign=cta-link&amp;utm_source=rankings&amp;iid=i-26274852</t>
  </si>
  <si>
    <t>Sichuan University</t>
  </si>
  <si>
    <t>/world-university-rankings/sichuan-university</t>
  </si>
  <si>
    <t>Mechanical &amp; Aerospace Engineering,Geology, Environmental, Earth &amp; Marine Sciences,Languages, Literature &amp; Linguistics,Electrical &amp; Electronic Engineering,Business &amp; Management,Computer Science,Education,Chemical Engineering,Sociology,Art, Performing Arts &amp; Design,General Engineering,Economics &amp; Econometrics,History, Philosophy &amp; Theology,Mathematics &amp; Statistics,Communication &amp; Media Studies,Accounting &amp; Finance,Other Health,Physics &amp; Astronomy,Architecture,Biological Sciences,Politics &amp; International Studies (incl Development Studies),Archaeology,Civil Engineering,Law,Medicine &amp; Dentistry,Chemistry</t>
  </si>
  <si>
    <t>UniversitÃ© Paris CitÃ©</t>
  </si>
  <si>
    <t>/world-university-rankings/universite-paris-cite</t>
  </si>
  <si>
    <t>UniversitÃ© Paris CitÃ© france international student life</t>
  </si>
  <si>
    <t>Medicine &amp; Dentistry,Chemical Engineering,Chemistry,Sociology,Economics &amp; Econometrics,Accounting &amp; Finance,History, Philosophy &amp; Theology,Communication &amp; Media Studies,Archaeology,Geography,Electrical &amp; Electronic Engineering,Languages, Literature &amp; Linguistics,General Engineering,Psychology,Law,Geology, Environmental, Earth &amp; Marine Sciences,Politics &amp; International Studies (incl Development Studies),Mechanical &amp; Aerospace Engineering,Biological Sciences,Physics &amp; Astronomy,Architecture,Business &amp; Management,Education,Civil Engineering,Art, Performing Arts &amp; Design,Computer Science,Sport Science,Mathematics &amp; Statistics,Other Health</t>
  </si>
  <si>
    <t>LinkÃ¶ping University</t>
  </si>
  <si>
    <t>/world-university-rankings/linkoping-university</t>
  </si>
  <si>
    <t>Art, Performing Arts &amp; Design,Computer Science,Veterinary Science,Economics &amp; Econometrics,General Engineering,Mathematics &amp; Statistics,Civil Engineering,Politics &amp; International Studies (incl Development Studies),Accounting &amp; Finance,Chemical Engineering,Communication &amp; Media Studies,Business &amp; Management,Other Health,Biological Sciences,Electrical &amp; Electronic Engineering,Physics &amp; Astronomy,Psychology,Languages, Literature &amp; Linguistics,Chemistry,Education,Mechanical &amp; Aerospace Engineering,Sociology,Medicine &amp; Dentistry,Agriculture &amp; Forestry,Geography,History, Philosophy &amp; Theology,Geology, Environmental, Earth &amp; Marine Sciences</t>
  </si>
  <si>
    <t>Aalborg University</t>
  </si>
  <si>
    <t>/world-university-rankings/aalborg-university</t>
  </si>
  <si>
    <t>Art, Performing Arts &amp; Design,Electrical &amp; Electronic Engineering,Politics &amp; International Studies (incl Development Studies),Computer Science,Chemical Engineering,Law,Civil Engineering,Geography,Languages, Literature &amp; Linguistics,Mechanical &amp; Aerospace Engineering,Geology, Environmental, Earth &amp; Marine Sciences,Economics &amp; Econometrics,General Engineering,Chemistry,Accounting &amp; Finance,Other Health,Biological Sciences,Communication &amp; Media Studies,Agriculture &amp; Forestry,Sociology,Medicine &amp; Dentistry,Mathematics &amp; Statistics,Education,Architecture,Physics &amp; Astronomy,Business &amp; Management,History, Philosophy &amp; Theology,Sport Science,Psychology</t>
  </si>
  <si>
    <t>University of California, Irvine</t>
  </si>
  <si>
    <t>/world-university-rankings/university-california-irvine</t>
  </si>
  <si>
    <t>Electrical &amp; Electronic Engineering,General Engineering,Civil Engineering,Sociology,Biological Sciences,Psychology,Education,Chemical Engineering,Chemistry,Other Health,Medicine &amp; Dentistry,Languages, Literature &amp; Linguistics,Economics &amp; Econometrics,Politics &amp; International Studies (incl Development Studies),Business &amp; Management,Art, Performing Arts &amp; Design,Architecture,Physics &amp; Astronomy,Mathematics &amp; Statistics,Geology, Environmental, Earth &amp; Marine Sciences,Accounting &amp; Finance,Law,Mechanical &amp; Aerospace Engineering,History, Philosophy &amp; Theology,Computer Science</t>
  </si>
  <si>
    <t>https://www.timeshighereducation.com/student/register-interest/shorelight?utm_medium=thewebsite&amp;utm_campaign=cta-link&amp;utm_source=rankings&amp;iid=i-49530901</t>
  </si>
  <si>
    <t>North Carolina State University</t>
  </si>
  <si>
    <t>/world-university-rankings/north-carolina-state-university</t>
  </si>
  <si>
    <t>Mechanical &amp; Aerospace Engineering,Communication &amp; Media Studies,Civil Engineering,Politics &amp; International Studies (incl Development Studies),Chemical Engineering,Sociology,History, Philosophy &amp; Theology,Biological Sciences,Economics &amp; Econometrics,Computer Science,Veterinary Science,Business &amp; Management,Languages, Literature &amp; Linguistics,Agriculture &amp; Forestry,Accounting &amp; Finance,Art, Performing Arts &amp; Design,Chemistry,Education,Architecture,Mathematics &amp; Statistics,Psychology,Electrical &amp; Electronic Engineering,Physics &amp; Astronomy,General Engineering,Geology, Environmental, Earth &amp; Marine Sciences</t>
  </si>
  <si>
    <t>https://www.timeshighereducation.com/student/register-interest/shorelight?utm_medium=thewebsite&amp;utm_campaign=cta-link&amp;utm_source=rankings&amp;iid=i-09500961</t>
  </si>
  <si>
    <t>Jagiellonian University</t>
  </si>
  <si>
    <t>/world-university-rankings/jagiellonian-university</t>
  </si>
  <si>
    <t>Other Health,Chemistry,Economics &amp; Econometrics,Geology, Environmental, Earth &amp; Marine Sciences,History, Philosophy &amp; Theology,Psychology,Politics &amp; International Studies (incl Development Studies),Law,Languages, Literature &amp; Linguistics,Physics &amp; Astronomy,Medicine &amp; Dentistry,Communication &amp; Media Studies,Sociology,Accounting &amp; Finance,Mathematics &amp; Statistics,Art, Performing Arts &amp; Design,Business &amp; Management,Geography,Computer Science,Archaeology,Biological Sciences,Education</t>
  </si>
  <si>
    <t>University of Johannesburg</t>
  </si>
  <si>
    <t>/world-university-rankings/university-johannesburg</t>
  </si>
  <si>
    <t>University of Johannesburg Johannesburg University UJ UOJ</t>
  </si>
  <si>
    <t>Languages, Literature &amp; Linguistics,Civil Engineering,Law,Architecture,Chemistry,Biological Sciences,Geography,Accounting &amp; Finance,History, Philosophy &amp; Theology,Sport Science,Education,Other Health,Chemical Engineering,Communication &amp; Media Studies,Electrical &amp; Electronic Engineering,Mathematics &amp; Statistics,Psychology,Mechanical &amp; Aerospace Engineering,Politics &amp; International Studies (incl Development Studies),Business &amp; Management,Computer Science,Physics &amp; Astronomy,Economics &amp; Econometrics,General Engineering,Geology, Environmental, Earth &amp; Marine Sciences,Art, Performing Arts &amp; Design,Agriculture &amp; Forestry,Sociology</t>
  </si>
  <si>
    <t>Quaid-i-Azam University</t>
  </si>
  <si>
    <t>PK</t>
  </si>
  <si>
    <t>/world-university-rankings/quaid-i-azam-university</t>
  </si>
  <si>
    <t>Computer Science,Politics &amp; International Studies (incl Development Studies),History, Philosophy &amp; Theology,Mathematics &amp; Statistics,Chemistry,Psychology,Biological Sciences,Accounting &amp; Finance,Other Health,Geology, Environmental, Earth &amp; Marine Sciences,Physics &amp; Astronomy,Economics &amp; Econometrics,Agriculture &amp; Forestry,Sociology,Law,Archaeology,Business &amp; Management</t>
  </si>
  <si>
    <t>RUDN University</t>
  </si>
  <si>
    <t>/world-university-rankings/rudn-university</t>
  </si>
  <si>
    <t>Civil Engineering,Mathematics &amp; Statistics,Business &amp; Management,Mechanical &amp; Aerospace Engineering,Chemistry,Accounting &amp; Finance,Architecture,Veterinary Science,Economics &amp; Econometrics,Medicine &amp; Dentistry,Physics &amp; Astronomy,History, Philosophy &amp; Theology,Chemical Engineering,Communication &amp; Media Studies,Art, Performing Arts &amp; Design,General Engineering,Geology, Environmental, Earth &amp; Marine Sciences,Psychology,Electrical &amp; Electronic Engineering,Sport Science,Geography,Other Health,Politics &amp; International Studies (incl Development Studies),Sociology,Archaeology,Biological Sciences,Law,Languages, Literature &amp; Linguistics,Computer Science,Agriculture &amp; Forestry,Education</t>
  </si>
  <si>
    <t>Shanghai University</t>
  </si>
  <si>
    <t>/world-university-rankings/shanghai-university</t>
  </si>
  <si>
    <t>Biological Sciences,History, Philosophy &amp; Theology,Mathematics &amp; Statistics,Computer Science,Art, Performing Arts &amp; Design,Chemical Engineering,Mechanical &amp; Aerospace Engineering,Economics &amp; Econometrics,Electrical &amp; Electronic Engineering,Architecture,Accounting &amp; Finance,Law,Civil Engineering,Sociology,General Engineering,Chemistry,Physics &amp; Astronomy,Communication &amp; Media Studies,Archaeology,Sport Science,Languages, Literature &amp; Linguistics,Geology, Environmental, Earth &amp; Marine Sciences,Politics &amp; International Studies (incl Development Studies),Business &amp; Management</t>
  </si>
  <si>
    <t>University of Notre Dame</t>
  </si>
  <si>
    <t>/world-university-rankings/university-notre-dame</t>
  </si>
  <si>
    <t>Civil Engineering,Psychology,Biological Sciences,Law,Languages, Literature &amp; Linguistics,Mathematics &amp; Statistics,Economics &amp; Econometrics,Mechanical &amp; Aerospace Engineering,Education,Communication &amp; Media Studies,Art, Performing Arts &amp; Design,Physics &amp; Astronomy,Accounting &amp; Finance,History, Philosophy &amp; Theology,Geology, Environmental, Earth &amp; Marine Sciences,Computer Science,Sociology,Architecture,Chemistry,Business &amp; Management,Electrical &amp; Electronic Engineering,Politics &amp; International Studies (incl Development Studies),Chemical Engineering,General Engineering</t>
  </si>
  <si>
    <t>https://www.timeshighereducation.com/student/register-interest/shorelight?utm_medium=thewebsite&amp;utm_campaign=cta-link&amp;utm_source=rankings&amp;iid=i-46645881</t>
  </si>
  <si>
    <t>Simon Fraser University</t>
  </si>
  <si>
    <t>/world-university-rankings/simon-fraser-university</t>
  </si>
  <si>
    <t>Computer Science,Chemistry,Other Health,Politics &amp; International Studies (incl Development Studies),Economics &amp; Econometrics,Biological Sciences,Education,Art, Performing Arts &amp; Design,Mathematics &amp; Statistics,Psychology,History, Philosophy &amp; Theology,Communication &amp; Media Studies,Archaeology,Geology, Environmental, Earth &amp; Marine Sciences,Sport Science,Physics &amp; Astronomy,Business &amp; Management,Electrical &amp; Electronic Engineering,Geography,General Engineering,Law,Languages, Literature &amp; Linguistics,Sociology,Accounting &amp; Finance</t>
  </si>
  <si>
    <t>University of Colorado Boulder</t>
  </si>
  <si>
    <t>/world-university-rankings/university-colorado-boulder</t>
  </si>
  <si>
    <t>Business &amp; Management,Art, Performing Arts &amp; Design,General Engineering,Mathematics &amp; Statistics,Law,Sociology,Computer Science,Chemistry,Geology, Environmental, Earth &amp; Marine Sciences,Accounting &amp; Finance,Mechanical &amp; Aerospace Engineering,Politics &amp; International Studies (incl Development Studies),Economics &amp; Econometrics,Physics &amp; Astronomy,Architecture,Communication &amp; Media Studies,Electrical &amp; Electronic Engineering,Psychology,Education,Biological Sciences,Civil Engineering,History, Philosophy &amp; Theology,Chemical Engineering,Languages, Literature &amp; Linguistics,Geography</t>
  </si>
  <si>
    <t>https://www.timeshighereducation.com/student/register-interest/shorelight?utm_medium=thewebsite&amp;utm_campaign=cta-link&amp;utm_source=rankings&amp;iid=i-73893083</t>
  </si>
  <si>
    <t>L.N. Gumilyov Eurasian National University (ENU)</t>
  </si>
  <si>
    <t>1501+</t>
  </si>
  <si>
    <t>L.N. Gumilyov Eurasian National University</t>
  </si>
  <si>
    <t>9.7â€“22.7</t>
  </si>
  <si>
    <t>/world-university-rankings/ln-gumilyov-eurasian-national-university</t>
  </si>
  <si>
    <t>L.N. Gumilyov Eurasian National University enu</t>
  </si>
  <si>
    <t>Agriculture &amp; Forestry,Politics &amp; International Studies (incl Development Studies),General Engineering,Geography,Architecture,Mathematics &amp; Statistics,Education,Art, Performing Arts &amp; Design,Mechanical &amp; Aerospace Engineering,Sociology,Electrical &amp; Electronic Engineering,Chemistry,Business &amp; Management,Chemical Engineering,Physics &amp; Astronomy,History, Philosophy &amp; Theology,Biological Sciences,Law,Languages, Literature &amp; Linguistics,Civil Engineering,Geology, Environmental, Earth &amp; Marine Sciences,Computer Science,Communication &amp; Media Studies,Economics &amp; Econometrics,Archaeology,Sport Science,Psychology,Accounting &amp; Finance</t>
  </si>
  <si>
    <t>National Technical University of Athens</t>
  </si>
  <si>
    <t>GR</t>
  </si>
  <si>
    <t>Greece</t>
  </si>
  <si>
    <t>/world-university-rankings/national-technical-university-athens</t>
  </si>
  <si>
    <t>Architecture,Electrical &amp; Electronic Engineering,Chemistry,Civil Engineering,General Engineering,Biological Sciences,Mechanical &amp; Aerospace Engineering,Geology, Environmental, Earth &amp; Marine Sciences,Physics &amp; Astronomy,Computer Science,Mathematics &amp; Statistics,Geography,Chemical Engineering</t>
  </si>
  <si>
    <t>University of Miami</t>
  </si>
  <si>
    <t>/world-university-rankings/university-miami</t>
  </si>
  <si>
    <t>Languages, Literature &amp; Linguistics,Other Health,Sociology,Mechanical &amp; Aerospace Engineering,Law,Psychology,General Engineering,Communication &amp; Media Studies,Mathematics &amp; Statistics,Education,Architecture,Biological Sciences,Agriculture &amp; Forestry,History, Philosophy &amp; Theology,Electrical &amp; Electronic Engineering,Physics &amp; Astronomy,Economics &amp; Econometrics,Computer Science,Geology, Environmental, Earth &amp; Marine Sciences,Art, Performing Arts &amp; Design,Sport Science,Geography,Accounting &amp; Finance,Medicine &amp; Dentistry,Chemistry,Business &amp; Management,Civil Engineering,Politics &amp; International Studies (incl Development Studies),Chemical Engineering</t>
  </si>
  <si>
    <t>https://www.timeshighereducation.com/student/register-interest/shorelight?utm_medium=thewebsite&amp;utm_campaign=cta-link&amp;utm_source=rankings&amp;iid=i-02632503</t>
  </si>
  <si>
    <t>Daegu Gyeongbuk Institute of Science and Technology (DGIST)</t>
  </si>
  <si>
    <t>/world-university-rankings/daegu-gyeongbuk-institute-science-and-technology-dgist</t>
  </si>
  <si>
    <t>Biological Sciences,Physics &amp; Astronomy,Computer Science,Chemical Engineering,Chemistry,Electrical &amp; Electronic Engineering,Mechanical &amp; Aerospace Engineering,Other Health,General Engineering,Civil Engineering</t>
  </si>
  <si>
    <t>Istanbul Technical University</t>
  </si>
  <si>
    <t>/world-university-rankings/istanbul-technical-university</t>
  </si>
  <si>
    <t>Other Health,Economics &amp; Econometrics,Electrical &amp; Electronic Engineering,Accounting &amp; Finance,Computer Science,Civil Engineering,Business &amp; Management,Chemical Engineering,Politics &amp; International Studies (incl Development Studies),Art, Performing Arts &amp; Design,Physics &amp; Astronomy,Architecture,Mathematics &amp; Statistics,General Engineering,Chemistry,Biological Sciences,Mechanical &amp; Aerospace Engineering,Geology, Environmental, Earth &amp; Marine Sciences</t>
  </si>
  <si>
    <t>Kyung Hee University</t>
  </si>
  <si>
    <t>/world-university-rankings/kyung-hee-university</t>
  </si>
  <si>
    <t>Kyung Hee University KyungHee KHU</t>
  </si>
  <si>
    <t>Law,Other Health,Computer Science,Physics &amp; Astronomy,Sport Science,Mathematics &amp; Statistics,Medicine &amp; Dentistry,Geology, Environmental, Earth &amp; Marine Sciences,Agriculture &amp; Forestry,Education,Economics &amp; Econometrics,Civil Engineering,Communication &amp; Media Studies,Sociology,Chemical Engineering,Languages, Literature &amp; Linguistics,Geography,Electrical &amp; Electronic Engineering,Archaeology,Architecture,Art, Performing Arts &amp; Design,Business &amp; Management,Chemistry,Accounting &amp; Finance,General Engineering,Mechanical &amp; Aerospace Engineering,Politics &amp; International Studies (incl Development Studies),Psychology,Biological Sciences,History, Philosophy &amp; Theology</t>
  </si>
  <si>
    <t>Rutgers Universityâ€“New Brunswick</t>
  </si>
  <si>
    <t>Rutgers University â€“ New Brunswick</t>
  </si>
  <si>
    <t>/world-university-rankings/rutgers-university-new-brunswick-0</t>
  </si>
  <si>
    <t>Archaeology,Architecture,Economics &amp; Econometrics,Chemical Engineering,Chemistry,History, Philosophy &amp; Theology,Mechanical &amp; Aerospace Engineering,Biological Sciences,Sociology,Psychology,Medicine &amp; Dentistry,Business &amp; Management,Art, Performing Arts &amp; Design,Electrical &amp; Electronic Engineering,Other Health,General Engineering,Mathematics &amp; Statistics,Physics &amp; Astronomy,Education,Geology, Environmental, Earth &amp; Marine Sciences,Computer Science,Sport Science,Geography,Civil Engineering,Communication &amp; Media Studies,Agriculture &amp; Forestry,Languages, Literature &amp; Linguistics,Accounting &amp; Finance,Politics &amp; International Studies (incl Development Studies)</t>
  </si>
  <si>
    <t>https://www.timeshighereducation.com/student/register-interest/shorelight?utm_medium=thewebsite&amp;utm_campaign=cta-link&amp;utm_source=rankings&amp;iid=i-70313321</t>
  </si>
  <si>
    <t>University of Delhi</t>
  </si>
  <si>
    <t>/world-university-rankings/university-delhi</t>
  </si>
  <si>
    <t>Art, Performing Arts &amp; Design,Geography,Physics &amp; Astronomy,Law,Mathematics &amp; Statistics,Economics &amp; Econometrics,Communication &amp; Media Studies,Languages, Literature &amp; Linguistics,Sociology,Chemistry,Accounting &amp; Finance,Biological Sciences,Psychology,Computer Science,Education,Geology, Environmental, Earth &amp; Marine Sciences,Business &amp; Management,History, Philosophy &amp; Theology,Politics &amp; International Studies (incl Development Studies)</t>
  </si>
  <si>
    <t>American University of Sharjah</t>
  </si>
  <si>
    <t>/world-university-rankings/american-university-sharjah</t>
  </si>
  <si>
    <t>Biological Sciences,Art, Performing Arts &amp; Design,Mechanical &amp; Aerospace Engineering,Economics &amp; Econometrics,Chemical Engineering,Psychology,General Engineering,Geology, Environmental, Earth &amp; Marine Sciences,Civil Engineering,Sociology,Electrical &amp; Electronic Engineering,Chemistry,Mathematics &amp; Statistics,Business &amp; Management,Languages, Literature &amp; Linguistics,Physics &amp; Astronomy,Accounting &amp; Finance,Architecture,Politics &amp; International Studies (incl Development Studies),Computer Science,Communication &amp; Media Studies</t>
  </si>
  <si>
    <t>UniversitÃ© Grenoble Alpes</t>
  </si>
  <si>
    <t>/world-university-rankings/universite-grenoble-alpes</t>
  </si>
  <si>
    <t>Geology, Environmental, Earth &amp; Marine Sciences,Computer Science,Business &amp; Management,Physics &amp; Astronomy,General Engineering,Languages, Literature &amp; Linguistics,Medicine &amp; Dentistry,Economics &amp; Econometrics,Communication &amp; Media Studies,Sociology,Electrical &amp; Electronic Engineering,Accounting &amp; Finance,Sport Science,Civil Engineering,Art, Performing Arts &amp; Design,Agriculture &amp; Forestry,Law,Architecture,History, Philosophy &amp; Theology,Biological Sciences,Archaeology,Chemistry,Politics &amp; International Studies (incl Development Studies),Mathematics &amp; Statistics,Education,Mechanical &amp; Aerospace Engineering,Psychology,Chemical Engineering,Other Health,Geography</t>
  </si>
  <si>
    <t>Flinders University</t>
  </si>
  <si>
    <t>/world-university-rankings/flinders-university</t>
  </si>
  <si>
    <t>History, Philosophy &amp; Theology,Biological Sciences,Law,Medicine &amp; Dentistry,Chemistry,Languages, Literature &amp; Linguistics,Civil Engineering,Politics &amp; International Studies (incl Development Studies),Accounting &amp; Finance,Mechanical &amp; Aerospace Engineering,Sport Science,Education,Art, Performing Arts &amp; Design,General Engineering,Geology, Environmental, Earth &amp; Marine Sciences,Chemical Engineering,Communication &amp; Media Studies,Economics &amp; Econometrics,Other Health,Mathematics &amp; Statistics,Business &amp; Management,Computer Science,Physics &amp; Astronomy,Psychology,Archaeology,Agriculture &amp; Forestry,Geography,Electrical &amp; Electronic Engineering,Sociology</t>
  </si>
  <si>
    <t>Lappeenranta-Lahti University of Technology LUT</t>
  </si>
  <si>
    <t>/world-university-rankings/lappeenranta-lahti-university-technology-lut</t>
  </si>
  <si>
    <t>Geology, Environmental, Earth &amp; Marine Sciences,Chemical Engineering,Economics &amp; Econometrics,Mathematics &amp; Statistics,Business &amp; Management,Mechanical &amp; Aerospace Engineering,Accounting &amp; Finance,General Engineering,Physics &amp; Astronomy,Chemistry,Electrical &amp; Electronic Engineering,Communication &amp; Media Studies,Computer Science,Sociology</t>
  </si>
  <si>
    <t>Xiâ€™an Jiaotong University</t>
  </si>
  <si>
    <t>/world-university-rankings/xian-jiaotong-university</t>
  </si>
  <si>
    <t>Languages, Literature &amp; Linguistics,Civil Engineering,Geology, Environmental, Earth &amp; Marine Sciences,Economics &amp; Econometrics,Other Health,Chemistry,Psychology,General Engineering,Veterinary Science,Communication &amp; Media Studies,Electrical &amp; Electronic Engineering,Physics &amp; Astronomy,Business &amp; Management,History, Philosophy &amp; Theology,Agriculture &amp; Forestry,Education,Architecture,Sport Science,Law,Archaeology,Mechanical &amp; Aerospace Engineering,Politics &amp; International Studies (incl Development Studies),Accounting &amp; Finance,Medicine &amp; Dentistry,Biological Sciences,Geography,Computer Science,Mathematics &amp; Statistics,Art, Performing Arts &amp; Design,Chemical Engineering,Sociology</t>
  </si>
  <si>
    <t>University of the Philippines</t>
  </si>
  <si>
    <t>PH</t>
  </si>
  <si>
    <t>Philippines</t>
  </si>
  <si>
    <t>/world-university-rankings/university-philippines</t>
  </si>
  <si>
    <t>Languages, Literature &amp; Linguistics,Agriculture &amp; Forestry,Politics &amp; International Studies (incl Development Studies),Architecture,Biological Sciences,Business &amp; Management,Electrical &amp; Electronic Engineering,Chemistry,Accounting &amp; Finance,Archaeology,Veterinary Science,Economics &amp; Econometrics,Other Health,Chemical Engineering,Communication &amp; Media Studies,General Engineering,Physics &amp; Astronomy,Psychology,History, Philosophy &amp; Theology,Civil Engineering,Sociology,Medicine &amp; Dentistry,Sport Science,Education,Computer Science,Mathematics &amp; Statistics,Law,Art, Performing Arts &amp; Design,Mechanical &amp; Aerospace Engineering,Geology, Environmental, Earth &amp; Marine Sciences,Geography</t>
  </si>
  <si>
    <t>University of Saskatchewan</t>
  </si>
  <si>
    <t>/world-university-rankings/university-saskatchewan</t>
  </si>
  <si>
    <t>Geography,Other Health,Politics &amp; International Studies (incl Development Studies),Veterinary Science,Civil Engineering,Languages, Literature &amp; Linguistics,Education,Agriculture &amp; Forestry,Mechanical &amp; Aerospace Engineering,General Engineering,Accounting &amp; Finance,Mathematics &amp; Statistics,Sport Science,Business &amp; Management,Art, Performing Arts &amp; Design,Archaeology,Law,Physics &amp; Astronomy,Medicine &amp; Dentistry,Geology, Environmental, Earth &amp; Marine Sciences,Chemistry,Computer Science,Economics &amp; Econometrics,Psychology,Electrical &amp; Electronic Engineering,Sociology,Biological Sciences,Chemical Engineering,History, Philosophy &amp; Theology</t>
  </si>
  <si>
    <t>https://www.timeshighereducation.com/student/register-interest/applyboard?utm_medium=thewebsite&amp;utm_campaign=cta-link&amp;utm_source=rankings&amp;iid=i-56275942</t>
  </si>
  <si>
    <t>University of South Australia</t>
  </si>
  <si>
    <t>/world-university-rankings/university-south-australia</t>
  </si>
  <si>
    <t>Mechanical &amp; Aerospace Engineering,General Engineering,Civil Engineering,Architecture,Economics &amp; Econometrics,Sport Science,History, Philosophy &amp; Theology,Art, Performing Arts &amp; Design,Sociology,Law,Accounting &amp; Finance,Business &amp; Management,Other Health,Communication &amp; Media Studies,Geology, Environmental, Earth &amp; Marine Sciences,Computer Science,Electrical &amp; Electronic Engineering,Psychology,Languages, Literature &amp; Linguistics,Mathematics &amp; Statistics,Biological Sciences,Medicine &amp; Dentistry,Education</t>
  </si>
  <si>
    <t>https://www.timeshighereducation.com/student/register-interest/aecc?utm_medium=thewebsite&amp;utm_campaign=cta-link&amp;utm_source=rankings&amp;iid=i-71919185</t>
  </si>
  <si>
    <t>Brunel University London</t>
  </si>
  <si>
    <t>/world-university-rankings/brunel-university-london</t>
  </si>
  <si>
    <t>Civil Engineering,Psychology,Biological Sciences,Accounting &amp; Finance,Art, Performing Arts &amp; Design,Sport Science,Business &amp; Management,Computer Science,Law,Other Health,Geology, Environmental, Earth &amp; Marine Sciences,Geography,Languages, Literature &amp; Linguistics,Mechanical &amp; Aerospace Engineering,Education,General Engineering,Communication &amp; Media Studies,History, Philosophy &amp; Theology,Electrical &amp; Electronic Engineering,Politics &amp; International Studies (incl Development Studies),Medicine &amp; Dentistry,Mathematics &amp; Statistics,Economics &amp; Econometrics,Chemical Engineering,Sociology</t>
  </si>
  <si>
    <t>https://www.timeshighereducation.com/student/register-interest/siuk?utm_medium=thewebsite&amp;utm_campaign=cta-link&amp;utm_source=rankings&amp;iid=i-26981023</t>
  </si>
  <si>
    <t>Sharif University of Technology</t>
  </si>
  <si>
    <t>IR</t>
  </si>
  <si>
    <t>Iran, Islamic Republic of</t>
  </si>
  <si>
    <t>/world-university-rankings/sharif-university-technology</t>
  </si>
  <si>
    <t>Iran</t>
  </si>
  <si>
    <t>Business &amp; Management,Chemistry,Languages, Literature &amp; Linguistics,Computer Science,Physics &amp; Astronomy,Electrical &amp; Electronic Engineering,Mathematics &amp; Statistics,Economics &amp; Econometrics,General Engineering,Civil Engineering,History, Philosophy &amp; Theology,Accounting &amp; Finance,Chemical Engineering,Mechanical &amp; Aerospace Engineering</t>
  </si>
  <si>
    <t>Indian Institute of Technology Guwahati (IITG)</t>
  </si>
  <si>
    <t>Indian Institute of Technology Guwahati</t>
  </si>
  <si>
    <t>/world-university-rankings/indian-institute-technology-guwahati</t>
  </si>
  <si>
    <t>24 : 76</t>
  </si>
  <si>
    <t>Mechanical &amp; Aerospace Engineering,Sociology,Architecture,Mathematics &amp; Statistics,History, Philosophy &amp; Theology,Physics &amp; Astronomy,Economics &amp; Econometrics,Computer Science,Chemical Engineering,Psychology,Civil Engineering,Geology, Environmental, Earth &amp; Marine Sciences,Electrical &amp; Electronic Engineering,Politics &amp; International Studies (incl Development Studies),Languages, Literature &amp; Linguistics,Agriculture &amp; Forestry,Business &amp; Management,General Engineering,Biological Sciences,Art, Performing Arts &amp; Design,Veterinary Science,Chemistry</t>
  </si>
  <si>
    <t>Tufts University</t>
  </si>
  <si>
    <t>/world-university-rankings/tufts-university</t>
  </si>
  <si>
    <t>Computer Science,History, Philosophy &amp; Theology,Architecture,Medicine &amp; Dentistry,Veterinary Science,Civil Engineering,Sociology,Other Health,Biological Sciences,Business &amp; Management,Languages, Literature &amp; Linguistics,Agriculture &amp; Forestry,Mathematics &amp; Statistics,Archaeology,Politics &amp; International Studies (incl Development Studies),Economics &amp; Econometrics,General Engineering,Physics &amp; Astronomy,Art, Performing Arts &amp; Design,Mechanical &amp; Aerospace Engineering,Geology, Environmental, Earth &amp; Marine Sciences,Education,Electrical &amp; Electronic Engineering,Chemistry,Psychology,Chemical Engineering,Law,Communication &amp; Media Studies,Geography</t>
  </si>
  <si>
    <t>https://www.timeshighereducation.com/student/register-interest/shorelight?utm_medium=thewebsite&amp;utm_campaign=cta-link&amp;utm_source=rankings&amp;iid=i-14091951</t>
  </si>
  <si>
    <t>University of Oulu</t>
  </si>
  <si>
    <t>/world-university-rankings/university-oulu</t>
  </si>
  <si>
    <t>Languages, Literature &amp; Linguistics,Mechanical &amp; Aerospace Engineering,Communication &amp; Media Studies,Chemical Engineering,Architecture,Archaeology,Business &amp; Management,Computer Science,History, Philosophy &amp; Theology,Mathematics &amp; Statistics,Physics &amp; Astronomy,Economics &amp; Econometrics,Education,Geography,Biological Sciences,Medicine &amp; Dentistry,Accounting &amp; Finance,Chemistry,General Engineering,Geology, Environmental, Earth &amp; Marine Sciences,Civil Engineering,Psychology,Electrical &amp; Electronic Engineering,Other Health</t>
  </si>
  <si>
    <t>Tilburg University</t>
  </si>
  <si>
    <t>/world-university-rankings/tilburg-university</t>
  </si>
  <si>
    <t>Other Health,Economics &amp; Econometrics,Law,Psychology,Education,Languages, Literature &amp; Linguistics,History, Philosophy &amp; Theology,Accounting &amp; Finance,Sociology,Communication &amp; Media Studies,Business &amp; Management,Computer Science</t>
  </si>
  <si>
    <t>University of Naples - Federico II</t>
  </si>
  <si>
    <t>University of Naples Federico II</t>
  </si>
  <si>
    <t>/world-university-rankings/university-naples-federico-ii</t>
  </si>
  <si>
    <t>Veterinary Science,Chemistry,Economics &amp; Econometrics,Agriculture &amp; Forestry,Law,Mechanical &amp; Aerospace Engineering,Accounting &amp; Finance,Sociology,Languages, Literature &amp; Linguistics,Physics &amp; Astronomy,Medicine &amp; Dentistry,Computer Science,Business &amp; Management,Chemical Engineering,Psychology,Geology, Environmental, Earth &amp; Marine Sciences,Archaeology,Politics &amp; International Studies (incl Development Studies),History, Philosophy &amp; Theology,Civil Engineering,Biological Sciences,Architecture,Communication &amp; Media Studies,Art, Performing Arts &amp; Design,Electrical &amp; Electronic Engineering,General Engineering,Mathematics &amp; Statistics,Other Health</t>
  </si>
  <si>
    <t>Cairo University</t>
  </si>
  <si>
    <t>EG</t>
  </si>
  <si>
    <t>Egypt</t>
  </si>
  <si>
    <t>/world-university-rankings/cairo-university</t>
  </si>
  <si>
    <t>Art, Performing Arts &amp; Design,History, Philosophy &amp; Theology,Civil Engineering,Archaeology,Agriculture &amp; Forestry,Communication &amp; Media Studies,Medicine &amp; Dentistry,Biological Sciences,Sociology,Chemical Engineering,Law,Other Health,Mathematics &amp; Statistics,Education,Architecture,Veterinary Science,Politics &amp; International Studies (incl Development Studies),Mechanical &amp; Aerospace Engineering,Geography,Languages, Literature &amp; Linguistics,General Engineering,Sport Science,Psychology,Computer Science,Physics &amp; Astronomy,Business &amp; Management,Electrical &amp; Electronic Engineering,Geology, Environmental, Earth &amp; Marine Sciences,Accounting &amp; Finance,Chemistry,Economics &amp; Econometrics</t>
  </si>
  <si>
    <t xml:space="preserve">Sciences Po </t>
  </si>
  <si>
    <t>Sciences Po</t>
  </si>
  <si>
    <t>/world-university-rankings/sciences-po</t>
  </si>
  <si>
    <t>Economics &amp; Econometrics,Politics &amp; International Studies (incl Development Studies),Sociology,Law,History, Philosophy &amp; Theology</t>
  </si>
  <si>
    <t>City, University of London</t>
  </si>
  <si>
    <t>/world-university-rankings/city-university-london</t>
  </si>
  <si>
    <t>Mechanical &amp; Aerospace Engineering,Economics &amp; Econometrics,Sociology,Languages, Literature &amp; Linguistics,Other Health,General Engineering,History, Philosophy &amp; Theology,Art, Performing Arts &amp; Design,Computer Science,Communication &amp; Media Studies,Accounting &amp; Finance,Business &amp; Management,Electrical &amp; Electronic Engineering,Politics &amp; International Studies (incl Development Studies),Psychology,Law,Mathematics &amp; Statistics,Civil Engineering</t>
  </si>
  <si>
    <t>https://www.timeshighereducation.com/student/register-interest/siuk?utm_medium=thewebsite&amp;utm_campaign=cta-link&amp;utm_source=rankings&amp;iid=i-85968312</t>
  </si>
  <si>
    <t>University of Pretoria</t>
  </si>
  <si>
    <t>/world-university-rankings/university-pretoria</t>
  </si>
  <si>
    <t>University of Pretoria UP</t>
  </si>
  <si>
    <t>Business &amp; Management,Other Health,Accounting &amp; Finance,Agriculture &amp; Forestry,Education,Medicine &amp; Dentistry,History, Philosophy &amp; Theology,Art, Performing Arts &amp; Design,Law,Veterinary Science,Economics &amp; Econometrics,Mathematics &amp; Statistics,Electrical &amp; Electronic Engineering,Geology, Environmental, Earth &amp; Marine Sciences,Archaeology,Chemistry,Mechanical &amp; Aerospace Engineering,General Engineering,Psychology,Chemical Engineering,Computer Science,Geography,Sociology,Physics &amp; Astronomy,Biological Sciences,Communication &amp; Media Studies,Civil Engineering,Politics &amp; International Studies (incl Development Studies),Sport Science,Architecture,Languages, Literature &amp; Linguistics</t>
  </si>
  <si>
    <t>University of Coimbra</t>
  </si>
  <si>
    <t>/world-university-rankings/university-coimbra</t>
  </si>
  <si>
    <t>Architecture,Art, Performing Arts &amp; Design,Mechanical &amp; Aerospace Engineering,Politics &amp; International Studies (incl Development Studies),Business &amp; Management,Electrical &amp; Electronic Engineering,Sociology,History, Philosophy &amp; Theology,Agriculture &amp; Forestry,Geography,Medicine &amp; Dentistry,Sport Science,Economics &amp; Econometrics,Computer Science,Mathematics &amp; Statistics,Accounting &amp; Finance,Archaeology,Physics &amp; Astronomy,Psychology,Civil Engineering,Communication &amp; Media Studies,Languages, Literature &amp; Linguistics,Other Health,Chemistry,Law,General Engineering,Biological Sciences,Education,Chemical Engineering,Geology, Environmental, Earth &amp; Marine Sciences</t>
  </si>
  <si>
    <t>University of Luxembourg</t>
  </si>
  <si>
    <t>LU</t>
  </si>
  <si>
    <t>Luxembourg</t>
  </si>
  <si>
    <t>/world-university-rankings/university-luxembourg</t>
  </si>
  <si>
    <t>Psychology,Communication &amp; Media Studies,Mathematics &amp; Statistics,Economics &amp; Econometrics,Medicine &amp; Dentistry,General Engineering,Civil Engineering,Education,Business &amp; Management,Other Health,Physics &amp; Astronomy,Law,Veterinary Science,Geography,Architecture,Biological Sciences,Computer Science,History, Philosophy &amp; Theology,Languages, Literature &amp; Linguistics,Politics &amp; International Studies (incl Development Studies),Art, Performing Arts &amp; Design,Accounting &amp; Finance,Mechanical &amp; Aerospace Engineering,Electrical &amp; Electronic Engineering</t>
  </si>
  <si>
    <t>University of Tartu</t>
  </si>
  <si>
    <t>EE</t>
  </si>
  <si>
    <t>Estonia</t>
  </si>
  <si>
    <t>/world-university-rankings/university-tartu</t>
  </si>
  <si>
    <t>Computer Science,Geography,Psychology,Other Health,Physics &amp; Astronomy,Economics &amp; Econometrics,Art, Performing Arts &amp; Design,Medicine &amp; Dentistry,Law,Electrical &amp; Electronic Engineering,Geology, Environmental, Earth &amp; Marine Sciences,Biological Sciences,Communication &amp; Media Studies,Archaeology,Chemistry,Languages, Literature &amp; Linguistics,Sport Science,Education,Agriculture &amp; Forestry,Politics &amp; International Studies (incl Development Studies),Accounting &amp; Finance,History, Philosophy &amp; Theology,Mathematics &amp; Statistics,Business &amp; Management,Veterinary Science,Sociology</t>
  </si>
  <si>
    <t>Gwangju Institute of Science and Technology (GIST)</t>
  </si>
  <si>
    <t>/world-university-rankings/gwangju-institute-science-and-technology-gist</t>
  </si>
  <si>
    <t>Computer Science,Mechanical &amp; Aerospace Engineering,Chemistry,Chemical Engineering,Physics &amp; Astronomy,General Engineering,Electrical &amp; Electronic Engineering,Biological Sciences</t>
  </si>
  <si>
    <t>Pontificia Universidad CatÃ³lica del PerÃº</t>
  </si>
  <si>
    <t>PE</t>
  </si>
  <si>
    <t>Peru</t>
  </si>
  <si>
    <t>Pontificia Universidad CatÃ³lica del Ecuador</t>
  </si>
  <si>
    <t>/world-university-rankings/pontificia-universidad-catolica-del-ecuador</t>
  </si>
  <si>
    <t>Ecuador</t>
  </si>
  <si>
    <t>Mechanical &amp; Aerospace Engineering,Business &amp; Management,History, Philosophy &amp; Theology,Communication &amp; Media Studies,Archaeology,Veterinary Science,Geography,Architecture,Biological Sciences,Sociology,Other Health,Geology, Environmental, Earth &amp; Marine Sciences,Education,Art, Performing Arts &amp; Design,Politics &amp; International Studies (incl Development Studies),Civil Engineering,Accounting &amp; Finance,Agriculture &amp; Forestry,Economics &amp; Econometrics,Languages, Literature &amp; Linguistics,Computer Science,Psychology,Medicine &amp; Dentistry,Chemistry,Law</t>
  </si>
  <si>
    <t>University of Aveiro</t>
  </si>
  <si>
    <t>/world-university-rankings/university-aveiro</t>
  </si>
  <si>
    <t>Electrical &amp; Electronic Engineering,Sociology,General Engineering,Business &amp; Management,Mathematics &amp; Statistics,Physics &amp; Astronomy,Psychology,Chemical Engineering,Architecture,Biological Sciences,Politics &amp; International Studies (incl Development Studies),Mechanical &amp; Aerospace Engineering,Civil Engineering,Education,Other Health,Economics &amp; Econometrics,Chemistry,Geology, Environmental, Earth &amp; Marine Sciences,Accounting &amp; Finance,Computer Science,Art, Performing Arts &amp; Design,Languages, Literature &amp; Linguistics</t>
  </si>
  <si>
    <t>Sultan Qaboos University</t>
  </si>
  <si>
    <t>OM</t>
  </si>
  <si>
    <t>Oman</t>
  </si>
  <si>
    <t>/world-university-rankings/sultan-qaboos-university</t>
  </si>
  <si>
    <t>Languages, Literature &amp; Linguistics,Mathematics &amp; Statistics,History, Philosophy &amp; Theology,General Engineering,Psychology,Mechanical &amp; Aerospace Engineering,Archaeology,Art, Performing Arts &amp; Design,Chemical Engineering,Civil Engineering,Physics &amp; Astronomy,Sociology,Agriculture &amp; Forestry,Geology, Environmental, Earth &amp; Marine Sciences,Accounting &amp; Finance,Computer Science,Architecture,Geography,Veterinary Science,Business &amp; Management,Other Health,Economics &amp; Econometrics,Biological Sciences,Law,Politics &amp; International Studies (incl Development Studies),Education,Communication &amp; Media Studies,Electrical &amp; Electronic Engineering,Chemistry</t>
  </si>
  <si>
    <t>Nankai University</t>
  </si>
  <si>
    <t>/world-university-rankings/nankai-university</t>
  </si>
  <si>
    <t>Nankai University Nan Kai University</t>
  </si>
  <si>
    <t>Psychology,Education,Geology, Environmental, Earth &amp; Marine Sciences,Art, Performing Arts &amp; Design,Physics &amp; Astronomy,Law,Mathematics &amp; Statistics,Medicine &amp; Dentistry,Computer Science,Electrical &amp; Electronic Engineering,Politics &amp; International Studies (incl Development Studies),Languages, Literature &amp; Linguistics,Biological Sciences,Economics &amp; Econometrics,Business &amp; Management,Accounting &amp; Finance,Chemistry,Communication &amp; Media Studies,Archaeology,Sociology,Agriculture &amp; Forestry,General Engineering,History, Philosophy &amp; Theology</t>
  </si>
  <si>
    <t>Mahidol University</t>
  </si>
  <si>
    <t>/world-university-rankings/mahidol-university</t>
  </si>
  <si>
    <t>Art, Performing Arts &amp; Design,Civil Engineering,Chemistry,Business &amp; Management,History, Philosophy &amp; Theology,Sport Science,Accounting &amp; Finance,Medicine &amp; Dentistry,Veterinary Science,Mechanical &amp; Aerospace Engineering,Communication &amp; Media Studies,Economics &amp; Econometrics,Electrical &amp; Electronic Engineering,Geology, Environmental, Earth &amp; Marine Sciences,Other Health,Physics &amp; Astronomy,Languages, Literature &amp; Linguistics,Chemical Engineering,Education,Archaeology,Mathematics &amp; Statistics,Psychology,General Engineering,Politics &amp; International Studies (incl Development Studies),Computer Science,Biological Sciences,Sociology</t>
  </si>
  <si>
    <t>University of Jordan</t>
  </si>
  <si>
    <t>JO</t>
  </si>
  <si>
    <t>Jordan</t>
  </si>
  <si>
    <t>The University of Jordan</t>
  </si>
  <si>
    <t>/world-university-rankings/university-jordan</t>
  </si>
  <si>
    <t>Other Health,Mathematics &amp; Statistics,Mechanical &amp; Aerospace Engineering,Geography,Archaeology,Physics &amp; Astronomy,Medicine &amp; Dentistry,Biological Sciences,Psychology,Computer Science,Sociology,Languages, Literature &amp; Linguistics,Chemical Engineering,Law,Business &amp; Management,Architecture,Agriculture &amp; Forestry,Chemistry,Accounting &amp; Finance,Electrical &amp; Electronic Engineering,Geology, Environmental, Earth &amp; Marine Sciences,History, Philosophy &amp; Theology,Sport Science,Education,Art, Performing Arts &amp; Design,Civil Engineering,Politics &amp; International Studies (incl Development Studies),Economics &amp; Econometrics</t>
  </si>
  <si>
    <t>University of Tehran</t>
  </si>
  <si>
    <t>/world-university-rankings/university-tehran</t>
  </si>
  <si>
    <t>Business &amp; Management,Veterinary Science,Architecture,Mathematics &amp; Statistics,Computer Science,Geography,Archaeology,Languages, Literature &amp; Linguistics,Agriculture &amp; Forestry,Law,Civil Engineering,Communication &amp; Media Studies,Mechanical &amp; Aerospace Engineering,Geology, Environmental, Earth &amp; Marine Sciences,Chemistry,General Engineering,Accounting &amp; Finance,Education,Sociology,Art, Performing Arts &amp; Design,Psychology,Biological Sciences,History, Philosophy &amp; Theology,Physics &amp; Astronomy,Sport Science,Chemical Engineering,Economics &amp; Econometrics,Politics &amp; International Studies (incl Development Studies),Electrical &amp; Electronic Engineering</t>
  </si>
  <si>
    <t>George Washington University</t>
  </si>
  <si>
    <t>/world-university-rankings/george-washington-university</t>
  </si>
  <si>
    <t>Geography,Chemistry,Mathematics &amp; Statistics,Medicine &amp; Dentistry,Computer Science,Education,Economics &amp; Econometrics,Psychology,Sport Science,Politics &amp; International Studies (incl Development Studies),Other Health,Mechanical &amp; Aerospace Engineering,Archaeology,History, Philosophy &amp; Theology,Architecture,Art, Performing Arts &amp; Design,Communication &amp; Media Studies,Civil Engineering,Business &amp; Management,Electrical &amp; Electronic Engineering,Law,Accounting &amp; Finance,Physics &amp; Astronomy,Geology, Environmental, Earth &amp; Marine Sciences,General Engineering,Sociology,Biological Sciences,Languages, Literature &amp; Linguistics</t>
  </si>
  <si>
    <t>https://www.timeshighereducation.com/student/register-interest/shorelight?utm_medium=thewebsite&amp;utm_campaign=cta-link&amp;utm_source=rankings&amp;iid=i-83678132</t>
  </si>
  <si>
    <t xml:space="preserve">Lincoln University </t>
  </si>
  <si>
    <t>University of Lincoln</t>
  </si>
  <si>
    <t>/world-university-rankings/university-lincoln</t>
  </si>
  <si>
    <t>General Engineering,Business &amp; Management,Mathematics &amp; Statistics,Civil Engineering,Other Health,Agriculture &amp; Forestry,Mechanical &amp; Aerospace Engineering,Communication &amp; Media Studies,Languages, Literature &amp; Linguistics,Accounting &amp; Finance,Veterinary Science,Art, Performing Arts &amp; Design,Geography,Chemistry,Physics &amp; Astronomy,Psychology,Geology, Environmental, Earth &amp; Marine Sciences,Law,Computer Science,Sport Science,Electrical &amp; Electronic Engineering,Politics &amp; International Studies (incl Development Studies),Architecture,History, Philosophy &amp; Theology,Education,Economics &amp; Econometrics,Sociology,Biological Sciences</t>
  </si>
  <si>
    <t>University of Turin</t>
  </si>
  <si>
    <t>/world-university-rankings/university-turin</t>
  </si>
  <si>
    <t>Law,Accounting &amp; Finance,Communication &amp; Media Studies,Biological Sciences,History, Philosophy &amp; Theology,Psychology,Geography,Chemistry,Geology, Environmental, Earth &amp; Marine Sciences,Sociology,Agriculture &amp; Forestry,Art, Performing Arts &amp; Design,Economics &amp; Econometrics,Archaeology,Politics &amp; International Studies (incl Development Studies),Computer Science,Veterinary Science,Other Health,Business &amp; Management,Education,Mathematics &amp; Statistics,Languages, Literature &amp; Linguistics,Medicine &amp; Dentistry,Physics &amp; Astronomy,Sport Science</t>
  </si>
  <si>
    <t>University of Florence</t>
  </si>
  <si>
    <t>/world-university-rankings/university-florence</t>
  </si>
  <si>
    <t>Archaeology,Chemistry,Business &amp; Management,Medicine &amp; Dentistry,Sport Science,Education,Other Health,Agriculture &amp; Forestry,Law,Civil Engineering,Computer Science,Mathematics &amp; Statistics,Economics &amp; Econometrics,Art, Performing Arts &amp; Design,Electrical &amp; Electronic Engineering,Geography,Architecture,Physics &amp; Astronomy,Psychology,General Engineering,Sociology,Languages, Literature &amp; Linguistics,Mechanical &amp; Aerospace Engineering,Geology, Environmental, Earth &amp; Marine Sciences,Accounting &amp; Finance,History, Philosophy &amp; Theology,Biological Sciences,Communication &amp; Media Studies,Politics &amp; International Studies (incl Development Studies)</t>
  </si>
  <si>
    <t>University of Turku</t>
  </si>
  <si>
    <t>/world-university-rankings/university-turku</t>
  </si>
  <si>
    <t>Other Health,Geology, Environmental, Earth &amp; Marine Sciences,Psychology,Civil Engineering,Sociology,History, Philosophy &amp; Theology,Biological Sciences,Law,Chemical Engineering,Education,Medicine &amp; Dentistry,Politics &amp; International Studies (incl Development Studies),Mathematics &amp; Statistics,Economics &amp; Econometrics,Physics &amp; Astronomy,Accounting &amp; Finance,Computer Science,Communication &amp; Media Studies,Languages, Literature &amp; Linguistics,Chemistry,Business &amp; Management,Archaeology,Geography</t>
  </si>
  <si>
    <t>Tianjin University</t>
  </si>
  <si>
    <t>/world-university-rankings/tianjin-university</t>
  </si>
  <si>
    <t>Law,Electrical &amp; Electronic Engineering,Mathematics &amp; Statistics,Architecture,Education,Computer Science,Chemistry,Agriculture &amp; Forestry,Veterinary Science,Politics &amp; International Studies (incl Development Studies),Geology, Environmental, Earth &amp; Marine Sciences,General Engineering,Languages, Literature &amp; Linguistics,Biological Sciences,Sport Science,Accounting &amp; Finance,Mechanical &amp; Aerospace Engineering,Civil Engineering,Business &amp; Management,Economics &amp; Econometrics,Chemical Engineering</t>
  </si>
  <si>
    <t>University of Tsukuba</t>
  </si>
  <si>
    <t>/world-university-rankings/university-tsukuba</t>
  </si>
  <si>
    <t>38 : 62</t>
  </si>
  <si>
    <t>Art, Performing Arts &amp; Design,Electrical &amp; Electronic Engineering,Education,Geography,Psychology,Mathematics &amp; Statistics,Communication &amp; Media Studies,Law,Chemistry,Other Health,Mechanical &amp; Aerospace Engineering,Economics &amp; Econometrics,Sport Science,Biological Sciences,Civil Engineering,Business &amp; Management,General Engineering,Chemical Engineering,Geology, Environmental, Earth &amp; Marine Sciences,Languages, Literature &amp; Linguistics,Politics &amp; International Studies (incl Development Studies),Accounting &amp; Finance,Archaeology,History, Philosophy &amp; Theology,Computer Science,Agriculture &amp; Forestry,Physics &amp; Astronomy,Medicine &amp; Dentistry,Sociology,Architecture</t>
  </si>
  <si>
    <t>University of Kent</t>
  </si>
  <si>
    <t>/world-university-rankings/university-kent</t>
  </si>
  <si>
    <t>Languages, Literature &amp; Linguistics,Veterinary Science,Communication &amp; Media Studies,Education,Other Health,Archaeology,Economics &amp; Econometrics,Law,Psychology,Sport Science,Medicine &amp; Dentistry,Computer Science,Geology, Environmental, Earth &amp; Marine Sciences,Business &amp; Management,Mathematics &amp; Statistics,History, Philosophy &amp; Theology,Architecture,Physics &amp; Astronomy,Electrical &amp; Electronic Engineering,Geography,Accounting &amp; Finance,Biological Sciences,Art, Performing Arts &amp; Design,Sociology,Mechanical &amp; Aerospace Engineering,Politics &amp; International Studies (incl Development Studies),Agriculture &amp; Forestry,General Engineering,Chemistry</t>
  </si>
  <si>
    <t>University of Pisa</t>
  </si>
  <si>
    <t>/world-university-rankings/university-pisa</t>
  </si>
  <si>
    <t>Sport Science,Mechanical &amp; Aerospace Engineering,Communication &amp; Media Studies,Politics &amp; International Studies (incl Development Studies),Languages, Literature &amp; Linguistics,Accounting &amp; Finance,Law,Chemical Engineering,Art, Performing Arts &amp; Design,History, Philosophy &amp; Theology,Economics &amp; Econometrics,Agriculture &amp; Forestry,Sociology,Mathematics &amp; Statistics,Business &amp; Management,Medicine &amp; Dentistry,General Engineering,Physics &amp; Astronomy,Education,Veterinary Science,Electrical &amp; Electronic Engineering,Biological Sciences,Computer Science,Chemistry,Archaeology,Civil Engineering,Other Health,Geology, Environmental, Earth &amp; Marine Sciences,Psychology</t>
  </si>
  <si>
    <t>Anna University</t>
  </si>
  <si>
    <t>/world-university-rankings/anna-university</t>
  </si>
  <si>
    <t>Mechanical &amp; Aerospace Engineering,Biological Sciences,Chemical Engineering,Geology, Environmental, Earth &amp; Marine Sciences,Civil Engineering,Computer Science,Chemistry,Physics &amp; Astronomy,Mathematics &amp; Statistics,Electrical &amp; Electronic Engineering,General Engineering,Communication &amp; Media Studies,Business &amp; Management</t>
  </si>
  <si>
    <t xml:space="preserve"> Western Sydney University</t>
  </si>
  <si>
    <t>Western Sydney University</t>
  </si>
  <si>
    <t>/world-university-rankings/western-sydney-university</t>
  </si>
  <si>
    <t>Western Sydney University University of Western Sydney WSU UWS</t>
  </si>
  <si>
    <t>Civil Engineering,Geology, Environmental, Earth &amp; Marine Sciences,Business &amp; Management,Archaeology,Veterinary Science,Communication &amp; Media Studies,History, Philosophy &amp; Theology,Mechanical &amp; Aerospace Engineering,Geography,Medicine &amp; Dentistry,Biological Sciences,Law,Computer Science,Physics &amp; Astronomy,Education,Other Health,Sport Science,Psychology,Architecture,Agriculture &amp; Forestry,Politics &amp; International Studies (incl Development Studies),General Engineering,Chemistry,Accounting &amp; Finance,Art, Performing Arts &amp; Design,Chemical Engineering,Sociology,Languages, Literature &amp; Linguistics,Electrical &amp; Electronic Engineering,Mathematics &amp; Statistics,Economics &amp; Econometrics</t>
  </si>
  <si>
    <t>Universiti Brunei Darussalam (UBD)</t>
  </si>
  <si>
    <t>BN</t>
  </si>
  <si>
    <t>Brunei</t>
  </si>
  <si>
    <t>Universiti Brunei Darussalam</t>
  </si>
  <si>
    <t>/world-university-rankings/universiti-brunei-darussalam</t>
  </si>
  <si>
    <t>Brunei Darussalam</t>
  </si>
  <si>
    <t>Accounting &amp; Finance,Mathematics &amp; Statistics,Other Health,Agriculture &amp; Forestry,History, Philosophy &amp; Theology,Business &amp; Management,Chemistry,Chemical Engineering,Geology, Environmental, Earth &amp; Marine Sciences,Biological Sciences,Politics &amp; International Studies (incl Development Studies),Medicine &amp; Dentistry,Physics &amp; Astronomy,Economics &amp; Econometrics,Art, Performing Arts &amp; Design,Computer Science,Languages, Literature &amp; Linguistics,Sociology,General Engineering,Education,Geography,Communication &amp; Media Studies</t>
  </si>
  <si>
    <t>Belarusian State University</t>
  </si>
  <si>
    <t>BY</t>
  </si>
  <si>
    <t>Belarus</t>
  </si>
  <si>
    <t>/world-university-rankings/belarusian-state-university</t>
  </si>
  <si>
    <t>Computer Science,Languages, Literature &amp; Linguistics,Chemistry,Art, Performing Arts &amp; Design,Physics &amp; Astronomy,Mathematics &amp; Statistics,History, Philosophy &amp; Theology,Sociology,Chemical Engineering,Geology, Environmental, Earth &amp; Marine Sciences,Business &amp; Management,Politics &amp; International Studies (incl Development Studies),Mechanical &amp; Aerospace Engineering,Biological Sciences,Electrical &amp; Electronic Engineering</t>
  </si>
  <si>
    <t>Virginia Polytechnic Institute and State University</t>
  </si>
  <si>
    <t>/world-university-rankings/virginia-polytechnic-institute-and-state-university</t>
  </si>
  <si>
    <t>Virginia Polytechnic Institute and State University virginia tech virginia</t>
  </si>
  <si>
    <t>General Engineering,Chemistry,Architecture,Biological Sciences,Mathematics &amp; Statistics,Economics &amp; Econometrics,Languages, Literature &amp; Linguistics,Agriculture &amp; Forestry,Politics &amp; International Studies (incl Development Studies),Geography,Civil Engineering,Communication &amp; Media Studies,History, Philosophy &amp; Theology,Chemical Engineering,Physics &amp; Astronomy,Medicine &amp; Dentistry,Sport Science,Accounting &amp; Finance,Archaeology,Mechanical &amp; Aerospace Engineering,Psychology,Art, Performing Arts &amp; Design,Other Health,Geology, Environmental, Earth &amp; Marine Sciences,Sociology,Computer Science,Veterinary Science,Business &amp; Management,Electrical &amp; Electronic Engineering,Education</t>
  </si>
  <si>
    <t>National Taiwan University of Science and Technology (Taiwan Tech)</t>
  </si>
  <si>
    <t>/world-university-rankings/national-taiwan-university-science-and-technology-taiwan-tech</t>
  </si>
  <si>
    <t>Electrical &amp; Electronic Engineering,Mechanical &amp; Aerospace Engineering,Languages, Literature &amp; Linguistics,Computer Science,Art, Performing Arts &amp; Design,Civil Engineering,General Engineering,Architecture,Chemical Engineering,Accounting &amp; Finance,Business &amp; Management,Education</t>
  </si>
  <si>
    <t>National and Kapodistrian University of Athens</t>
  </si>
  <si>
    <t>/world-university-rankings/national-and-kapodistrian-university-athens</t>
  </si>
  <si>
    <t>Biological Sciences,Business &amp; Management,Education,Agriculture &amp; Forestry,Languages, Literature &amp; Linguistics,Architecture,Psychology,Physics &amp; Astronomy,Geography,Medicine &amp; Dentistry,Law,History, Philosophy &amp; Theology,Communication &amp; Media Studies,Sport Science,Archaeology,Veterinary Science,Chemistry,Electrical &amp; Electronic Engineering,Art, Performing Arts &amp; Design,Other Health,Accounting &amp; Finance,Computer Science,Politics &amp; International Studies (incl Development Studies),Economics &amp; Econometrics,Geology, Environmental, Earth &amp; Marine Sciences,Mechanical &amp; Aerospace Engineering,Sociology,Mathematics &amp; Statistics</t>
  </si>
  <si>
    <t>University of California, Santa Cruz</t>
  </si>
  <si>
    <t>/world-university-rankings/university-california-santa-cruz</t>
  </si>
  <si>
    <t>Art, Performing Arts &amp; Design,Electrical &amp; Electronic Engineering,Other Health,Languages, Literature &amp; Linguistics,Politics &amp; International Studies (incl Development Studies),General Engineering,Sociology,Computer Science,Biological Sciences,Economics &amp; Econometrics,Education,Business &amp; Management,Psychology,Mathematics &amp; Statistics,Communication &amp; Media Studies,Archaeology,Agriculture &amp; Forestry,History, Philosophy &amp; Theology,Geology, Environmental, Earth &amp; Marine Sciences,Physics &amp; Astronomy,Chemistry</t>
  </si>
  <si>
    <t>https://www.timeshighereducation.com/student/register-interest/shorelight?utm_medium=thewebsite&amp;utm_campaign=cta-link&amp;utm_source=rankings&amp;iid=i-68567521</t>
  </si>
  <si>
    <t xml:space="preserve">Sejong University </t>
  </si>
  <si>
    <t>Sejong University</t>
  </si>
  <si>
    <t>/world-university-rankings/sejong-university</t>
  </si>
  <si>
    <t>Geology, Environmental, Earth &amp; Marine Sciences,General Engineering,History, Philosophy &amp; Theology,Biological Sciences,Languages, Literature &amp; Linguistics,Sociology,Chemistry,Law,Business &amp; Management,Electrical &amp; Electronic Engineering,Chemical Engineering,Sport Science,Accounting &amp; Finance,Medicine &amp; Dentistry,Mathematics &amp; Statistics,Economics &amp; Econometrics,Art, Performing Arts &amp; Design,Architecture,Physics &amp; Astronomy,Communication &amp; Media Studies,Civil Engineering,Computer Science,Education,Mechanical &amp; Aerospace Engineering,Other Health,Agriculture &amp; Forestry</t>
  </si>
  <si>
    <t xml:space="preserve">University of Southern Queensland </t>
  </si>
  <si>
    <t>University of Southern Queensland</t>
  </si>
  <si>
    <t>/world-university-rankings/university-southern-queensland</t>
  </si>
  <si>
    <t>University of Southern Queensland usq</t>
  </si>
  <si>
    <t>Art, Performing Arts &amp; Design,Agriculture &amp; Forestry,Psychology,Civil Engineering,Law,Other Health,Geology, Environmental, Earth &amp; Marine Sciences,History, Philosophy &amp; Theology,Chemistry,Accounting &amp; Finance,General Engineering,Sport Science,Business &amp; Management,Mechanical &amp; Aerospace Engineering,Mathematics &amp; Statistics,Archaeology,Politics &amp; International Studies (incl Development Studies),Economics &amp; Econometrics,Electrical &amp; Electronic Engineering,Communication &amp; Media Studies,Languages, Literature &amp; Linguistics,Biological Sciences,Sociology,Computer Science,Physics &amp; Astronomy,Education</t>
  </si>
  <si>
    <t>KoÃ§ University</t>
  </si>
  <si>
    <t>/world-university-rankings/koc-university</t>
  </si>
  <si>
    <t>KoÃ§ University koc</t>
  </si>
  <si>
    <t>History, Philosophy &amp; Theology,Medicine &amp; Dentistry,Electrical &amp; Electronic Engineering,Psychology,Politics &amp; International Studies (incl Development Studies),Chemistry,Archaeology,General Engineering,Biological Sciences,Languages, Literature &amp; Linguistics,Communication &amp; Media Studies,Sociology,Accounting &amp; Finance,Other Health,Business &amp; Management,Chemical Engineering,Law,Computer Science,Mathematics &amp; Statistics,Economics &amp; Econometrics,Physics &amp; Astronomy,Art, Performing Arts &amp; Design,Mechanical &amp; Aerospace Engineering</t>
  </si>
  <si>
    <t>Amirkabir University of Technology</t>
  </si>
  <si>
    <t>/world-university-rankings/amirkabir-university-technology</t>
  </si>
  <si>
    <t>Computer Science,Geology, Environmental, Earth &amp; Marine Sciences,Chemical Engineering,Physics &amp; Astronomy,Business &amp; Management,Electrical &amp; Electronic Engineering,Chemistry,General Engineering,Civil Engineering,Mathematics &amp; Statistics,Mechanical &amp; Aerospace Engineering</t>
  </si>
  <si>
    <t xml:space="preserve">University of Canberra </t>
  </si>
  <si>
    <t>University of Canberra</t>
  </si>
  <si>
    <t>/world-university-rankings/university-canberra</t>
  </si>
  <si>
    <t>Art, Performing Arts &amp; Design,Sport Science,Accounting &amp; Finance,Medicine &amp; Dentistry,Biological Sciences,Education,Other Health,Psychology,General Engineering,Sociology,Computer Science,Law,Architecture,Mathematics &amp; Statistics,History, Philosophy &amp; Theology,Chemistry,Languages, Literature &amp; Linguistics,Agriculture &amp; Forestry,Geology, Environmental, Earth &amp; Marine Sciences,Business &amp; Management,Civil Engineering,Politics &amp; International Studies (incl Development Studies),Economics &amp; Econometrics,Communication &amp; Media Studies</t>
  </si>
  <si>
    <t>Satbayev University</t>
  </si>
  <si>
    <t>/world-university-rankings/satbayev-university</t>
  </si>
  <si>
    <t>Electrical &amp; Electronic Engineering,Economics &amp; Econometrics,Business &amp; Management,General Engineering,Geology, Environmental, Earth &amp; Marine Sciences,Architecture,Mechanical &amp; Aerospace Engineering,Chemical Engineering,Civil Engineering,Art, Performing Arts &amp; Design,Biological Sciences,Computer Science</t>
  </si>
  <si>
    <t>USI - UniversitÃ  della Svizzera italiana</t>
  </si>
  <si>
    <t>UniversitÃ  della Svizzera italiana</t>
  </si>
  <si>
    <t>/world-university-rankings/universita-della-svizzera-italiana</t>
  </si>
  <si>
    <t>Business &amp; Management,Medicine &amp; Dentistry,Economics &amp; Econometrics,Computer Science,Accounting &amp; Finance,Architecture,Communication &amp; Media Studies,History, Philosophy &amp; Theology,Languages, Literature &amp; Linguistics</t>
  </si>
  <si>
    <t>Masaryk University</t>
  </si>
  <si>
    <t>/world-university-rankings/masaryk-university</t>
  </si>
  <si>
    <t>Archaeology,Physics &amp; Astronomy,Sociology,Accounting &amp; Finance,Computer Science,Art, Performing Arts &amp; Design,Sport Science,Law,Biological Sciences,Chemical Engineering,Psychology,Politics &amp; International Studies (incl Development Studies),Chemistry,Mathematics &amp; Statistics,Languages, Literature &amp; Linguistics,Geography,History, Philosophy &amp; Theology,Agriculture &amp; Forestry,Communication &amp; Media Studies,Other Health,Business &amp; Management,Education,Medicine &amp; Dentistry,Economics &amp; Econometrics,Geology, Environmental, Earth &amp; Marine Sciences</t>
  </si>
  <si>
    <t>HSE University</t>
  </si>
  <si>
    <t>/world-university-rankings/national-research-university-higher-school-economics</t>
  </si>
  <si>
    <t>Languages, Literature &amp; Linguistics,Civil Engineering,Psychology,Computer Science,Chemistry,General Engineering,Politics &amp; International Studies (incl Development Studies),Mathematics &amp; Statistics,Economics &amp; Econometrics,Archaeology,Communication &amp; Media Studies,Business &amp; Management,History, Philosophy &amp; Theology,Geology, Environmental, Earth &amp; Marine Sciences,Law,Electrical &amp; Electronic Engineering,Geography,Architecture,Sociology,Art, Performing Arts &amp; Design,Physics &amp; Astronomy,Accounting &amp; Finance,Biological Sciences,Education</t>
  </si>
  <si>
    <t>The American University in Cairo</t>
  </si>
  <si>
    <t>American University in Cairo</t>
  </si>
  <si>
    <t>/world-university-rankings/american-university-cairo</t>
  </si>
  <si>
    <t>Computer Science,Politics &amp; International Studies (incl Development Studies),Art, Performing Arts &amp; Design,Physics &amp; Astronomy,Geology, Environmental, Earth &amp; Marine Sciences,Mathematics &amp; Statistics,Education,Languages, Literature &amp; Linguistics,Archaeology,Sociology,Biological Sciences,Accounting &amp; Finance,Civil Engineering,Economics &amp; Econometrics,Architecture,Chemistry,Business &amp; Management,History, Philosophy &amp; Theology,Mechanical &amp; Aerospace Engineering,Psychology,General Engineering,Law,Electrical &amp; Electronic Engineering,Communication &amp; Media Studies</t>
  </si>
  <si>
    <t>Graz University of Technology</t>
  </si>
  <si>
    <t>/world-university-rankings/graz-university-technology</t>
  </si>
  <si>
    <t>General Engineering,Physics &amp; Astronomy,Chemistry,Business &amp; Management,Architecture,Mathematics &amp; Statistics,Education,Civil Engineering,Geology, Environmental, Earth &amp; Marine Sciences,Electrical &amp; Electronic Engineering,Biological Sciences,Computer Science,Mechanical &amp; Aerospace Engineering,Chemical Engineering</t>
  </si>
  <si>
    <t>Concordia University</t>
  </si>
  <si>
    <t>/world-university-rankings/concordia-university</t>
  </si>
  <si>
    <t>History, Philosophy &amp; Theology,Art, Performing Arts &amp; Design,Chemical Engineering,Psychology,Chemistry,Economics &amp; Econometrics,Civil Engineering,Accounting &amp; Finance,Computer Science,Mathematics &amp; Statistics,Politics &amp; International Studies (incl Development Studies),Electrical &amp; Electronic Engineering,Sociology,Languages, Literature &amp; Linguistics,Sport Science,Education,Other Health,Biological Sciences,Geography,Mechanical &amp; Aerospace Engineering,Geology, Environmental, Earth &amp; Marine Sciences,Business &amp; Management,General Engineering,Communication &amp; Media Studies,Physics &amp; Astronomy</t>
  </si>
  <si>
    <t>https://www.timeshighereducation.com/student/register-interest/applyboard?utm_medium=thewebsite&amp;utm_campaign=cta-link&amp;utm_source=rankings&amp;iid=i-42348303</t>
  </si>
  <si>
    <t>Oxford Brookes University</t>
  </si>
  <si>
    <t>/world-university-rankings/oxford-brookes-university</t>
  </si>
  <si>
    <t>Economics &amp; Econometrics,Languages, Literature &amp; Linguistics,Biological Sciences,Sport Science,Electrical &amp; Electronic Engineering,Architecture,Politics &amp; International Studies (incl Development Studies),Sociology,Education,Psychology,Law,Art, Performing Arts &amp; Design,Mathematics &amp; Statistics,Computer Science,Accounting &amp; Finance,Mechanical &amp; Aerospace Engineering,History, Philosophy &amp; Theology,Business &amp; Management,Other Health,Communication &amp; Media Studies,Geography</t>
  </si>
  <si>
    <t>https://www.timeshighereducation.com/student/register-interest/siuk?utm_medium=thewebsite&amp;utm_campaign=cta-link&amp;utm_source=rankings&amp;iid=i-71176562</t>
  </si>
  <si>
    <t>Technion - Israel Institute of Technology</t>
  </si>
  <si>
    <t>Technion Israel Institute of Technology</t>
  </si>
  <si>
    <t>/world-university-rankings/technion-israel-institute-technology</t>
  </si>
  <si>
    <t>Architecture,Education,Biological Sciences,Chemical Engineering,Mechanical &amp; Aerospace Engineering,Electrical &amp; Electronic Engineering,Geology, Environmental, Earth &amp; Marine Sciences,Computer Science,Chemistry,Civil Engineering,Business &amp; Management,Physics &amp; Astronomy,General Engineering,Mathematics &amp; Statistics,Other Health,Sociology</t>
  </si>
  <si>
    <t xml:space="preserve"> University of Dundee</t>
  </si>
  <si>
    <t>University of Dundee</t>
  </si>
  <si>
    <t>/world-university-rankings/university-dundee</t>
  </si>
  <si>
    <t>Medicine &amp; Dentistry,Electrical &amp; Electronic Engineering,Economics &amp; Econometrics,Education,Civil Engineering,Psychology,Art, Performing Arts &amp; Design,Biological Sciences,Languages, Literature &amp; Linguistics,Computer Science,Other Health,Geography,Politics &amp; International Studies (incl Development Studies),Mechanical &amp; Aerospace Engineering,Law,Architecture,Geology, Environmental, Earth &amp; Marine Sciences,Mathematics &amp; Statistics,History, Philosophy &amp; Theology,Communication &amp; Media Studies,Business &amp; Management,Physics &amp; Astronomy,Accounting &amp; Finance</t>
  </si>
  <si>
    <t>Czech Technical University in Prague</t>
  </si>
  <si>
    <t>/world-university-rankings/czech-technical-university-prague</t>
  </si>
  <si>
    <t>Chemical Engineering,Other Health,Economics &amp; Econometrics,Computer Science,Mathematics &amp; Statistics,Civil Engineering,Business &amp; Management,Chemistry,Physics &amp; Astronomy,General Engineering,Biological Sciences,Electrical &amp; Electronic Engineering,Mechanical &amp; Aerospace Engineering,Accounting &amp; Finance</t>
  </si>
  <si>
    <t>Dublin City University</t>
  </si>
  <si>
    <t>/world-university-rankings/dublin-city-university</t>
  </si>
  <si>
    <t>History, Philosophy &amp; Theology,Geology, Environmental, Earth &amp; Marine Sciences,Economics &amp; Econometrics,Mechanical &amp; Aerospace Engineering,Biological Sciences,Law,Physics &amp; Astronomy,Business &amp; Management,Sport Science,Education,Electrical &amp; Electronic Engineering,Sociology,Other Health,Communication &amp; Media Studies,Computer Science,Politics &amp; International Studies (incl Development Studies),Languages, Literature &amp; Linguistics,Chemistry,Accounting &amp; Finance,Geography,Mathematics &amp; Statistics,Psychology</t>
  </si>
  <si>
    <t>University of Limerick</t>
  </si>
  <si>
    <t>/world-university-rankings/university-limerick</t>
  </si>
  <si>
    <t>Chemistry,Architecture,Politics &amp; International Studies (incl Development Studies),Physics &amp; Astronomy,History, Philosophy &amp; Theology,Electrical &amp; Electronic Engineering,Other Health,Business &amp; Management,Sociology,Communication &amp; Media Studies,Economics &amp; Econometrics,Geology, Environmental, Earth &amp; Marine Sciences,General Engineering,Law,Medicine &amp; Dentistry,Mathematics &amp; Statistics,Accounting &amp; Finance,Biological Sciences,Civil Engineering,Art, Performing Arts &amp; Design,Sport Science,Psychology,Chemical Engineering,Languages, Literature &amp; Linguistics,Computer Science,Education,Mechanical &amp; Aerospace Engineering</t>
  </si>
  <si>
    <t>Aston University</t>
  </si>
  <si>
    <t>/world-university-rankings/aston-university</t>
  </si>
  <si>
    <t>Economics &amp; Econometrics,Biological Sciences,Mechanical &amp; Aerospace Engineering,Civil Engineering,History, Philosophy &amp; Theology,Languages, Literature &amp; Linguistics,Mathematics &amp; Statistics,Psychology,Chemistry,Chemical Engineering,Law,Politics &amp; International Studies (incl Development Studies),Other Health,General Engineering,Computer Science,Electrical &amp; Electronic Engineering,Sociology,Accounting &amp; Finance,Medicine &amp; Dentistry,Business &amp; Management</t>
  </si>
  <si>
    <t>https://www.timeshighereducation.com/student/register-interest/siuk?utm_medium=thewebsite&amp;utm_campaign=cta-link&amp;utm_source=rankings&amp;iid=i-95141863</t>
  </si>
  <si>
    <t>UniversitÃ© Laval</t>
  </si>
  <si>
    <t>/world-university-rankings/laval-university</t>
  </si>
  <si>
    <t>Languages, Literature &amp; Linguistics,Biological Sciences,Sociology,Economics &amp; Econometrics,Medicine &amp; Dentistry,Civil Engineering,Geography,Art, Performing Arts &amp; Design,Chemical Engineering,Communication &amp; Media Studies,History, Philosophy &amp; Theology,Other Health,Chemistry,Law,Computer Science,Mathematics &amp; Statistics,Psychology,Archaeology,Accounting &amp; Finance,Mechanical &amp; Aerospace Engineering,Physics &amp; Astronomy,Business &amp; Management,Architecture,Agriculture &amp; Forestry,Politics &amp; International Studies (incl Development Studies),General Engineering,Geology, Environmental, Earth &amp; Marine Sciences,Electrical &amp; Electronic Engineering,Sport Science,Education</t>
  </si>
  <si>
    <t>National Taipei University of Technology</t>
  </si>
  <si>
    <t>/world-university-rankings/national-taipei-university-technology</t>
  </si>
  <si>
    <t>Languages, Literature &amp; Linguistics,Art, Performing Arts &amp; Design,Mechanical &amp; Aerospace Engineering,General Engineering,Civil Engineering,Computer Science,Business &amp; Management,Biological Sciences,Electrical &amp; Electronic Engineering,Chemical Engineering,Other Health,Geology, Environmental, Earth &amp; Marine Sciences,Architecture,Mathematics &amp; Statistics</t>
  </si>
  <si>
    <t>Leibniz University Hannover</t>
  </si>
  <si>
    <t>/world-university-rankings/leibniz-university-hannover</t>
  </si>
  <si>
    <t>Law,Geology, Environmental, Earth &amp; Marine Sciences,Languages, Literature &amp; Linguistics,Mathematics &amp; Statistics,General Engineering,Civil Engineering,History, Philosophy &amp; Theology,Physics &amp; Astronomy,Mechanical &amp; Aerospace Engineering,Politics &amp; International Studies (incl Development Studies),Business &amp; Management,Agriculture &amp; Forestry,Biological Sciences,Chemistry,Accounting &amp; Finance,Electrical &amp; Electronic Engineering,Education,Geography,Architecture,Economics &amp; Econometrics,Sociology,Computer Science,Sport Science</t>
  </si>
  <si>
    <t>University of Electronic Science and Technology of China</t>
  </si>
  <si>
    <t>/world-university-rankings/university-electronic-science-and-technology-china</t>
  </si>
  <si>
    <t>History, Philosophy &amp; Theology,Chemistry,Computer Science,Electrical &amp; Electronic Engineering,Physics &amp; Astronomy,Psychology,General Engineering,Languages, Literature &amp; Linguistics,Medicine &amp; Dentistry,Geology, Environmental, Earth &amp; Marine Sciences,Chemical Engineering,Economics &amp; Econometrics,Business &amp; Management,Other Health,Mathematics &amp; Statistics,Mechanical &amp; Aerospace Engineering,Biological Sciences</t>
  </si>
  <si>
    <t>Tomsk State University</t>
  </si>
  <si>
    <t>/world-university-rankings/tomsk-state-university</t>
  </si>
  <si>
    <t>Sociology,Education,Sport Science,Business &amp; Management,Medicine &amp; Dentistry,Civil Engineering,Communication &amp; Media Studies,Mathematics &amp; Statistics,Politics &amp; International Studies (incl Development Studies),Accounting &amp; Finance,Mechanical &amp; Aerospace Engineering,Computer Science,Physics &amp; Astronomy,General Engineering,Geology, Environmental, Earth &amp; Marine Sciences,Psychology,Chemistry,Law,Biological Sciences,History, Philosophy &amp; Theology,Archaeology,Art, Performing Arts &amp; Design,Economics &amp; Econometrics,Electrical &amp; Electronic Engineering,Other Health,Languages, Literature &amp; Linguistics,Chemical Engineering,Geography,Agriculture &amp; Forestry</t>
  </si>
  <si>
    <t>University of Granada</t>
  </si>
  <si>
    <t>/world-university-rankings/university-granada</t>
  </si>
  <si>
    <t>History, Philosophy &amp; Theology,Civil Engineering,Sociology,Chemistry,Accounting &amp; Finance,Languages, Literature &amp; Linguistics,Computer Science,Mathematics &amp; Statistics,Psychology,Architecture,Sport Science,Communication &amp; Media Studies,Economics &amp; Econometrics,Medicine &amp; Dentistry,Politics &amp; International Studies (incl Development Studies),Biological Sciences,Law,Other Health,Geography,Electrical &amp; Electronic Engineering,Education,Archaeology,Geology, Environmental, Earth &amp; Marine Sciences,Business &amp; Management,Chemical Engineering,Physics &amp; Astronomy</t>
  </si>
  <si>
    <t>University of Sharjah</t>
  </si>
  <si>
    <t>/world-university-rankings/university-sharjah</t>
  </si>
  <si>
    <t>Other Health,Medicine &amp; Dentistry,History, Philosophy &amp; Theology,Sociology,Physics &amp; Astronomy,Computer Science,Mathematics &amp; Statistics,Chemical Engineering,Accounting &amp; Finance,Archaeology,Politics &amp; International Studies (incl Development Studies),Chemistry,Agriculture &amp; Forestry,Biological Sciences,General Engineering,Mechanical &amp; Aerospace Engineering,Art, Performing Arts &amp; Design,Languages, Literature &amp; Linguistics,Electrical &amp; Electronic Engineering,Economics &amp; Econometrics,Business &amp; Management,Architecture,Civil Engineering,Law,Communication &amp; Media Studies,Geology, Environmental, Earth &amp; Marine Sciences</t>
  </si>
  <si>
    <t>Iran University of Science and Technology</t>
  </si>
  <si>
    <t>/world-university-rankings/iran-university-science-and-technology</t>
  </si>
  <si>
    <t>Computer Science,Geology, Environmental, Earth &amp; Marine Sciences,Civil Engineering,Mechanical &amp; Aerospace Engineering,Economics &amp; Econometrics,Physics &amp; Astronomy,Languages, Literature &amp; Linguistics,Biological Sciences,Architecture,Business &amp; Management,Chemistry,Electrical &amp; Electronic Engineering,Chemical Engineering,Mathematics &amp; Statistics</t>
  </si>
  <si>
    <t>Murdoch University</t>
  </si>
  <si>
    <t>/world-university-rankings/murdoch-university</t>
  </si>
  <si>
    <t>Murdoch University Murdoch</t>
  </si>
  <si>
    <t>Politics &amp; International Studies (incl Development Studies),Art, Performing Arts &amp; Design,Languages, Literature &amp; Linguistics,Sociology,Agriculture &amp; Forestry,Physics &amp; Astronomy,General Engineering,Electrical &amp; Electronic Engineering,Law,Sport Science,Business &amp; Management,Communication &amp; Media Studies,Accounting &amp; Finance,Chemical Engineering,Chemistry,Biological Sciences,Economics &amp; Econometrics,Mathematics &amp; Statistics,Geology, Environmental, Earth &amp; Marine Sciences,Computer Science,Other Health,History, Philosophy &amp; Theology,Psychology,Veterinary Science,Education</t>
  </si>
  <si>
    <t xml:space="preserve">Vilnius University </t>
  </si>
  <si>
    <t>LT</t>
  </si>
  <si>
    <t>Lithuania</t>
  </si>
  <si>
    <t>Vilnius University</t>
  </si>
  <si>
    <t>/world-university-rankings/vilnius-university</t>
  </si>
  <si>
    <t>Psychology,Chemistry,General Engineering,Other Health,History, Philosophy &amp; Theology,Accounting &amp; Finance,Electrical &amp; Electronic Engineering,Geology, Environmental, Earth &amp; Marine Sciences,Geography,Sociology,Business &amp; Management,Law,Biological Sciences,Economics &amp; Econometrics,Chemical Engineering,Languages, Literature &amp; Linguistics,Medicine &amp; Dentistry,Mathematics &amp; Statistics,Archaeology,Politics &amp; International Studies (incl Development Studies),Communication &amp; Media Studies,Education,Physics &amp; Astronomy,Computer Science</t>
  </si>
  <si>
    <t>Novosibirsk State University</t>
  </si>
  <si>
    <t>/world-university-rankings/novosibirsk-state-university</t>
  </si>
  <si>
    <t>Agriculture &amp; Forestry,History, Philosophy &amp; Theology,Mechanical &amp; Aerospace Engineering,Business &amp; Management,General Engineering,Chemistry,Psychology,Archaeology,Physics &amp; Astronomy,Law,Languages, Literature &amp; Linguistics,Chemical Engineering,Accounting &amp; Finance,Computer Science,Geology, Environmental, Earth &amp; Marine Sciences,Civil Engineering,Politics &amp; International Studies (incl Development Studies),Electrical &amp; Electronic Engineering,Communication &amp; Media Studies,Medicine &amp; Dentistry,Mathematics &amp; Statistics,Economics &amp; Econometrics,Art, Performing Arts &amp; Design,Biological Sciences,Sociology,Education</t>
  </si>
  <si>
    <t>James Cook University</t>
  </si>
  <si>
    <t>/world-university-rankings/james-cook-university</t>
  </si>
  <si>
    <t>History, Philosophy &amp; Theology,Electrical &amp; Electronic Engineering,Civil Engineering,Chemistry,Economics &amp; Econometrics,Computer Science,Physics &amp; Astronomy,Other Health,Biological Sciences,Law,Chemical Engineering,Politics &amp; International Studies (incl Development Studies),Languages, Literature &amp; Linguistics,Veterinary Science,Psychology,Archaeology,Sport Science,Education,General Engineering,Mathematics &amp; Statistics,Business &amp; Management,Medicine &amp; Dentistry,Agriculture &amp; Forestry,Sociology,Art, Performing Arts &amp; Design,Mechanical &amp; Aerospace Engineering,Geography,Geology, Environmental, Earth &amp; Marine Sciences,Accounting &amp; Finance</t>
  </si>
  <si>
    <t>https://www.timeshighereducation.com/student/register-interest/aecc?utm_medium=thewebsite&amp;utm_campaign=cta-link&amp;utm_source=rankings&amp;iid=i-45641594</t>
  </si>
  <si>
    <t>Justus-Liebig-University Giessen</t>
  </si>
  <si>
    <t>Justus Liebig University Giessen</t>
  </si>
  <si>
    <t>/world-university-rankings/justus-liebig-university-giessen</t>
  </si>
  <si>
    <t>Agriculture &amp; Forestry,Education,Archaeology,Business &amp; Management,Biological Sciences,Geography,Veterinary Science,Psychology,History, Philosophy &amp; Theology,Law,Computer Science,Sociology,Languages, Literature &amp; Linguistics,Mathematics &amp; Statistics,Accounting &amp; Finance,Sport Science,Chemistry,Medicine &amp; Dentistry,Politics &amp; International Studies (incl Development Studies),Art, Performing Arts &amp; Design,Physics &amp; Astronomy,Economics &amp; Econometrics</t>
  </si>
  <si>
    <t>Southern University of Science and Technology</t>
  </si>
  <si>
    <t>Missouri University of Science and Technology</t>
  </si>
  <si>
    <t>/world-university-rankings/missouri-university-science-and-technology</t>
  </si>
  <si>
    <t>Archaeology,Medicine &amp; Dentistry,Geology, Environmental, Earth &amp; Marine Sciences,Education,Veterinary Science,Psychology,Geography,Mathematics &amp; Statistics,Economics &amp; Econometrics,General Engineering,Other Health,Electrical &amp; Electronic Engineering,Business &amp; Management,Mechanical &amp; Aerospace Engineering,Chemistry,Communication &amp; Media Studies,Law,Chemical Engineering,Art, Performing Arts &amp; Design,Architecture,Sport Science,Politics &amp; International Studies (incl Development Studies),History, Philosophy &amp; Theology,Agriculture &amp; Forestry,Accounting &amp; Finance,Sociology,Physics &amp; Astronomy,Languages, Literature &amp; Linguistics,Computer Science,Civil Engineering,Biological Sciences</t>
  </si>
  <si>
    <t>https://www.timeshighereducation.com/student/register-interest/shorelight?utm_medium=thewebsite&amp;utm_campaign=cta-link&amp;utm_source=rankings&amp;iid=i-79806122</t>
  </si>
  <si>
    <t>South China University of Technology</t>
  </si>
  <si>
    <t>/world-university-rankings/south-china-university-technology</t>
  </si>
  <si>
    <t>Computer Science,Communication &amp; Media Studies,Languages, Literature &amp; Linguistics,Other Health,Chemical Engineering,Economics &amp; Econometrics,Architecture,Agriculture &amp; Forestry,Politics &amp; International Studies (incl Development Studies),Sport Science,Sociology,Medicine &amp; Dentistry,Mechanical &amp; Aerospace Engineering,History, Philosophy &amp; Theology,Physics &amp; Astronomy,Business &amp; Management,Art, Performing Arts &amp; Design,Civil Engineering,Geology, Environmental, Earth &amp; Marine Sciences,Electrical &amp; Electronic Engineering,Chemistry,Law,General Engineering,Mathematics &amp; Statistics,Accounting &amp; Finance,Biological Sciences</t>
  </si>
  <si>
    <t xml:space="preserve">Hunan University </t>
  </si>
  <si>
    <t>Hunan University</t>
  </si>
  <si>
    <t>/world-university-rankings/hunan-university</t>
  </si>
  <si>
    <t>Electrical &amp; Electronic Engineering,Communication &amp; Media Studies,Computer Science,Geology, Environmental, Earth &amp; Marine Sciences,Chemical Engineering,Economics &amp; Econometrics,Civil Engineering,Politics &amp; International Studies (incl Development Studies),Languages, Literature &amp; Linguistics,Chemistry,Business &amp; Management,Biological Sciences,Accounting &amp; Finance,History, Philosophy &amp; Theology,Physics &amp; Astronomy,Architecture,Mathematics &amp; Statistics,General Engineering,Education,Art, Performing Arts &amp; Design,Mechanical &amp; Aerospace Engineering,Law</t>
  </si>
  <si>
    <t>Nanjing University of Science and Technology</t>
  </si>
  <si>
    <t>Hanoi University of Science and Technology</t>
  </si>
  <si>
    <t>/world-university-rankings/hanoi-university-science-and-technology</t>
  </si>
  <si>
    <t>Vietnam</t>
  </si>
  <si>
    <t>Accounting &amp; Finance,Education,Mechanical &amp; Aerospace Engineering,Computer Science,Business &amp; Management,Economics &amp; Econometrics,Electrical &amp; Electronic Engineering,Languages, Literature &amp; Linguistics,Chemical Engineering,Physics &amp; Astronomy,Mathematics &amp; Statistics,Chemistry</t>
  </si>
  <si>
    <t>National Taiwan Normal University</t>
  </si>
  <si>
    <t>/world-university-rankings/national-taiwan-normal-university</t>
  </si>
  <si>
    <t>National Taiwan Normal University ntnu</t>
  </si>
  <si>
    <t>Computer Science,Geography,Biological Sciences,Business &amp; Management,Education,Mechanical &amp; Aerospace Engineering,Psychology,Art, Performing Arts &amp; Design,Sport Science,Chemistry,Communication &amp; Media Studies,Electrical &amp; Electronic Engineering,General Engineering,Physics &amp; Astronomy,Other Health,History, Philosophy &amp; Theology,Sociology,Politics &amp; International Studies (incl Development Studies),Languages, Literature &amp; Linguistics,Mathematics &amp; Statistics,Geology, Environmental, Earth &amp; Marine Sciences</t>
  </si>
  <si>
    <t>University of Kansas</t>
  </si>
  <si>
    <t>/world-university-rankings/university-kansas</t>
  </si>
  <si>
    <t>Computer Science,History, Philosophy &amp; Theology,Other Health,Geology, Environmental, Earth &amp; Marine Sciences,Economics &amp; Econometrics,Civil Engineering,Politics &amp; International Studies (incl Development Studies),Languages, Literature &amp; Linguistics,Chemical Engineering,Law,Art, Performing Arts &amp; Design,Mechanical &amp; Aerospace Engineering,Chemistry,Electrical &amp; Electronic Engineering,Sport Science,Business &amp; Management,General Engineering,Communication &amp; Media Studies,Psychology,Biological Sciences,Sociology,Accounting &amp; Finance,Architecture,Agriculture &amp; Forestry,Geography,Medicine &amp; Dentistry,Mathematics &amp; Statistics,Education,Physics &amp; Astronomy</t>
  </si>
  <si>
    <t>https://www.timeshighereducation.com/student/register-interest/shorelight?utm_medium=thewebsite&amp;utm_campaign=cta-link&amp;utm_source=rankings&amp;iid=i-11245372</t>
  </si>
  <si>
    <t>University of Stirling</t>
  </si>
  <si>
    <t>/world-university-rankings/university-stirling</t>
  </si>
  <si>
    <t>Biological Sciences,History, Philosophy &amp; Theology,Politics &amp; International Studies (incl Development Studies),Languages, Literature &amp; Linguistics,Economics &amp; Econometrics,General Engineering,Other Health,Business &amp; Management,Psychology,Sociology,Education,Law,Communication &amp; Media Studies,Computer Science,Sport Science,Mathematics &amp; Statistics,Accounting &amp; Finance,Geology, Environmental, Earth &amp; Marine Sciences</t>
  </si>
  <si>
    <t>University of Guelph</t>
  </si>
  <si>
    <t>/world-university-rankings/university-guelph</t>
  </si>
  <si>
    <t>General Engineering,Geology, Environmental, Earth &amp; Marine Sciences,Architecture,Physics &amp; Astronomy,Accounting &amp; Finance,Computer Science,Chemistry,Electrical &amp; Electronic Engineering,Other Health,Mathematics &amp; Statistics,Economics &amp; Econometrics,Agriculture &amp; Forestry,Politics &amp; International Studies (incl Development Studies),Chemical Engineering,Mechanical &amp; Aerospace Engineering,Communication &amp; Media Studies,Civil Engineering,Languages, Literature &amp; Linguistics,Sport Science,Business &amp; Management,Biological Sciences,Sociology,History, Philosophy &amp; Theology,Psychology,Art, Performing Arts &amp; Design,Veterinary Science,Geography</t>
  </si>
  <si>
    <t>https://www.timeshighereducation.com/student/register-interest/applyboard?utm_medium=thewebsite&amp;utm_campaign=cta-link&amp;utm_source=rankings&amp;iid=i-02302013</t>
  </si>
  <si>
    <t>Tampere University</t>
  </si>
  <si>
    <t>/world-university-rankings/tampere-university</t>
  </si>
  <si>
    <t>Languages, Literature &amp; Linguistics,General Engineering,History, Philosophy &amp; Theology,Electrical &amp; Electronic Engineering,Law,Other Health,Communication &amp; Media Studies,Economics &amp; Econometrics,Medicine &amp; Dentistry,Civil Engineering,Politics &amp; International Studies (incl Development Studies),Chemistry,Psychology,Architecture,Mechanical &amp; Aerospace Engineering,Geology, Environmental, Earth &amp; Marine Sciences,Education,Mathematics &amp; Statistics,Accounting &amp; Finance,Art, Performing Arts &amp; Design,Computer Science,Sociology,Chemical Engineering,Business &amp; Management</t>
  </si>
  <si>
    <t>Macau University of Science and Technology</t>
  </si>
  <si>
    <t>/world-university-rankings/macau-university-science-and-technology</t>
  </si>
  <si>
    <t>Macau University of Science and Technology MUST æ¾³é–€ç§‘æŠ€å¤§å­¸</t>
  </si>
  <si>
    <t>Computer Science,Business &amp; Management,Geology, Environmental, Earth &amp; Marine Sciences,Mathematics &amp; Statistics,Sociology,Education,Physics &amp; Astronomy,Law,Medicine &amp; Dentistry,History, Philosophy &amp; Theology,Architecture,Politics &amp; International Studies (incl Development Studies),Other Health,Accounting &amp; Finance,Economics &amp; Econometrics,Languages, Literature &amp; Linguistics,Electrical &amp; Electronic Engineering,Art, Performing Arts &amp; Design,Communication &amp; Media Studies</t>
  </si>
  <si>
    <t>Kobe University</t>
  </si>
  <si>
    <t>/world-university-rankings/kobe-university</t>
  </si>
  <si>
    <t>Civil Engineering,Art, Performing Arts &amp; Design,Law,Accounting &amp; Finance,Mathematics &amp; Statistics,Geography,Business &amp; Management,Geology, Environmental, Earth &amp; Marine Sciences,Agriculture &amp; Forestry,Sport Science,General Engineering,Chemistry,Other Health,Architecture,Veterinary Science,Computer Science,Medicine &amp; Dentistry,Chemical Engineering,Biological Sciences,Archaeology,Politics &amp; International Studies (incl Development Studies),Economics &amp; Econometrics,Psychology,Mechanical &amp; Aerospace Engineering,Sociology,Communication &amp; Media Studies,Languages, Literature &amp; Linguistics,History, Philosophy &amp; Theology,Electrical &amp; Electronic Engineering,Education,Physics &amp; Astronomy</t>
  </si>
  <si>
    <t>621-630</t>
  </si>
  <si>
    <t>Universitat Ramon Llull</t>
  </si>
  <si>
    <t>/world-university-rankings/universitat-ramon-llull</t>
  </si>
  <si>
    <t>Education,Chemistry,General Engineering,Sociology,Business &amp; Management,Other Health,Biological Sciences,Communication &amp; Media Studies,Chemical Engineering,Politics &amp; International Studies (incl Development Studies),Law,Architecture,Electrical &amp; Electronic Engineering,Computer Science,Psychology,Geology, Environmental, Earth &amp; Marine Sciences,History, Philosophy &amp; Theology,Accounting &amp; Finance,Sport Science</t>
  </si>
  <si>
    <t>Washington State University</t>
  </si>
  <si>
    <t>/world-university-rankings/washington-state-university</t>
  </si>
  <si>
    <t>Archaeology,Medicine &amp; Dentistry,Chemical Engineering,Politics &amp; International Studies (incl Development Studies),Other Health,Mathematics &amp; Statistics,Education,Mechanical &amp; Aerospace Engineering,Sport Science,Architecture,Civil Engineering,Geography,General Engineering,Chemistry,Economics &amp; Econometrics,History, Philosophy &amp; Theology,Veterinary Science,Psychology,Art, Performing Arts &amp; Design,Electrical &amp; Electronic Engineering,Geology, Environmental, Earth &amp; Marine Sciences,Accounting &amp; Finance,Languages, Literature &amp; Linguistics,Agriculture &amp; Forestry,Communication &amp; Media Studies,Business &amp; Management,Computer Science,Physics &amp; Astronomy,Biological Sciences,Sociology</t>
  </si>
  <si>
    <t>https://www.timeshighereducation.com/student/register-interest/shorelight?utm_medium=thewebsite&amp;utm_campaign=cta-link&amp;utm_source=rankings&amp;iid=i-18966292</t>
  </si>
  <si>
    <t>Iowa State University</t>
  </si>
  <si>
    <t>/world-university-rankings/iowa-state-university</t>
  </si>
  <si>
    <t>Sport Science,Mechanical &amp; Aerospace Engineering,Medicine &amp; Dentistry,Communication &amp; Media Studies,Agriculture &amp; Forestry,Electrical &amp; Electronic Engineering,Languages, Literature &amp; Linguistics,Sociology,Psychology,Law,Civil Engineering,Politics &amp; International Studies (incl Development Studies),Veterinary Science,Physics &amp; Astronomy,Architecture,Education,Computer Science,Geology, Environmental, Earth &amp; Marine Sciences,Accounting &amp; Finance,Chemical Engineering,Economics &amp; Econometrics,Other Health,Mathematics &amp; Statistics,General Engineering,Business &amp; Management,History, Philosophy &amp; Theology,Biological Sciences,Art, Performing Arts &amp; Design,Chemistry</t>
  </si>
  <si>
    <t>https://www.timeshighereducation.com/student/register-interest/shorelight?utm_medium=thewebsite&amp;utm_campaign=cta-link&amp;utm_source=rankings&amp;iid=i-66451983</t>
  </si>
  <si>
    <t>Ben-Gurion University of The Negev</t>
  </si>
  <si>
    <t>Ben-Gurion University of the Negev</t>
  </si>
  <si>
    <t>/world-university-rankings/ben-gurion-university-negev</t>
  </si>
  <si>
    <t>Physics &amp; Astronomy,Communication &amp; Media Studies,Civil Engineering,General Engineering,Medicine &amp; Dentistry,Chemical Engineering,Archaeology,Electrical &amp; Electronic Engineering,Geology, Environmental, Earth &amp; Marine Sciences,Art, Performing Arts &amp; Design,Agriculture &amp; Forestry,Business &amp; Management,Mathematics &amp; Statistics,History, Philosophy &amp; Theology,Biological Sciences,Psychology,Geography,Computer Science,Economics &amp; Econometrics,Chemistry,Education,Other Health,Mechanical &amp; Aerospace Engineering,Sociology,Languages, Literature &amp; Linguistics,Politics &amp; International Studies (incl Development Studies)</t>
  </si>
  <si>
    <t>Essex, University of</t>
  </si>
  <si>
    <t>University of Essex</t>
  </si>
  <si>
    <t>/world-university-rankings/university-essex</t>
  </si>
  <si>
    <t>Politics &amp; International Studies (incl Development Studies),Biological Sciences,Sociology,Art, Performing Arts &amp; Design,History, Philosophy &amp; Theology,Languages, Literature &amp; Linguistics,Communication &amp; Media Studies,Computer Science,Psychology,Economics &amp; Econometrics,Sport Science,Business &amp; Management,Mathematics &amp; Statistics,General Engineering,Other Health,Accounting &amp; Finance,Electrical &amp; Electronic Engineering,Law</t>
  </si>
  <si>
    <t>https://www.timeshighereducation.com/student/register-interest/siuk?utm_medium=thewebsite&amp;utm_campaign=cta-link&amp;utm_source=rankings&amp;iid=i-74984323</t>
  </si>
  <si>
    <t>Johannes Kepler University Linz</t>
  </si>
  <si>
    <t>Johannes Kepler University of Linz</t>
  </si>
  <si>
    <t>/world-university-rankings/johannes-kepler-university-linz</t>
  </si>
  <si>
    <t>Computer Science,Biological Sciences,Electrical &amp; Electronic Engineering,Mechanical &amp; Aerospace Engineering,Physics &amp; Astronomy,Psychology,Politics &amp; International Studies (incl Development Studies),Chemical Engineering,General Engineering,Medicine &amp; Dentistry,Education,Sociology,Other Health,Chemistry,Accounting &amp; Finance,Economics &amp; Econometrics,Law,Mathematics &amp; Statistics,Business &amp; Management</t>
  </si>
  <si>
    <t>Bangor University</t>
  </si>
  <si>
    <t>/world-university-rankings/bangor-university</t>
  </si>
  <si>
    <t>Computer Science,Geography,Politics &amp; International Studies (incl Development Studies),History, Philosophy &amp; Theology,Education,Law,Art, Performing Arts &amp; Design,Sport Science,Languages, Literature &amp; Linguistics,Communication &amp; Media Studies,Other Health,Biological Sciences,Business &amp; Management,Agriculture &amp; Forestry,Economics &amp; Econometrics,Archaeology,Electrical &amp; Electronic Engineering,Accounting &amp; Finance,Sociology,Geology, Environmental, Earth &amp; Marine Sciences,Psychology</t>
  </si>
  <si>
    <t>https://www.timeshighereducation.com/student/register-interest/siuk?utm_medium=thewebsite&amp;utm_campaign=cta-link&amp;utm_source=rankings&amp;iid=i-57489761</t>
  </si>
  <si>
    <t>Hiroshima University</t>
  </si>
  <si>
    <t>/world-university-rankings/hiroshima-university</t>
  </si>
  <si>
    <t>Business &amp; Management,Other Health,Mathematics &amp; Statistics,Sociology,Chemistry,Languages, Literature &amp; Linguistics,Law,Biological Sciences,Geography,Chemical Engineering,General Engineering,Geology, Environmental, Earth &amp; Marine Sciences,Communication &amp; Media Studies,Veterinary Science,Architecture,Agriculture &amp; Forestry,Archaeology,Psychology,Education,Sport Science,Civil Engineering,Computer Science,Politics &amp; International Studies (incl Development Studies),Electrical &amp; Electronic Engineering,Art, Performing Arts &amp; Design,Accounting &amp; Finance,Economics &amp; Econometrics,Physics &amp; Astronomy,Mechanical &amp; Aerospace Engineering,History, Philosophy &amp; Theology,Medicine &amp; Dentistry</t>
  </si>
  <si>
    <t>Ajman University</t>
  </si>
  <si>
    <t>Reporter</t>
  </si>
  <si>
    <t>/world-university-rankings/ajman-university</t>
  </si>
  <si>
    <t>Communication &amp; Media Studies,Other Health,Electrical &amp; Electronic Engineering,Sociology,Architecture,Mechanical &amp; Aerospace Engineering,Education,Medicine &amp; Dentistry,Law,Civil Engineering,Business &amp; Management,Computer Science,Accounting &amp; Finance,General Engineering,Psychology</t>
  </si>
  <si>
    <t>Bilkent University</t>
  </si>
  <si>
    <t>/world-university-rankings/bilkent-university</t>
  </si>
  <si>
    <t>Communication &amp; Media Studies,Art, Performing Arts &amp; Design,Physics &amp; Astronomy,Education,History, Philosophy &amp; Theology,Electrical &amp; Electronic Engineering,Computer Science,Politics &amp; International Studies (incl Development Studies),Architecture,Chemistry,Mechanical &amp; Aerospace Engineering,Archaeology,Psychology,Mathematics &amp; Statistics,Business &amp; Management,Languages, Literature &amp; Linguistics,Biological Sciences,Economics &amp; Econometrics,Law</t>
  </si>
  <si>
    <t>Royal Holloway University of London</t>
  </si>
  <si>
    <t>Royal Holloway, University of London</t>
  </si>
  <si>
    <t>/world-university-rankings/royal-holloway-university-london</t>
  </si>
  <si>
    <t>History, Philosophy &amp; Theology,Sociology,Electrical &amp; Electronic Engineering,Business &amp; Management,Law,Computer Science,Politics &amp; International Studies (incl Development Studies),Languages, Literature &amp; Linguistics,Mathematics &amp; Statistics,Accounting &amp; Finance,Art, Performing Arts &amp; Design,Biological Sciences,Psychology,Geology, Environmental, Earth &amp; Marine Sciences,Geography,Archaeology,Physics &amp; Astronomy,Other Health,Communication &amp; Media Studies,Economics &amp; Econometrics</t>
  </si>
  <si>
    <t>https://www.timeshighereducation.com/student/register-interest/siuk?utm_medium=thewebsite&amp;utm_campaign=cta-link&amp;utm_source=rankings&amp;iid=i-17688201</t>
  </si>
  <si>
    <t>Aix-Marseille University</t>
  </si>
  <si>
    <t>/world-university-rankings/aix-marseille-university</t>
  </si>
  <si>
    <t>Geography,Other Health,Medicine &amp; Dentistry,Languages, Literature &amp; Linguistics,Economics &amp; Econometrics,Biological Sciences,General Engineering,Mathematics &amp; Statistics,Civil Engineering,Sport Science,Law,Chemical Engineering,Education,Architecture,History, Philosophy &amp; Theology,Mechanical &amp; Aerospace Engineering,Business &amp; Management,Physics &amp; Astronomy,Politics &amp; International Studies (incl Development Studies),Sociology,Communication &amp; Media Studies,Chemistry,Computer Science,Accounting &amp; Finance,Electrical &amp; Electronic Engineering,Archaeology,Geology, Environmental, Earth &amp; Marine Sciences,Psychology,Art, Performing Arts &amp; Design</t>
  </si>
  <si>
    <t>The University of Tennessee, Knoxville</t>
  </si>
  <si>
    <t>The University of Tennessee-Knoxville</t>
  </si>
  <si>
    <t>/world-university-rankings/university-tennessee-knoxville</t>
  </si>
  <si>
    <t>Computer Science,Veterinary Science,Physics &amp; Astronomy,Sociology,Business &amp; Management,Art, Performing Arts &amp; Design,Psychology,Other Health,Mathematics &amp; Statistics,History, Philosophy &amp; Theology,Law,Biological Sciences,Mechanical &amp; Aerospace Engineering,Politics &amp; International Studies (incl Development Studies),Chemical Engineering,Languages, Literature &amp; Linguistics,Geology, Environmental, Earth &amp; Marine Sciences,Geography,Economics &amp; Econometrics,Architecture,Agriculture &amp; Forestry,Electrical &amp; Electronic Engineering,Education,Communication &amp; Media Studies,Archaeology,Chemistry,Sport Science,Civil Engineering,Accounting &amp; Finance,General Engineering</t>
  </si>
  <si>
    <t>https://www.timeshighereducation.com/student/register-interest/shorelight?utm_medium=thewebsite&amp;utm_campaign=cta-link&amp;utm_source=rankings&amp;iid=i-80840401</t>
  </si>
  <si>
    <t>National Sun Yat-sen University</t>
  </si>
  <si>
    <t>National Sun Yat-Sen University</t>
  </si>
  <si>
    <t>/world-university-rankings/national-sun-yat-sen-university</t>
  </si>
  <si>
    <t>Accounting &amp; Finance,Biological Sciences,Computer Science,General Engineering,Physics &amp; Astronomy,Business &amp; Management,Languages, Literature &amp; Linguistics,Agriculture &amp; Forestry,Mechanical &amp; Aerospace Engineering,Chemical Engineering,Law,Art, Performing Arts &amp; Design,Politics &amp; International Studies (incl Development Studies),Geography,Other Health,Medicine &amp; Dentistry,Electrical &amp; Electronic Engineering,Geology, Environmental, Earth &amp; Marine Sciences,Economics &amp; Econometrics,Civil Engineering,Communication &amp; Media Studies,Chemistry,History, Philosophy &amp; Theology,Education,Psychology,Sociology,Architecture,Mathematics &amp; Statistics</t>
  </si>
  <si>
    <t>Dalian University of Technology</t>
  </si>
  <si>
    <t>/world-university-rankings/dalian-university-technology</t>
  </si>
  <si>
    <t>Biological Sciences,General Engineering,Geology, Environmental, Earth &amp; Marine Sciences,Other Health,Mathematics &amp; Statistics,Economics &amp; Econometrics,Art, Performing Arts &amp; Design,Agriculture &amp; Forestry,Chemical Engineering,Business &amp; Management,Computer Science,Sport Science,Architecture,Physics &amp; Astronomy,Languages, Literature &amp; Linguistics,Civil Engineering,Law,History, Philosophy &amp; Theology,Mechanical &amp; Aerospace Engineering,Communication &amp; Media Studies,Electrical &amp; Electronic Engineering,Chemistry</t>
  </si>
  <si>
    <t>Isfahan University of Technology</t>
  </si>
  <si>
    <t>/world-university-rankings/isfahan-university-technology</t>
  </si>
  <si>
    <t>Electrical &amp; Electronic Engineering,Chemistry,General Engineering,Mechanical &amp; Aerospace Engineering,Computer Science,Mathematics &amp; Statistics,Biological Sciences,Agriculture &amp; Forestry,Chemical Engineering,Physics &amp; Astronomy,Civil Engineering</t>
  </si>
  <si>
    <t>Southeast University</t>
  </si>
  <si>
    <t>/world-university-rankings/southeast-university</t>
  </si>
  <si>
    <t>Medicine &amp; Dentistry,Physics &amp; Astronomy,Education,Art, Performing Arts &amp; Design,Civil Engineering,Accounting &amp; Finance,Architecture,Sport Science,Economics &amp; Econometrics,Computer Science,Law,General Engineering,Sociology,Mechanical &amp; Aerospace Engineering,Chemistry,Languages, Literature &amp; Linguistics,Chemical Engineering,Business &amp; Management,Other Health,Mathematics &amp; Statistics,History, Philosophy &amp; Theology,Biological Sciences,Psychology,Electrical &amp; Electronic Engineering,Geology, Environmental, Earth &amp; Marine Sciences</t>
  </si>
  <si>
    <t>University of JyvÃ¤skylÃ¤</t>
  </si>
  <si>
    <t>/world-university-rankings/university-jyvaskyla</t>
  </si>
  <si>
    <t>Art, Performing Arts &amp; Design,Education,Sport Science,Economics &amp; Econometrics,Communication &amp; Media Studies,Biological Sciences,Business &amp; Management,Other Health,Chemistry,Physics &amp; Astronomy,Languages, Literature &amp; Linguistics,Sociology,History, Philosophy &amp; Theology,Psychology,Mathematics &amp; Statistics,Accounting &amp; Finance,Computer Science,Politics &amp; International Studies (incl Development Studies)</t>
  </si>
  <si>
    <t>Duy Tan University</t>
  </si>
  <si>
    <t>VN</t>
  </si>
  <si>
    <t>/world-university-rankings/duy-tan-university</t>
  </si>
  <si>
    <t>General Engineering,Computer Science,Biological Sciences,Accounting &amp; Finance,Art, Performing Arts &amp; Design,Electrical &amp; Electronic Engineering,Communication &amp; Media Studies,Physics &amp; Astronomy,Politics &amp; International Studies (incl Development Studies),Other Health,Geology, Environmental, Earth &amp; Marine Sciences,Languages, Literature &amp; Linguistics,Civil Engineering,Architecture,Law,Medicine &amp; Dentistry,Chemistry,Business &amp; Management,Economics &amp; Econometrics</t>
  </si>
  <si>
    <t>Chongqing University</t>
  </si>
  <si>
    <t>/world-university-rankings/chongqing-university</t>
  </si>
  <si>
    <t>Mechanical &amp; Aerospace Engineering,Politics &amp; International Studies (incl Development Studies),Art, Performing Arts &amp; Design,Mathematics &amp; Statistics,Sociology,Sport Science,Accounting &amp; Finance,Languages, Literature &amp; Linguistics,Chemical Engineering,Business &amp; Management,Civil Engineering,Economics &amp; Econometrics,Electrical &amp; Electronic Engineering,Physics &amp; Astronomy,Architecture,Biological Sciences,Law,History, Philosophy &amp; Theology,Chemistry,General Engineering,Geology, Environmental, Earth &amp; Marine Sciences,Computer Science,Communication &amp; Media Studies</t>
  </si>
  <si>
    <t>University of California, Riverside</t>
  </si>
  <si>
    <t>/world-university-rankings/university-california-riverside</t>
  </si>
  <si>
    <t>Politics &amp; International Studies (incl Development Studies),Art, Performing Arts &amp; Design,Biological Sciences,Education,Sociology,Communication &amp; Media Studies,Languages, Literature &amp; Linguistics,Computer Science,History, Philosophy &amp; Theology,Physics &amp; Astronomy,Economics &amp; Econometrics,Mechanical &amp; Aerospace Engineering,Agriculture &amp; Forestry,Business &amp; Management,Mathematics &amp; Statistics,Accounting &amp; Finance,Medicine &amp; Dentistry,Geology, Environmental, Earth &amp; Marine Sciences,Electrical &amp; Electronic Engineering,General Engineering,Chemistry,Chemical Engineering,Psychology,Other Health</t>
  </si>
  <si>
    <t>https://www.timeshighereducation.com/student/register-interest/shorelight?utm_medium=thewebsite&amp;utm_campaign=cta-link&amp;utm_source=rankings&amp;iid=i-48621253</t>
  </si>
  <si>
    <t>Abu Dhabi University</t>
  </si>
  <si>
    <t>/world-university-rankings/abu-dhabi-university</t>
  </si>
  <si>
    <t>Psychology,Communication &amp; Media Studies,Business &amp; Management,Sport Science,Agriculture &amp; Forestry,Economics &amp; Econometrics,Electrical &amp; Electronic Engineering,Mathematics &amp; Statistics,Accounting &amp; Finance,Geology, Environmental, Earth &amp; Marine Sciences,Mechanical &amp; Aerospace Engineering,Other Health,Art, Performing Arts &amp; Design,Chemical Engineering,General Engineering,Education,Physics &amp; Astronomy,Biological Sciences,Archaeology,Medicine &amp; Dentistry,Languages, Literature &amp; Linguistics,History, Philosophy &amp; Theology,Chemistry,Architecture,Veterinary Science,Politics &amp; International Studies (incl Development Studies),Law,Civil Engineering,Geography,Computer Science,Sociology</t>
  </si>
  <si>
    <t>Zhengzhou University</t>
  </si>
  <si>
    <t>/world-university-rankings/zhengzhou-university</t>
  </si>
  <si>
    <t>Biological Sciences,Sociology,Art, Performing Arts &amp; Design,Civil Engineering,Geology, Environmental, Earth &amp; Marine Sciences,Chemical Engineering,Politics &amp; International Studies (incl Development Studies),Computer Science,Chemistry,Accounting &amp; Finance,Languages, Literature &amp; Linguistics,Sport Science,Geography,Architecture,Electrical &amp; Electronic Engineering,Communication &amp; Media Studies,Economics &amp; Econometrics,Medicine &amp; Dentistry,Mechanical &amp; Aerospace Engineering,Physics &amp; Astronomy,Business &amp; Management,Archaeology,Agriculture &amp; Forestry,Law,History, Philosophy &amp; Theology,Other Health,Mathematics &amp; Statistics,Psychology,General Engineering,Education</t>
  </si>
  <si>
    <t>University of Huddersfield</t>
  </si>
  <si>
    <t>/world-university-rankings/university-huddersfield</t>
  </si>
  <si>
    <t>Sociology,Chemistry,Communication &amp; Media Studies,Languages, Literature &amp; Linguistics,General Engineering,Civil Engineering,Education,Sport Science,Geography,Economics &amp; Econometrics,Mathematics &amp; Statistics,Art, Performing Arts &amp; Design,Mechanical &amp; Aerospace Engineering,Computer Science,History, Philosophy &amp; Theology,Psychology,Business &amp; Management,Physics &amp; Astronomy,Chemical Engineering,Politics &amp; International Studies (incl Development Studies),Biological Sciences,Accounting &amp; Finance,Geology, Environmental, Earth &amp; Marine Sciences,Architecture,Electrical &amp; Electronic Engineering,Law,Other Health</t>
  </si>
  <si>
    <t>https://www.timeshighereducation.com/student/register-interest/siuk?utm_medium=thewebsite&amp;utm_campaign=cta-link&amp;utm_source=rankings&amp;iid=i-54896541</t>
  </si>
  <si>
    <t>University of Delaware</t>
  </si>
  <si>
    <t>/world-university-rankings/university-delaware</t>
  </si>
  <si>
    <t>Computer Science,Communication &amp; Media Studies,Veterinary Science,Civil Engineering,Mathematics &amp; Statistics,Politics &amp; International Studies (incl Development Studies),Chemistry,Geography,Architecture,Business &amp; Management,Chemical Engineering,History, Philosophy &amp; Theology,Other Health,Geology, Environmental, Earth &amp; Marine Sciences,Accounting &amp; Finance,Sport Science,General Engineering,Psychology,Art, Performing Arts &amp; Design,Mechanical &amp; Aerospace Engineering,Physics &amp; Astronomy,Electrical &amp; Electronic Engineering,Languages, Literature &amp; Linguistics,Education,Agriculture &amp; Forestry,Economics &amp; Econometrics,Sociology,Biological Sciences</t>
  </si>
  <si>
    <t>https://www.timeshighereducation.com/student/register-interest/shorelight?utm_medium=thewebsite&amp;utm_campaign=cta-link&amp;utm_source=rankings&amp;iid=i-60250683</t>
  </si>
  <si>
    <t>University of Trento</t>
  </si>
  <si>
    <t>/world-university-rankings/university-trento</t>
  </si>
  <si>
    <t>Chemical Engineering,Economics &amp; Econometrics,Politics &amp; International Studies (incl Development Studies),Psychology,Sociology,Civil Engineering,Geology, Environmental, Earth &amp; Marine Sciences,Mechanical &amp; Aerospace Engineering,Law,Architecture,Biological Sciences,Medicine &amp; Dentistry,Physics &amp; Astronomy,Computer Science,Agriculture &amp; Forestry,Sport Science,Archaeology,History, Philosophy &amp; Theology,Mathematics &amp; Statistics,Accounting &amp; Finance,Business &amp; Management,Electrical &amp; Electronic Engineering,Languages, Literature &amp; Linguistics</t>
  </si>
  <si>
    <t>Aristotle University of Thessaloniki</t>
  </si>
  <si>
    <t>/world-university-rankings/aristotle-university-thessaloniki</t>
  </si>
  <si>
    <t>Law,Electrical &amp; Electronic Engineering,Economics &amp; Econometrics,History, Philosophy &amp; Theology,General Engineering,Medicine &amp; Dentistry,Politics &amp; International Studies (incl Development Studies),Archaeology,Biological Sciences,Veterinary Science,Psychology,Sport Science,Chemical Engineering,Art, Performing Arts &amp; Design,Chemistry,Business &amp; Management,Mathematics &amp; Statistics,Languages, Literature &amp; Linguistics,Architecture,Geology, Environmental, Earth &amp; Marine Sciences,Mechanical &amp; Aerospace Engineering,Computer Science,Agriculture &amp; Forestry,Communication &amp; Media Studies,Education,Other Health,Accounting &amp; Finance,Physics &amp; Astronomy,Civil Engineering</t>
  </si>
  <si>
    <t xml:space="preserve">SOAS University of London </t>
  </si>
  <si>
    <t>SOAS University of London</t>
  </si>
  <si>
    <t>/world-university-rankings/soas-university-london</t>
  </si>
  <si>
    <t>Law,Geography,History, Philosophy &amp; Theology,Business &amp; Management,Sociology,Art, Performing Arts &amp; Design,Economics &amp; Econometrics,Communication &amp; Media Studies,Accounting &amp; Finance,Education,Politics &amp; International Studies (incl Development Studies),Languages, Literature &amp; Linguistics,Archaeology,Mathematics &amp; Statistics</t>
  </si>
  <si>
    <t>Ewha Womans University</t>
  </si>
  <si>
    <t>/world-university-rankings/ewha-womans-university</t>
  </si>
  <si>
    <t>Other Health,Architecture,Mechanical &amp; Aerospace Engineering,Education,Sport Science,Law,Veterinary Science,Politics &amp; International Studies (incl Development Studies),Medicine &amp; Dentistry,General Engineering,Geology, Environmental, Earth &amp; Marine Sciences,Art, Performing Arts &amp; Design,Biological Sciences,Psychology,Archaeology,Civil Engineering,Communication &amp; Media Studies,Accounting &amp; Finance,History, Philosophy &amp; Theology,Mathematics &amp; Statistics,Sociology,Computer Science,Chemical Engineering,Chemistry,Economics &amp; Econometrics,Languages, Literature &amp; Linguistics,Agriculture &amp; Forestry,Geography,Electrical &amp; Electronic Engineering,Physics &amp; Astronomy,Business &amp; Management</t>
  </si>
  <si>
    <t>Prince Mohammad Bin Fahd university</t>
  </si>
  <si>
    <t>Prince Mohammad Bin Fahd University</t>
  </si>
  <si>
    <t>/world-university-rankings/prince-mohammad-bin-fahd-university</t>
  </si>
  <si>
    <t>History, Philosophy &amp; Theology,Art, Performing Arts &amp; Design,Electrical &amp; Electronic Engineering,Accounting &amp; Finance,Mechanical &amp; Aerospace Engineering,Architecture,Business &amp; Management,Civil Engineering,Languages, Literature &amp; Linguistics,Economics &amp; Econometrics,General Engineering,Chemical Engineering,Computer Science,Archaeology,Law</t>
  </si>
  <si>
    <t xml:space="preserve">University of Milano-Bicocca </t>
  </si>
  <si>
    <t>University of Milan-Bicocca</t>
  </si>
  <si>
    <t>/world-university-rankings/university-milan-bicocca</t>
  </si>
  <si>
    <t>Physics &amp; Astronomy,Sociology,Business &amp; Management,Economics &amp; Econometrics,Law,Accounting &amp; Finance,Computer Science,History, Philosophy &amp; Theology,Other Health,Politics &amp; International Studies (incl Development Studies),Mathematics &amp; Statistics,Education,Geology, Environmental, Earth &amp; Marine Sciences,Psychology,Biological Sciences,Chemistry,Communication &amp; Media Studies,Medicine &amp; Dentistry,Languages, Literature &amp; Linguistics</t>
  </si>
  <si>
    <t>Ateneo de Manila University</t>
  </si>
  <si>
    <t>/world-university-rankings/ateneo-de-manila-university</t>
  </si>
  <si>
    <t>Geology, Environmental, Earth &amp; Marine Sciences,Mathematics &amp; Statistics,Languages, Literature &amp; Linguistics,Chemistry,Other Health,Business &amp; Management,Education,Medicine &amp; Dentistry,Politics &amp; International Studies (incl Development Studies),Economics &amp; Econometrics,Computer Science,Law,Psychology,Physics &amp; Astronomy,History, Philosophy &amp; Theology,Communication &amp; Media Studies,Electrical &amp; Electronic Engineering,Biological Sciences,Sociology,Accounting &amp; Finance,Art, Performing Arts &amp; Design</t>
  </si>
  <si>
    <t xml:space="preserve">Edith Cowan University </t>
  </si>
  <si>
    <t>Edith Cowan University</t>
  </si>
  <si>
    <t>/world-university-rankings/edith-cowan-university</t>
  </si>
  <si>
    <t>Edith Cowan University ecu edith cowan</t>
  </si>
  <si>
    <t>Psychology,History, Philosophy &amp; Theology,Sport Science,Electrical &amp; Electronic Engineering,Chemistry,Geology, Environmental, Earth &amp; Marine Sciences,Medicine &amp; Dentistry,Accounting &amp; Finance,Sociology,Biological Sciences,Languages, Literature &amp; Linguistics,Law,Communication &amp; Media Studies,Education,Other Health,Civil Engineering,Physics &amp; Astronomy,Chemical Engineering,Mathematics &amp; Statistics,Politics &amp; International Studies (incl Development Studies),Computer Science,General Engineering,Business &amp; Management,Art, Performing Arts &amp; Design,Agriculture &amp; Forestry,Mechanical &amp; Aerospace Engineering</t>
  </si>
  <si>
    <t>Kyungpook National University</t>
  </si>
  <si>
    <t>/world-university-rankings/kyungpook-national-university</t>
  </si>
  <si>
    <t>Architecture,Computer Science,Physics &amp; Astronomy,General Engineering,Medicine &amp; Dentistry,Art, Performing Arts &amp; Design,Geography,Mechanical &amp; Aerospace Engineering,Chemistry,Communication &amp; Media Studies,History, Philosophy &amp; Theology,Electrical &amp; Electronic Engineering,Economics &amp; Econometrics,Veterinary Science,Sociology,Biological Sciences,Geology, Environmental, Earth &amp; Marine Sciences,Law,Archaeology,Chemical Engineering,Languages, Literature &amp; Linguistics,Sport Science,Accounting &amp; Finance,Business &amp; Management,Politics &amp; International Studies (incl Development Studies),Civil Engineering,Agriculture &amp; Forestry,Psychology,Mathematics &amp; Statistics,Other Health,Education</t>
  </si>
  <si>
    <t>University of Hull</t>
  </si>
  <si>
    <t>/world-university-rankings/university-hull</t>
  </si>
  <si>
    <t>Mechanical &amp; Aerospace Engineering,Politics &amp; International Studies (incl Development Studies),Other Health,Geology, Environmental, Earth &amp; Marine Sciences,Art, Performing Arts &amp; Design,Chemical Engineering,Law,Medicine &amp; Dentistry,Sport Science,Accounting &amp; Finance,General Engineering,Chemistry,Education,Computer Science,Mathematics &amp; Statistics,Psychology,Electrical &amp; Electronic Engineering,Communication &amp; Media Studies,Economics &amp; Econometrics,History, Philosophy &amp; Theology,Physics &amp; Astronomy,Business &amp; Management,Languages, Literature &amp; Linguistics,Biological Sciences,Sociology,Archaeology,Civil Engineering,Geography</t>
  </si>
  <si>
    <t>https://www.timeshighereducation.com/student/register-interest/siuk?utm_medium=thewebsite&amp;utm_campaign=cta-link&amp;utm_source=rankings&amp;iid=i-22394063</t>
  </si>
  <si>
    <t>611-620</t>
  </si>
  <si>
    <t>Pusan National University</t>
  </si>
  <si>
    <t>/world-university-rankings/pusan-national-university</t>
  </si>
  <si>
    <t>Pusan National University Busan</t>
  </si>
  <si>
    <t>General Engineering,Chemistry,Psychology,Medicine &amp; Dentistry,Sport Science,Geography,Art, Performing Arts &amp; Design,Other Health,Communication &amp; Media Studies,Business &amp; Management,Electrical &amp; Electronic Engineering,Biological Sciences,Accounting &amp; Finance,Computer Science,Agriculture &amp; Forestry,Economics &amp; Econometrics,History, Philosophy &amp; Theology,Mechanical &amp; Aerospace Engineering,Sociology,Languages, Literature &amp; Linguistics,Chemical Engineering,Politics &amp; International Studies (incl Development Studies),Civil Engineering,Geology, Environmental, Earth &amp; Marine Sciences,Archaeology,Physics &amp; Astronomy,Education,Architecture,Mathematics &amp; Statistics,Law</t>
  </si>
  <si>
    <t>University of Bayreuth</t>
  </si>
  <si>
    <t>/world-university-rankings/university-bayreuth</t>
  </si>
  <si>
    <t>Chemical Engineering,Education,Languages, Literature &amp; Linguistics,Chemistry,Accounting &amp; Finance,Mechanical &amp; Aerospace Engineering,Communication &amp; Media Studies,Computer Science,Geology, Environmental, Earth &amp; Marine Sciences,Economics &amp; Econometrics,Biological Sciences,Business &amp; Management,General Engineering,Sociology,History, Philosophy &amp; Theology,Physics &amp; Astronomy,Sport Science,Law,Art, Performing Arts &amp; Design,Electrical &amp; Electronic Engineering,Politics &amp; International Studies (incl Development Studies),Mathematics &amp; Statistics,Geography</t>
  </si>
  <si>
    <t>Warsaw University of Technology</t>
  </si>
  <si>
    <t>/world-university-rankings/warsaw-university-technology</t>
  </si>
  <si>
    <t>Chemistry,General Engineering,Civil Engineering,Mathematics &amp; Statistics,Business &amp; Management,Physics &amp; Astronomy,Electrical &amp; Electronic Engineering,Mechanical &amp; Aerospace Engineering,Economics &amp; Econometrics,Computer Science,Chemical Engineering,Architecture,Geology, Environmental, Earth &amp; Marine Sciences</t>
  </si>
  <si>
    <t>Coventry University</t>
  </si>
  <si>
    <t>/world-university-rankings/coventry-university</t>
  </si>
  <si>
    <t>Education,Psychology,History, Philosophy &amp; Theology,Art, Performing Arts &amp; Design,Computer Science,Architecture,Business &amp; Management,Biological Sciences,Sport Science,Geology, Environmental, Earth &amp; Marine Sciences,Physics &amp; Astronomy,Agriculture &amp; Forestry,Chemistry,Sociology,Economics &amp; Econometrics,Communication &amp; Media Studies,Languages, Literature &amp; Linguistics,Other Health,Mechanical &amp; Aerospace Engineering,Mathematics &amp; Statistics,Accounting &amp; Finance,Civil Engineering,Law,Electrical &amp; Electronic Engineering,General Engineering,Geography,Politics &amp; International Studies (incl Development Studies)</t>
  </si>
  <si>
    <t>University of Utah</t>
  </si>
  <si>
    <t>/world-university-rankings/university-utah</t>
  </si>
  <si>
    <t>Art, Performing Arts &amp; Design,Medicine &amp; Dentistry,Business &amp; Management,Chemical Engineering,Politics &amp; International Studies (incl Development Studies),Sociology,Electrical &amp; Electronic Engineering,Sport Science,Languages, Literature &amp; Linguistics,History, Philosophy &amp; Theology,Physics &amp; Astronomy,Law,Mechanical &amp; Aerospace Engineering,Communication &amp; Media Studies,Economics &amp; Econometrics,Computer Science,Biological Sciences,Accounting &amp; Finance,Civil Engineering,Geography,Architecture,Geology, Environmental, Earth &amp; Marine Sciences,Other Health,Mathematics &amp; Statistics,Psychology,Agriculture &amp; Forestry,General Engineering,Chemistry,Education</t>
  </si>
  <si>
    <t>https://www.timeshighereducation.com/student/register-interest/shorelight?utm_medium=thewebsite&amp;utm_campaign=cta-link&amp;utm_source=rankings&amp;iid=i-02638481</t>
  </si>
  <si>
    <t>Lahore University of Management Sciences (LUMS)</t>
  </si>
  <si>
    <t>Lahore University of Management Sciences</t>
  </si>
  <si>
    <t>/world-university-rankings/lahore-university-management-sciences-lums</t>
  </si>
  <si>
    <t>Politics &amp; International Studies (incl Development Studies),History, Philosophy &amp; Theology,Chemistry,Sociology,Other Health,Law,Mathematics &amp; Statistics,Languages, Literature &amp; Linguistics,Economics &amp; Econometrics,Biological Sciences,Physics &amp; Astronomy,Electrical &amp; Electronic Engineering,Accounting &amp; Finance,Education,Chemical Engineering,Business &amp; Management,Computer Science</t>
  </si>
  <si>
    <t>University of Bordeaux</t>
  </si>
  <si>
    <t>/world-university-rankings/university-bordeaux</t>
  </si>
  <si>
    <t>Business &amp; Management,Mathematics &amp; Statistics,Agriculture &amp; Forestry,Other Health,Medicine &amp; Dentistry,Computer Science,Civil Engineering,Law,Accounting &amp; Finance,Psychology,Education,Sociology,Electrical &amp; Electronic Engineering,Mechanical &amp; Aerospace Engineering,Archaeology,Physics &amp; Astronomy,General Engineering,Chemistry,Sport Science,Economics &amp; Econometrics,Geology, Environmental, Earth &amp; Marine Sciences,Biological Sciences,Chemical Engineering,Politics &amp; International Studies (incl Development Studies)</t>
  </si>
  <si>
    <t>University of Eastern Finland</t>
  </si>
  <si>
    <t>/world-university-rankings/university-eastern-finland</t>
  </si>
  <si>
    <t>Geology, Environmental, Earth &amp; Marine Sciences,Accounting &amp; Finance,History, Philosophy &amp; Theology,Chemistry,Medicine &amp; Dentistry,Geography,Languages, Literature &amp; Linguistics,Physics &amp; Astronomy,Economics &amp; Econometrics,General Engineering,Sociology,Biological Sciences,Psychology,Computer Science,Education,Agriculture &amp; Forestry,Politics &amp; International Studies (incl Development Studies),Other Health,Law,Mathematics &amp; Statistics,Business &amp; Management</t>
  </si>
  <si>
    <t>Hitotsubashi University</t>
  </si>
  <si>
    <t>/world-university-rankings/hitotsubashi-university</t>
  </si>
  <si>
    <t>Geography,Languages, Literature &amp; Linguistics,Psychology,Politics &amp; International Studies (incl Development Studies),Sport Science,Economics &amp; Econometrics,Sociology,Mathematics &amp; Statistics,Agriculture &amp; Forestry,Accounting &amp; Finance,Art, Performing Arts &amp; Design,Education,Law,Communication &amp; Media Studies,Business &amp; Management,History, Philosophy &amp; Theology,Physics &amp; Astronomy,Geology, Environmental, Earth &amp; Marine Sciences,Other Health,Biological Sciences,Computer Science</t>
  </si>
  <si>
    <t>Sunway University</t>
  </si>
  <si>
    <t>/world-university-rankings/sunway-university</t>
  </si>
  <si>
    <t>Electrical &amp; Electronic Engineering,Economics &amp; Econometrics,Mathematics &amp; Statistics,Geology, Environmental, Earth &amp; Marine Sciences,Sociology,Communication &amp; Media Studies,Computer Science,Business &amp; Management,Other Health,Architecture,Education,Chemical Engineering,Accounting &amp; Finance,Art, Performing Arts &amp; Design,Psychology,Biological Sciences</t>
  </si>
  <si>
    <t>University of Salamanca</t>
  </si>
  <si>
    <t>/world-university-rankings/university-salamanca</t>
  </si>
  <si>
    <t>Art, Performing Arts &amp; Design,General Engineering,Mathematics &amp; Statistics,Psychology,Archaeology,Biological Sciences,Law,Electrical &amp; Electronic Engineering,Chemistry,Education,Medicine &amp; Dentistry,Agriculture &amp; Forestry,Geography,Other Health,Geology, Environmental, Earth &amp; Marine Sciences,Economics &amp; Econometrics,Veterinary Science,Sociology,History, Philosophy &amp; Theology,Computer Science,Physics &amp; Astronomy,Accounting &amp; Finance,Mechanical &amp; Aerospace Engineering,Communication &amp; Media Studies,Civil Engineering,Business &amp; Management,Languages, Literature &amp; Linguistics,Architecture,Chemical Engineering,Politics &amp; International Studies (incl Development Studies)</t>
  </si>
  <si>
    <t>641-650</t>
  </si>
  <si>
    <t>University of Bradford</t>
  </si>
  <si>
    <t>/world-university-rankings/university-bradford</t>
  </si>
  <si>
    <t>Psychology,Chemical Engineering,Electrical &amp; Electronic Engineering,Biological Sciences,Mathematics &amp; Statistics,Archaeology,Law,Architecture,Communication &amp; Media Studies,Civil Engineering,Chemistry,Computer Science,Other Health,Education,Politics &amp; International Studies (incl Development Studies),Sociology,Sport Science,General Engineering,Mechanical &amp; Aerospace Engineering,Accounting &amp; Finance,Medicine &amp; Dentistry,Business &amp; Management</t>
  </si>
  <si>
    <t>https://www.timeshighereducation.com/student/register-interest/siuk?utm_medium=thewebsite&amp;utm_campaign=cta-link&amp;utm_source=rankings&amp;iid=i-60961891</t>
  </si>
  <si>
    <t>681-690</t>
  </si>
  <si>
    <t>East China University of Science and Technology</t>
  </si>
  <si>
    <t>-</t>
  </si>
  <si>
    <t>/world-university-rankings/east-china-university-science-and-technology</t>
  </si>
  <si>
    <t>Physics &amp; Astronomy,Geology, Environmental, Earth &amp; Marine Sciences,General Engineering,Business &amp; Management,Sport Science,Accounting &amp; Finance,History, Philosophy &amp; Theology,Mathematics &amp; Statistics,Law,Languages, Literature &amp; Linguistics,Education,Art, Performing Arts &amp; Design,Agriculture &amp; Forestry,Medicine &amp; Dentistry,Chemistry,Economics &amp; Econometrics,Chemical Engineering,Politics &amp; International Studies (incl Development Studies),Electrical &amp; Electronic Engineering,Computer Science,Mechanical &amp; Aerospace Engineering,Biological Sciences,Sociology</t>
  </si>
  <si>
    <t>University of Genoa</t>
  </si>
  <si>
    <t>/world-university-rankings/universita-degli-studi-di-genova</t>
  </si>
  <si>
    <t>Business &amp; Management,Architecture,Archaeology,Physics &amp; Astronomy,Biological Sciences,Mathematics &amp; Statistics,Law,Economics &amp; Econometrics,Other Health,Electrical &amp; Electronic Engineering,Psychology,Geology, Environmental, Earth &amp; Marine Sciences,Languages, Literature &amp; Linguistics,Chemistry,Computer Science,General Engineering,Education,Mechanical &amp; Aerospace Engineering,Sport Science,Politics &amp; International Studies (incl Development Studies),Medicine &amp; Dentistry,Accounting &amp; Finance,Civil Engineering,History, Philosophy &amp; Theology,Communication &amp; Media Studies,Chemical Engineering,Art, Performing Arts &amp; Design</t>
  </si>
  <si>
    <t>1201-1400</t>
  </si>
  <si>
    <t>University of Iceland</t>
  </si>
  <si>
    <t>IS</t>
  </si>
  <si>
    <t>Iceland</t>
  </si>
  <si>
    <t>/world-university-rankings/university-iceland</t>
  </si>
  <si>
    <t>Archaeology,Mathematics &amp; Statistics,Languages, Literature &amp; Linguistics,Chemical Engineering,Geography,Medicine &amp; Dentistry,Physics &amp; Astronomy,Business &amp; Management,Electrical &amp; Electronic Engineering,Sociology,History, Philosophy &amp; Theology,Mechanical &amp; Aerospace Engineering,Communication &amp; Media Studies,Biological Sciences,Law,Other Health,Sport Science,Education,Civil Engineering,Politics &amp; International Studies (incl Development Studies),Computer Science,Geology, Environmental, Earth &amp; Marine Sciences,General Engineering,Chemistry,Accounting &amp; Finance,Psychology,Economics &amp; Econometrics</t>
  </si>
  <si>
    <t>University of Windsor</t>
  </si>
  <si>
    <t>/world-university-rankings/university-windsor</t>
  </si>
  <si>
    <t>Civil Engineering,Art, Performing Arts &amp; Design,History, Philosophy &amp; Theology,Computer Science,Biological Sciences,Geology, Environmental, Earth &amp; Marine Sciences,Mechanical &amp; Aerospace Engineering,Sociology,Languages, Literature &amp; Linguistics,Sport Science,Business &amp; Management,Other Health,Economics &amp; Econometrics,Chemistry,Architecture,General Engineering,Agriculture &amp; Forestry,Law,Politics &amp; International Studies (incl Development Studies),Mathematics &amp; Statistics,Communication &amp; Media Studies,Education,Electrical &amp; Electronic Engineering,Accounting &amp; Finance,Psychology,Physics &amp; Astronomy</t>
  </si>
  <si>
    <t>https://www.timeshighereducation.com/student/register-interest/applyboard?utm_medium=thewebsite&amp;utm_campaign=cta-link&amp;utm_source=rankings&amp;iid=i-88327862</t>
  </si>
  <si>
    <t>Al Ain University</t>
  </si>
  <si>
    <t>/world-university-rankings/al-ain-university</t>
  </si>
  <si>
    <t>Mechanical &amp; Aerospace Engineering,Languages, Literature &amp; Linguistics,Agriculture &amp; Forestry,Politics &amp; International Studies (incl Development Studies),History, Philosophy &amp; Theology,General Engineering,Business &amp; Management,Art, Performing Arts &amp; Design,Sport Science,Physics &amp; Astronomy,Other Health,Law,Economics &amp; Econometrics,Education,Electrical &amp; Electronic Engineering,Architecture,Computer Science,Accounting &amp; Finance,Psychology,Geology, Environmental, Earth &amp; Marine Sciences,Veterinary Science,Geography,Civil Engineering,Sociology,Archaeology,Communication &amp; Media Studies,Chemical Engineering,Chemistry,Biological Sciences,Medicine &amp; Dentistry,Mathematics &amp; Statistics</t>
  </si>
  <si>
    <t>University of Tabriz</t>
  </si>
  <si>
    <t>/world-university-rankings/university-tabriz</t>
  </si>
  <si>
    <t>Medicine &amp; Dentistry,Veterinary Science,Business &amp; Management,Languages, Literature &amp; Linguistics,Civil Engineering,Sociology,General Engineering,Physics &amp; Astronomy,Communication &amp; Media Studies,Art, Performing Arts &amp; Design,Mechanical &amp; Aerospace Engineering,Geology, Environmental, Earth &amp; Marine Sciences,Accounting &amp; Finance,Archaeology,Biological Sciences,Economics &amp; Econometrics,History, Philosophy &amp; Theology,Chemical Engineering,Geography,Electrical &amp; Electronic Engineering,Chemistry,Law,Architecture,Agriculture &amp; Forestry,Politics &amp; International Studies (incl Development Studies),Other Health,Sport Science,Psychology,Computer Science,Mathematics &amp; Statistics,Education</t>
  </si>
  <si>
    <t xml:space="preserve">Hasselt University </t>
  </si>
  <si>
    <t>Hasselt University</t>
  </si>
  <si>
    <t>/world-university-rankings/hasselt-university</t>
  </si>
  <si>
    <t>Sport Science,Chemical Engineering,Civil Engineering,Mechanical &amp; Aerospace Engineering,Economics &amp; Econometrics,Education,Art, Performing Arts &amp; Design,Geology, Environmental, Earth &amp; Marine Sciences,Computer Science,Electrical &amp; Electronic Engineering,Mathematics &amp; Statistics,Business &amp; Management,Biological Sciences,Other Health,Law,Communication &amp; Media Studies,Accounting &amp; Finance,General Engineering,Physics &amp; Astronomy,Architecture,Medicine &amp; Dentistry,Sociology,Chemistry,Agriculture &amp; Forestry</t>
  </si>
  <si>
    <t>731-740</t>
  </si>
  <si>
    <t>Jordan University of Science &amp; Technology</t>
  </si>
  <si>
    <t>Jordan University of Science and Technology</t>
  </si>
  <si>
    <t>/world-university-rankings/jordan-university-science-and-technology</t>
  </si>
  <si>
    <t>Languages, Literature &amp; Linguistics,Civil Engineering,Veterinary Science,Computer Science,Biological Sciences,Electrical &amp; Electronic Engineering,Other Health,Physics &amp; Astronomy,Agriculture &amp; Forestry,General Engineering,Medicine &amp; Dentistry,Chemistry,Chemical Engineering,Architecture,Mathematics &amp; Statistics,Mechanical &amp; Aerospace Engineering</t>
  </si>
  <si>
    <t>Universiti Utara Malaysia (UUM)</t>
  </si>
  <si>
    <t>Universiti Utara Malaysia</t>
  </si>
  <si>
    <t>/world-university-rankings/universiti-utara-malaysia</t>
  </si>
  <si>
    <t>Business &amp; Management,Computer Science,Psychology,Sociology,History, Philosophy &amp; Theology,Law,Politics &amp; International Studies (incl Development Studies),Accounting &amp; Finance,Communication &amp; Media Studies,Economics &amp; Econometrics,Mathematics &amp; Statistics,Languages, Literature &amp; Linguistics,Education,Art, Performing Arts &amp; Design,Geography</t>
  </si>
  <si>
    <t>691-700</t>
  </si>
  <si>
    <t>University of Dhaka</t>
  </si>
  <si>
    <t>BD</t>
  </si>
  <si>
    <t>Bangladesh</t>
  </si>
  <si>
    <t>/world-university-rankings/university-dhaka</t>
  </si>
  <si>
    <t>Geography,Biological Sciences,Communication &amp; Media Studies,History, Philosophy &amp; Theology,Computer Science,Business &amp; Management,Geology, Environmental, Earth &amp; Marine Sciences,Accounting &amp; Finance,Sociology,Chemical Engineering,Psychology,Politics &amp; International Studies (incl Development Studies),Law,Languages, Literature &amp; Linguistics,Chemistry,Electrical &amp; Electronic Engineering,Economics &amp; Econometrics,General Engineering,Art, Performing Arts &amp; Design,Education,Mathematics &amp; Statistics,Physics &amp; Astronomy</t>
  </si>
  <si>
    <t>University Ulm</t>
  </si>
  <si>
    <t>Ulm University</t>
  </si>
  <si>
    <t>/world-university-rankings/ulm-university</t>
  </si>
  <si>
    <t>Other Health,Electrical &amp; Electronic Engineering,Computer Science,Chemical Engineering,Psychology,Sport Science,Biological Sciences,Chemistry,Education,Medicine &amp; Dentistry,Mathematics &amp; Statistics,Physics &amp; Astronomy</t>
  </si>
  <si>
    <t>Peter the Great St. Petersburg Polytechnic University</t>
  </si>
  <si>
    <t>Peter the Great St Petersburg Polytechnic University</t>
  </si>
  <si>
    <t>/world-university-rankings/st-petersburg-state-polytechnical-university</t>
  </si>
  <si>
    <t>Languages, Literature &amp; Linguistics,Chemistry,Mechanical &amp; Aerospace Engineering,Law,Biological Sciences,Education,Art, Performing Arts &amp; Design,Sport Science,Psychology,Civil Engineering,Politics &amp; International Studies (incl Development Studies),Computer Science,Physics &amp; Astronomy,Accounting &amp; Finance,General Engineering,Communication &amp; Media Studies,Electrical &amp; Electronic Engineering,Geology, Environmental, Earth &amp; Marine Sciences,Economics &amp; Econometrics,Chemical Engineering,Sociology,History, Philosophy &amp; Theology,Mathematics &amp; Statistics,Business &amp; Management</t>
  </si>
  <si>
    <t>Ulster University</t>
  </si>
  <si>
    <t>/world-university-rankings/university-ulster</t>
  </si>
  <si>
    <t>Architecture,Sport Science,Computer Science,Communication &amp; Media Studies,History, Philosophy &amp; Theology,Civil Engineering,Business &amp; Management,General Engineering,Geology, Environmental, Earth &amp; Marine Sciences,Accounting &amp; Finance,Chemical Engineering,Psychology,Art, Performing Arts &amp; Design,Mechanical &amp; Aerospace Engineering,Education,Languages, Literature &amp; Linguistics,Other Health,Sociology,Medicine &amp; Dentistry,Politics &amp; International Studies (incl Development Studies),Electrical &amp; Electronic Engineering,Law,Economics &amp; Econometrics,Biological Sciences</t>
  </si>
  <si>
    <t>https://www.timeshighereducation.com/student/register-interest/siuk?utm_medium=thewebsite&amp;utm_campaign=cta-link&amp;utm_source=rankings&amp;iid=i-23766844</t>
  </si>
  <si>
    <t>601-610</t>
  </si>
  <si>
    <t xml:space="preserve">Umm Al-Qura University </t>
  </si>
  <si>
    <t>Umm Al-Qura University</t>
  </si>
  <si>
    <t>/world-university-rankings/umm-al-qura-university</t>
  </si>
  <si>
    <t>Civil Engineering,Communication &amp; Media Studies,Mathematics &amp; Statistics,Geography,Medicine &amp; Dentistry,Chemistry,Education,Biological Sciences,Sociology,Other Health,Geology, Environmental, Earth &amp; Marine Sciences,Psychology,Physics &amp; Astronomy,Law,Computer Science,Languages, Literature &amp; Linguistics,Economics &amp; Econometrics,General Engineering,Art, Performing Arts &amp; Design,Business &amp; Management,Mechanical &amp; Aerospace Engineering,Architecture,Electrical &amp; Electronic Engineering,History, Philosophy &amp; Theology,Accounting &amp; Finance</t>
  </si>
  <si>
    <t>Universiti Teknologi Brunei</t>
  </si>
  <si>
    <t>/world-university-rankings/universiti-teknologi-brunei</t>
  </si>
  <si>
    <t>Architecture,Accounting &amp; Finance,Chemical Engineering,Civil Engineering,Electrical &amp; Electronic Engineering,Business &amp; Management,Computer Science</t>
  </si>
  <si>
    <t>701-710</t>
  </si>
  <si>
    <t>EÃ¶tvÃ¶s LorÃ¡nd University</t>
  </si>
  <si>
    <t>HU</t>
  </si>
  <si>
    <t>Hungary</t>
  </si>
  <si>
    <t>/world-university-rankings/eotvos-lorand-university</t>
  </si>
  <si>
    <t>Physics &amp; Astronomy,Education,Languages, Literature &amp; Linguistics,Sociology,Art, Performing Arts &amp; Design,Communication &amp; Media Studies,History, Philosophy &amp; Theology,Sport Science,Law,Politics &amp; International Studies (incl Development Studies),Accounting &amp; Finance,Computer Science,Geography,Business &amp; Management,Mechanical &amp; Aerospace Engineering,Geology, Environmental, Earth &amp; Marine Sciences,Archaeology,Chemistry,Psychology,Mathematics &amp; Statistics,Economics &amp; Econometrics,Biological Sciences</t>
  </si>
  <si>
    <t>University of Connecticut</t>
  </si>
  <si>
    <t>/world-university-rankings/university-connecticut</t>
  </si>
  <si>
    <t>Architecture,Biological Sciences,Law,Medicine &amp; Dentistry,Agriculture &amp; Forestry,Sociology,General Engineering,Communication &amp; Media Studies,Accounting &amp; Finance,Art, Performing Arts &amp; Design,Chemical Engineering,Mathematics &amp; Statistics,Business &amp; Management,Languages, Literature &amp; Linguistics,Other Health,Sport Science,Education,Computer Science,Physics &amp; Astronomy,Psychology,Archaeology,Veterinary Science,Mechanical &amp; Aerospace Engineering,Geology, Environmental, Earth &amp; Marine Sciences,Electrical &amp; Electronic Engineering,Chemistry,History, Philosophy &amp; Theology,Civil Engineering,Politics &amp; International Studies (incl Development Studies),Geography,Economics &amp; Econometrics</t>
  </si>
  <si>
    <t>https://www.timeshighereducation.com/student/register-interest/shorelight?utm_medium=thewebsite&amp;utm_campaign=cta-link&amp;utm_source=rankings&amp;iid=i-04748462</t>
  </si>
  <si>
    <t>Chiang Mai University</t>
  </si>
  <si>
    <t>/world-university-rankings/chiang-mai-university</t>
  </si>
  <si>
    <t>Education,History, Philosophy &amp; Theology,Art, Performing Arts &amp; Design,Sport Science,Politics &amp; International Studies (incl Development Studies),Mathematics &amp; Statistics,Geology, Environmental, Earth &amp; Marine Sciences,Communication &amp; Media Studies,Other Health,Architecture,Psychology,Medicine &amp; Dentistry,Agriculture &amp; Forestry,Electrical &amp; Electronic Engineering,General Engineering,Archaeology,Civil Engineering,Veterinary Science,Economics &amp; Econometrics,Languages, Literature &amp; Linguistics,Geography,Business &amp; Management,Accounting &amp; Finance,Sociology,Computer Science,Physics &amp; Astronomy,Biological Sciences,Law,Mechanical &amp; Aerospace Engineering,Chemistry</t>
  </si>
  <si>
    <t>Lebanese University</t>
  </si>
  <si>
    <t>LB</t>
  </si>
  <si>
    <t>Lebanon</t>
  </si>
  <si>
    <t>/world-university-rankings/lebanese-university</t>
  </si>
  <si>
    <t>Other Health,Sport Science,Accounting &amp; Finance,Architecture,Chemical Engineering,Geography,Economics &amp; Econometrics,Agriculture &amp; Forestry,Politics &amp; International Studies (incl Development Studies),Biological Sciences,Psychology,Art, Performing Arts &amp; Design,General Engineering,Physics &amp; Astronomy,Law,Archaeology,Civil Engineering,Geology, Environmental, Earth &amp; Marine Sciences,Computer Science,Mathematics &amp; Statistics,Education,Languages, Literature &amp; Linguistics,Electrical &amp; Electronic Engineering,Chemistry,Medicine &amp; Dentistry,Veterinary Science,Communication &amp; Media Studies,History, Philosophy &amp; Theology,Mechanical &amp; Aerospace Engineering,Sociology,Business &amp; Management</t>
  </si>
  <si>
    <t>University of Chemistry and Technology, Prague</t>
  </si>
  <si>
    <t>/world-university-rankings/university-chemistry-and-technology-prague</t>
  </si>
  <si>
    <t>Chemistry,Business &amp; Management,Education,Mathematics &amp; Statistics,Mechanical &amp; Aerospace Engineering,Biological Sciences,Chemical Engineering,Economics &amp; Econometrics,Accounting &amp; Finance,General Engineering,Geology, Environmental, Earth &amp; Marine Sciences</t>
  </si>
  <si>
    <t>University of Szeged</t>
  </si>
  <si>
    <t>/world-university-rankings/university-szeged</t>
  </si>
  <si>
    <t>Sociology,Other Health,Chemistry,Geology, Environmental, Earth &amp; Marine Sciences,Mechanical &amp; Aerospace Engineering,Chemical Engineering,Business &amp; Management,Communication &amp; Media Studies,Medicine &amp; Dentistry,Electrical &amp; Electronic Engineering,Law,Physics &amp; Astronomy,Economics &amp; Econometrics,Art, Performing Arts &amp; Design,Accounting &amp; Finance,Computer Science,History, Philosophy &amp; Theology,Politics &amp; International Studies (incl Development Studies),Geography,Sport Science,Agriculture &amp; Forestry,Psychology,Archaeology,Languages, Literature &amp; Linguistics,Biological Sciences,Education,Mathematics &amp; Statistics</t>
  </si>
  <si>
    <t>741-750</t>
  </si>
  <si>
    <t>University of the Punjab</t>
  </si>
  <si>
    <t>/world-university-rankings/university-punjab</t>
  </si>
  <si>
    <t>Chemical Engineering,Accounting &amp; Finance,Languages, Literature &amp; Linguistics,Physics &amp; Astronomy,Chemistry,Economics &amp; Econometrics,Sport Science,Psychology,Sociology,Geography,Geology, Environmental, Earth &amp; Marine Sciences,Business &amp; Management,Agriculture &amp; Forestry,Biological Sciences,Electrical &amp; Electronic Engineering,Communication &amp; Media Studies,Archaeology,Mathematics &amp; Statistics,General Engineering,Other Health,History, Philosophy &amp; Theology,Politics &amp; International Studies (incl Development Studies),Computer Science,Education,Architecture,Law,Art, Performing Arts &amp; Design</t>
  </si>
  <si>
    <t>Florida State University</t>
  </si>
  <si>
    <t>/world-university-rankings/florida-state-university</t>
  </si>
  <si>
    <t>Archaeology,Geology, Environmental, Earth &amp; Marine Sciences,Sport Science,Biological Sciences,Medicine &amp; Dentistry,Chemical Engineering,Accounting &amp; Finance,Education,Communication &amp; Media Studies,Architecture,Sociology,General Engineering,History, Philosophy &amp; Theology,Physics &amp; Astronomy,Law,Mathematics &amp; Statistics,Other Health,Computer Science,Economics &amp; Econometrics,Languages, Literature &amp; Linguistics,Civil Engineering,Politics &amp; International Studies (incl Development Studies),Electrical &amp; Electronic Engineering,Geography,Art, Performing Arts &amp; Design,Business &amp; Management,Chemistry,Mechanical &amp; Aerospace Engineering,Psychology</t>
  </si>
  <si>
    <t>https://www.timeshighereducation.com/student/register-interest/shorelight?utm_medium=thewebsite&amp;utm_campaign=cta-link&amp;utm_source=rankings&amp;iid=i-92186279</t>
  </si>
  <si>
    <t>Florida International University</t>
  </si>
  <si>
    <t>/world-university-rankings/florida-international-university</t>
  </si>
  <si>
    <t>Business &amp; Management,Chemistry,Mechanical &amp; Aerospace Engineering,Accounting &amp; Finance,Electrical &amp; Electronic Engineering,General Engineering,Geology, Environmental, Earth &amp; Marine Sciences,Economics &amp; Econometrics,Psychology,Biological Sciences,Civil Engineering,Politics &amp; International Studies (incl Development Studies),Education,Communication &amp; Media Studies,Medicine &amp; Dentistry,Languages, Literature &amp; Linguistics,Physics &amp; Astronomy,Sociology,Other Health,Art, Performing Arts &amp; Design,Computer Science,Architecture,Mathematics &amp; Statistics,Geography,History, Philosophy &amp; Theology,Law</t>
  </si>
  <si>
    <t>671-680</t>
  </si>
  <si>
    <t>University of Debrecen</t>
  </si>
  <si>
    <t>/world-university-rankings/university-debrecen</t>
  </si>
  <si>
    <t>History, Philosophy &amp; Theology,Biological Sciences,Other Health,Mathematics &amp; Statistics,Law,Electrical &amp; Electronic Engineering,Geography,Architecture,Sport Science,Psychology,Mechanical &amp; Aerospace Engineering,Physics &amp; Astronomy,Economics &amp; Econometrics,Languages, Literature &amp; Linguistics,Chemical Engineering,Sociology,Art, Performing Arts &amp; Design,Civil Engineering,Politics &amp; International Studies (incl Development Studies),Business &amp; Management,Computer Science,Geology, Environmental, Earth &amp; Marine Sciences,General Engineering,Communication &amp; Media Studies,Medicine &amp; Dentistry,Agriculture &amp; Forestry,Chemistry,Accounting &amp; Finance,Education</t>
  </si>
  <si>
    <t>Sogang University</t>
  </si>
  <si>
    <t>/world-university-rankings/sogang-university</t>
  </si>
  <si>
    <t>Politics &amp; International Studies (incl Development Studies),Chemistry,Electrical &amp; Electronic Engineering,Law,Business &amp; Management,Education,Mechanical &amp; Aerospace Engineering,Chemical Engineering,Communication &amp; Media Studies,Economics &amp; Econometrics,Psychology,Mathematics &amp; Statistics,Languages, Literature &amp; Linguistics,Accounting &amp; Finance,Biological Sciences,Physics &amp; Astronomy,Sociology,History, Philosophy &amp; Theology,Computer Science</t>
  </si>
  <si>
    <t>651-660</t>
  </si>
  <si>
    <t xml:space="preserve">Southern Cross University </t>
  </si>
  <si>
    <t>Southern Cross University</t>
  </si>
  <si>
    <t>/world-university-rankings/southern-cross-university</t>
  </si>
  <si>
    <t>Accounting &amp; Finance,Biological Sciences,Law,Mechanical &amp; Aerospace Engineering,Computer Science,Other Health,Sport Science,Communication &amp; Media Studies,Education,Civil Engineering,Agriculture &amp; Forestry,Geology, Environmental, Earth &amp; Marine Sciences,Sociology,Art, Performing Arts &amp; Design,Psychology,Business &amp; Management</t>
  </si>
  <si>
    <t>https://www.timeshighereducation.com/student/register-interest/aecc?utm_medium=thewebsite&amp;utm_campaign=cta-link&amp;utm_source=rankings&amp;iid=i-88772691</t>
  </si>
  <si>
    <t>Jawaharlal Nehru University</t>
  </si>
  <si>
    <t>/world-university-rankings/jawaharlal-nehru-university</t>
  </si>
  <si>
    <t>Art, Performing Arts &amp; Design,Geology, Environmental, Earth &amp; Marine Sciences,Mathematics &amp; Statistics,Psychology,Languages, Literature &amp; Linguistics,Communication &amp; Media Studies,History, Philosophy &amp; Theology,Politics &amp; International Studies (incl Development Studies),Electrical &amp; Electronic Engineering,Accounting &amp; Finance,Computer Science,Sociology,Chemistry,Geography,Biological Sciences,Economics &amp; Econometrics,Agriculture &amp; Forestry,Education,Physics &amp; Astronomy,Business &amp; Management</t>
  </si>
  <si>
    <t>Bond University</t>
  </si>
  <si>
    <t>/world-university-rankings/bond-university</t>
  </si>
  <si>
    <t>Sport Science,Psychology,History, Philosophy &amp; Theology,Business &amp; Management,Mathematics &amp; Statistics,Politics &amp; International Studies (incl Development Studies),Architecture,Communication &amp; Media Studies,Medicine &amp; Dentistry,Law,Economics &amp; Econometrics,Art, Performing Arts &amp; Design,Other Health,Sociology,Accounting &amp; Finance,Biological Sciences,Languages, Literature &amp; Linguistics</t>
  </si>
  <si>
    <t>https://www.timeshighereducation.com/student/register-interest/aecc?utm_medium=thewebsite&amp;utm_campaign=cta-link&amp;utm_source=rankings&amp;iid=i-62901393</t>
  </si>
  <si>
    <t>771-780</t>
  </si>
  <si>
    <t>Shoolini University of Biotechnology and Management Sciences</t>
  </si>
  <si>
    <t>/world-university-rankings/shoolini-university-biotechnology-and-management-sciences</t>
  </si>
  <si>
    <t>Shoolini University of Biotechnology and Management Sciences Shoolini</t>
  </si>
  <si>
    <t>Biological Sciences,Computer Science,Agriculture &amp; Forestry,Education,Economics &amp; Econometrics,Business &amp; Management,Sociology,Languages, Literature &amp; Linguistics,Politics &amp; International Studies (incl Development Studies),General Engineering,Communication &amp; Media Studies,Chemistry,History, Philosophy &amp; Theology,Accounting &amp; Finance,Physics &amp; Astronomy,Mechanical &amp; Aerospace Engineering,Art, Performing Arts &amp; Design,Mathematics &amp; Statistics,Geology, Environmental, Earth &amp; Marine Sciences,Law,Civil Engineering,Other Health,Electrical &amp; Electronic Engineering,Psychology</t>
  </si>
  <si>
    <t>The University of Georgia</t>
  </si>
  <si>
    <t>University of Georgia</t>
  </si>
  <si>
    <t>/world-university-rankings/university-georgia</t>
  </si>
  <si>
    <t>Medicine &amp; Dentistry,Chemistry,Accounting &amp; Finance,Languages, Literature &amp; Linguistics,Architecture,Agriculture &amp; Forestry,Politics &amp; International Studies (incl Development Studies),Civil Engineering,Mathematics &amp; Statistics,Art, Performing Arts &amp; Design,Chemical Engineering,Geology, Environmental, Earth &amp; Marine Sciences,Law,History, Philosophy &amp; Theology,Electrical &amp; Electronic Engineering,Geography,Mechanical &amp; Aerospace Engineering,Veterinary Science,Psychology,Other Health,Sport Science,Education,General Engineering,Biological Sciences,Sociology,Business &amp; Management,Archaeology,Communication &amp; Media Studies,Computer Science,Physics &amp; Astronomy,Economics &amp; Econometrics</t>
  </si>
  <si>
    <t>https://www.timeshighereducation.com/student/register-interest/shorelight?utm_medium=thewebsite&amp;utm_campaign=cta-link&amp;utm_source=rankings&amp;iid=i-14747593</t>
  </si>
  <si>
    <t>University of Kwazulu-Natal</t>
  </si>
  <si>
    <t>University of KwaZulu-Natal</t>
  </si>
  <si>
    <t>/world-university-rankings/university-kwazulu-natal</t>
  </si>
  <si>
    <t>University of KwaZulu-Natal UKZN Kwazulu Natal Kwa zulu</t>
  </si>
  <si>
    <t>Art, Performing Arts &amp; Design,Chemical Engineering,Law,Computer Science,Biological Sciences,Geography,Mechanical &amp; Aerospace Engineering,Geology, Environmental, Earth &amp; Marine Sciences,History, Philosophy &amp; Theology,Sport Science,Education,Civil Engineering,Communication &amp; Media Studies,Medicine &amp; Dentistry,Physics &amp; Astronomy,Electrical &amp; Electronic Engineering,Sociology,Accounting &amp; Finance,Architecture,Mathematics &amp; Statistics,Business &amp; Management,Languages, Literature &amp; Linguistics,Agriculture &amp; Forestry,Politics &amp; International Studies (incl Development Studies),Psychology,Other Health,Chemistry,Economics &amp; Econometrics</t>
  </si>
  <si>
    <t>721-730</t>
  </si>
  <si>
    <t xml:space="preserve">Ain Shams University </t>
  </si>
  <si>
    <t>Ain Shams University</t>
  </si>
  <si>
    <t>/world-university-rankings/ain-shams-university</t>
  </si>
  <si>
    <t>Architecture,Agriculture &amp; Forestry,Psychology,Medicine &amp; Dentistry,Chemical Engineering,Geography,Mechanical &amp; Aerospace Engineering,Communication &amp; Media Studies,Archaeology,Veterinary Science,Chemistry,Accounting &amp; Finance,Art, Performing Arts &amp; Design,Biological Sciences,Law,History, Philosophy &amp; Theology,General Engineering,Politics &amp; International Studies (incl Development Studies),Other Health,Physics &amp; Astronomy,Business &amp; Management,Computer Science,Sociology,Economics &amp; Econometrics,Languages, Literature &amp; Linguistics,Civil Engineering,Geology, Environmental, Earth &amp; Marine Sciences,Electrical &amp; Electronic Engineering,Mathematics &amp; Statistics,Education</t>
  </si>
  <si>
    <t>Nottingham Trent University</t>
  </si>
  <si>
    <t>/world-university-rankings/nottingham-trent-university</t>
  </si>
  <si>
    <t>Electrical &amp; Electronic Engineering,Chemistry,Architecture,Mathematics &amp; Statistics,Psychology,Other Health,Physics &amp; Astronomy,Education,History, Philosophy &amp; Theology,Biological Sciences,Geography,Accounting &amp; Finance,Computer Science,Sport Science,Business &amp; Management,Art, Performing Arts &amp; Design,Civil Engineering,Sociology,Mechanical &amp; Aerospace Engineering,Communication &amp; Media Studies,General Engineering,Geology, Environmental, Earth &amp; Marine Sciences,Agriculture &amp; Forestry,Law,Economics &amp; Econometrics,Languages, Literature &amp; Linguistics,Veterinary Science,Politics &amp; International Studies (incl Development Studies)</t>
  </si>
  <si>
    <t>https://www.timeshighereducation.com/student/register-interest/siuk?utm_medium=thewebsite&amp;utm_campaign=cta-link&amp;utm_source=rankings&amp;iid=i-31415663</t>
  </si>
  <si>
    <t>ITMO University</t>
  </si>
  <si>
    <t>/world-university-rankings/itmo-university</t>
  </si>
  <si>
    <t>Computer Science,Chemistry,Politics &amp; International Studies (incl Development Studies),Communication &amp; Media Studies,Education,Chemical Engineering,General Engineering,Sociology,Economics &amp; Econometrics,Civil Engineering,Art, Performing Arts &amp; Design,Sport Science,History, Philosophy &amp; Theology,Physics &amp; Astronomy,Business &amp; Management,Medicine &amp; Dentistry,Biological Sciences,Law,Mathematics &amp; Statistics,Electrical &amp; Electronic Engineering,Agriculture &amp; Forestry,Mechanical &amp; Aerospace Engineering,Accounting &amp; Finance,Geology, Environmental, Earth &amp; Marine Sciences,Other Health,Languages, Literature &amp; Linguistics</t>
  </si>
  <si>
    <t>Thammasat University</t>
  </si>
  <si>
    <t>/world-university-rankings/thammasat-university</t>
  </si>
  <si>
    <t>Other Health,History, Philosophy &amp; Theology,Agriculture &amp; Forestry,Accounting &amp; Finance,Mechanical &amp; Aerospace Engineering,Communication &amp; Media Studies,Education,Computer Science,Geology, Environmental, Earth &amp; Marine Sciences,Architecture,Physics &amp; Astronomy,Sociology,General Engineering,Chemistry,Art, Performing Arts &amp; Design,Civil Engineering,Politics &amp; International Studies (incl Development Studies),Psychology,Medicine &amp; Dentistry,Biological Sciences,Law,Languages, Literature &amp; Linguistics,Electrical &amp; Electronic Engineering,Chemical Engineering,Sport Science,Business &amp; Management,Mathematics &amp; Statistics,Economics &amp; Econometrics,Geography</t>
  </si>
  <si>
    <t>661-670</t>
  </si>
  <si>
    <t>Universitas Padjadjaran</t>
  </si>
  <si>
    <t>/world-university-rankings/universitas-padjadjaran</t>
  </si>
  <si>
    <t>Languages, Literature &amp; Linguistics,Chemistry,Psychology,Architecture,Mathematics &amp; Statistics,Business &amp; Management,Medicine &amp; Dentistry,Communication &amp; Media Studies,Art, Performing Arts &amp; Design,Biological Sciences,Geography,Veterinary Science,Education,Archaeology,Physics &amp; Astronomy,Agriculture &amp; Forestry,Politics &amp; International Studies (incl Development Studies),Economics &amp; Econometrics,Computer Science,Geology, Environmental, Earth &amp; Marine Sciences,History, Philosophy &amp; Theology,Sport Science,Law,Other Health,Sociology,Accounting &amp; Finance</t>
  </si>
  <si>
    <t>University of Iowa</t>
  </si>
  <si>
    <t>/world-university-rankings/university-iowa</t>
  </si>
  <si>
    <t>Languages, Literature &amp; Linguistics,Medicine &amp; Dentistry,Mathematics &amp; Statistics,Sport Science,Sociology,Biological Sciences,Economics &amp; Econometrics,Electrical &amp; Electronic Engineering,Physics &amp; Astronomy,Law,Other Health,Chemical Engineering,Archaeology,Chemistry,Business &amp; Management,History, Philosophy &amp; Theology,Psychology,Mechanical &amp; Aerospace Engineering,Politics &amp; International Studies (incl Development Studies),Education,Accounting &amp; Finance,Geology, Environmental, Earth &amp; Marine Sciences,Civil Engineering,Communication &amp; Media Studies,General Engineering,Art, Performing Arts &amp; Design,Computer Science,Geography</t>
  </si>
  <si>
    <t>https://www.timeshighereducation.com/student/register-interest/shorelight?utm_medium=thewebsite&amp;utm_campaign=cta-link&amp;utm_source=rankings&amp;iid=i-88616472</t>
  </si>
  <si>
    <t>University of Ljubljana</t>
  </si>
  <si>
    <t>SI</t>
  </si>
  <si>
    <t>Slovenia</t>
  </si>
  <si>
    <t>/world-university-rankings/university-ljubljana</t>
  </si>
  <si>
    <t>Archaeology,Mechanical &amp; Aerospace Engineering,Sociology,Art, Performing Arts &amp; Design,Mathematics &amp; Statistics,Law,Computer Science,Electrical &amp; Electronic Engineering,Geology, Environmental, Earth &amp; Marine Sciences,Economics &amp; Econometrics,Architecture,Chemical Engineering,Business &amp; Management,History, Philosophy &amp; Theology,Agriculture &amp; Forestry,Politics &amp; International Studies (incl Development Studies),Civil Engineering,Communication &amp; Media Studies,Accounting &amp; Finance,Medicine &amp; Dentistry,Biological Sciences,Chemistry,Other Health,Veterinary Science,Education,General Engineering,Physics &amp; Astronomy,Geography,Languages, Literature &amp; Linguistics,Sport Science,Psychology</t>
  </si>
  <si>
    <t>University of Texas Dallas</t>
  </si>
  <si>
    <t>University of Texas at Dallas</t>
  </si>
  <si>
    <t>/world-university-rankings/university-texas-dallas</t>
  </si>
  <si>
    <t>University of Texas at Dallas utd</t>
  </si>
  <si>
    <t>Languages, Literature &amp; Linguistics,Chemistry,Economics &amp; Econometrics,Electrical &amp; Electronic Engineering,Psychology,History, Philosophy &amp; Theology,Physics &amp; Astronomy,Art, Performing Arts &amp; Design,Biological Sciences,Business &amp; Management,Mechanical &amp; Aerospace Engineering,Geography,Computer Science,Sociology,Mathematics &amp; Statistics,Other Health,Education,General Engineering,Politics &amp; International Studies (incl Development Studies),Geology, Environmental, Earth &amp; Marine Sciences,Accounting &amp; Finance</t>
  </si>
  <si>
    <t xml:space="preserve">Ca' Foscari University of Venice </t>
  </si>
  <si>
    <t>Caâ€™ Foscari University of Venice</t>
  </si>
  <si>
    <t>/world-university-rankings/ca-foscari-university-venice</t>
  </si>
  <si>
    <t>Archaeology,Geology, Environmental, Earth &amp; Marine Sciences,Business &amp; Management,General Engineering,Economics &amp; Econometrics,Politics &amp; International Studies (incl Development Studies),Languages, Literature &amp; Linguistics,Geography,Accounting &amp; Finance,Sport Science,Communication &amp; Media Studies,Civil Engineering,Art, Performing Arts &amp; Design,Sociology,History, Philosophy &amp; Theology,Computer Science,Chemistry,Agriculture &amp; Forestry,Education,Law,Biological Sciences</t>
  </si>
  <si>
    <t>Illinois Institute of Technology</t>
  </si>
  <si>
    <t>/world-university-rankings/illinois-institute-technology</t>
  </si>
  <si>
    <t>Civil Engineering,Chemical Engineering,History, Philosophy &amp; Theology,Mechanical &amp; Aerospace Engineering,Economics &amp; Econometrics,Law,Biological Sciences,Business &amp; Management,Other Health,Politics &amp; International Studies (incl Development Studies),Communication &amp; Media Studies,Art, Performing Arts &amp; Design,General Engineering,Chemistry,Psychology,Accounting &amp; Finance,Mathematics &amp; Statistics,Physics &amp; Astronomy,Electrical &amp; Electronic Engineering,Architecture,Geology, Environmental, Earth &amp; Marine Sciences,Sociology,Computer Science,Education</t>
  </si>
  <si>
    <t>https://www.timeshighereducation.com/student/register-interest/shorelight?utm_medium=thewebsite&amp;utm_campaign=cta-link&amp;utm_source=rankings&amp;iid=i-78514152</t>
  </si>
  <si>
    <t>761-770</t>
  </si>
  <si>
    <t>King Khalid University</t>
  </si>
  <si>
    <t>/world-university-rankings/king-khalid-university</t>
  </si>
  <si>
    <t>Archaeology,Mechanical &amp; Aerospace Engineering,Psychology,Education,Other Health,Architecture,Business &amp; Management,Sociology,Physics &amp; Astronomy,Languages, Literature &amp; Linguistics,Electrical &amp; Electronic Engineering,Medicine &amp; Dentistry,Geology, Environmental, Earth &amp; Marine Sciences,Chemistry,Economics &amp; Econometrics,Mathematics &amp; Statistics,Chemical Engineering,Law,Computer Science,History, Philosophy &amp; Theology,Geography,Accounting &amp; Finance,Civil Engineering,General Engineering,Agriculture &amp; Forestry,Biological Sciences,Communication &amp; Media Studies,Art, Performing Arts &amp; Design</t>
  </si>
  <si>
    <t>Manchester Metropolitan University (MMU)</t>
  </si>
  <si>
    <t>Manchester Metropolitan University</t>
  </si>
  <si>
    <t>/world-university-rankings/manchester-metropolitan-university</t>
  </si>
  <si>
    <t>History, Philosophy &amp; Theology,Geology, Environmental, Earth &amp; Marine Sciences,Sociology,Mechanical &amp; Aerospace Engineering,Economics &amp; Econometrics,Electrical &amp; Electronic Engineering,Sport Science,Chemistry,Law,Other Health,Mathematics &amp; Statistics,Geography,Art, Performing Arts &amp; Design,Architecture,Business &amp; Management,Biological Sciences,Communication &amp; Media Studies,Accounting &amp; Finance,Languages, Literature &amp; Linguistics,Politics &amp; International Studies (incl Development Studies),Education,Computer Science,Psychology</t>
  </si>
  <si>
    <t>https://www.timeshighereducation.com/student/register-interest/siuk?utm_medium=thewebsite&amp;utm_campaign=cta-link&amp;utm_source=rankings&amp;iid=i-03301432</t>
  </si>
  <si>
    <t>National Chengchi University</t>
  </si>
  <si>
    <t>/world-university-rankings/national-chengchi-university</t>
  </si>
  <si>
    <t>Languages, Literature &amp; Linguistics,Civil Engineering,Computer Science,Chemistry,Biological Sciences,Law,Physics &amp; Astronomy,Education,Veterinary Science,Other Health,Sport Science,Electrical &amp; Electronic Engineering,History, Philosophy &amp; Theology,Art, Performing Arts &amp; Design,Geography,Archaeology,Psychology,Economics &amp; Econometrics,Politics &amp; International Studies (incl Development Studies),Communication &amp; Media Studies,General Engineering,Accounting &amp; Finance,Business &amp; Management,Mathematics &amp; Statistics,Mechanical &amp; Aerospace Engineering,Architecture,Agriculture &amp; Forestry,Sociology,Chemical Engineering,Geology, Environmental, Earth &amp; Marine Sciences,Medicine &amp; Dentistry</t>
  </si>
  <si>
    <t>Rensselaer Polytechnic Institute</t>
  </si>
  <si>
    <t>/world-university-rankings/rensselaer-polytechnic-institute</t>
  </si>
  <si>
    <t>Art, Performing Arts &amp; Design,General Engineering,History, Philosophy &amp; Theology,Electrical &amp; Electronic Engineering,Law,Economics &amp; Econometrics,Psychology,Physics &amp; Astronomy,Other Health,Architecture,Agriculture &amp; Forestry,Chemical Engineering,Mathematics &amp; Statistics,Mechanical &amp; Aerospace Engineering,Biological Sciences,Civil Engineering,Communication &amp; Media Studies,Geology, Environmental, Earth &amp; Marine Sciences,Computer Science,Chemistry,Business &amp; Management</t>
  </si>
  <si>
    <t>https://www.timeshighereducation.com/student/register-interest/shorelight?utm_medium=thewebsite&amp;utm_campaign=cta-link&amp;utm_source=rankings&amp;iid=i-85269072</t>
  </si>
  <si>
    <t>University of Crete</t>
  </si>
  <si>
    <t>/world-university-rankings/university-crete</t>
  </si>
  <si>
    <t>Languages, Literature &amp; Linguistics,Politics &amp; International Studies (incl Development Studies),General Engineering,Economics &amp; Econometrics,Physics &amp; Astronomy,Other Health,Business &amp; Management,Medicine &amp; Dentistry,Geology, Environmental, Earth &amp; Marine Sciences,History, Philosophy &amp; Theology,Sociology,Computer Science,Mathematics &amp; Statistics,Psychology,Biological Sciences,Education,Archaeology,Chemistry</t>
  </si>
  <si>
    <t>University of Hohenheim</t>
  </si>
  <si>
    <t>/world-university-rankings/universitat-hohenheim</t>
  </si>
  <si>
    <t>Economics &amp; Econometrics,Biological Sciences,Communication &amp; Media Studies,Business &amp; Management,Geology, Environmental, Earth &amp; Marine Sciences,Accounting &amp; Finance,Other Health,Agriculture &amp; Forestry</t>
  </si>
  <si>
    <t>American University of the Middle East</t>
  </si>
  <si>
    <t>KW</t>
  </si>
  <si>
    <t>Kuwait</t>
  </si>
  <si>
    <t>/world-university-rankings/american-university-middle-east-aum-0</t>
  </si>
  <si>
    <t>American University of the Middle East aum</t>
  </si>
  <si>
    <t>General Engineering,Chemical Engineering,Electrical &amp; Electronic Engineering,Mechanical &amp; Aerospace Engineering,Civil Engineering,Computer Science,Accounting &amp; Finance,Business &amp; Management</t>
  </si>
  <si>
    <t>Brno University of Technology</t>
  </si>
  <si>
    <t>/world-university-rankings/brno-university-technology</t>
  </si>
  <si>
    <t>Mechanical &amp; Aerospace Engineering,Economics &amp; Econometrics,Architecture,General Engineering,Accounting &amp; Finance,Business &amp; Management,Computer Science,Chemical Engineering,Art, Performing Arts &amp; Design,Sport Science,Civil Engineering,Electrical &amp; Electronic Engineering,Chemistry</t>
  </si>
  <si>
    <t>Eastern Mediterranean University</t>
  </si>
  <si>
    <t>NCY</t>
  </si>
  <si>
    <t>Northern Cyprus</t>
  </si>
  <si>
    <t>/world-university-rankings/eastern-mediterranean-university</t>
  </si>
  <si>
    <t>Eastern Mediterranean University emu</t>
  </si>
  <si>
    <t>Economics &amp; Econometrics,Mechanical &amp; Aerospace Engineering,Chemistry,Biological Sciences,Communication &amp; Media Studies,Education,Art, Performing Arts &amp; Design,Business &amp; Management,Other Health,Sport Science,Languages, Literature &amp; Linguistics,Law,Physics &amp; Astronomy,Accounting &amp; Finance,Civil Engineering,Mathematics &amp; Statistics,Archaeology,Psychology,Electrical &amp; Electronic Engineering,Computer Science,Architecture,Medicine &amp; Dentistry,Politics &amp; International Studies (incl Development Studies)</t>
  </si>
  <si>
    <t>University of Klagenfurt</t>
  </si>
  <si>
    <t>/world-university-rankings/university-klagenfurt</t>
  </si>
  <si>
    <t>Mathematics &amp; Statistics,Business &amp; Management,Communication &amp; Media Studies,Languages, Literature &amp; Linguistics,Geography,Psychology,History, Philosophy &amp; Theology,Law,Economics &amp; Econometrics,Computer Science,Education,Electrical &amp; Electronic Engineering,Mechanical &amp; Aerospace Engineering</t>
  </si>
  <si>
    <t>University of Minho</t>
  </si>
  <si>
    <t>/world-university-rankings/university-minho</t>
  </si>
  <si>
    <t>Mechanical &amp; Aerospace Engineering,Medicine &amp; Dentistry,General Engineering,Chemistry,Accounting &amp; Finance,Civil Engineering,Architecture,History, Philosophy &amp; Theology,Chemical Engineering,Communication &amp; Media Studies,Education,Languages, Literature &amp; Linguistics,Electrical &amp; Electronic Engineering,Politics &amp; International Studies (incl Development Studies),Economics &amp; Econometrics,Mathematics &amp; Statistics,Law,Biological Sciences,Archaeology,Sociology,Other Health,Psychology,Art, Performing Arts &amp; Design,Computer Science,Physics &amp; Astronomy,Agriculture &amp; Forestry,Geography,Business &amp; Management,Geology, Environmental, Earth &amp; Marine Sciences</t>
  </si>
  <si>
    <t>Abo Akademi University</t>
  </si>
  <si>
    <t>Ã…bo Akademi University</t>
  </si>
  <si>
    <t>/world-university-rankings/abo-akademi-university</t>
  </si>
  <si>
    <t>Law,Languages, Literature &amp; Linguistics,Physics &amp; Astronomy,Accounting &amp; Finance,Computer Science,Communication &amp; Media Studies,Education,Chemical Engineering,Economics &amp; Econometrics,Mathematics &amp; Statistics,History, Philosophy &amp; Theology,Politics &amp; International Studies (incl Development Studies),Other Health,Geology, Environmental, Earth &amp; Marine Sciences,Sociology,Psychology,Biological Sciences,Business &amp; Management,Chemistry</t>
  </si>
  <si>
    <t>American University in Dubai</t>
  </si>
  <si>
    <t>/world-university-rankings/american-university-dubai</t>
  </si>
  <si>
    <t>Communication &amp; Media Studies,Psychology,Other Health,Education,Languages, Literature &amp; Linguistics,Mathematics &amp; Statistics,Business &amp; Management,Civil Engineering,Accounting &amp; Finance,General Engineering,Sociology,Mechanical &amp; Aerospace Engineering,Art, Performing Arts &amp; Design,Chemistry,History, Philosophy &amp; Theology,Biological Sciences,Economics &amp; Econometrics,Electrical &amp; Electronic Engineering,Politics &amp; International Studies (incl Development Studies),Architecture,Geography</t>
  </si>
  <si>
    <t xml:space="preserve">Charles Darwin University </t>
  </si>
  <si>
    <t>Charles Darwin University</t>
  </si>
  <si>
    <t>/world-university-rankings/charles-darwin-university</t>
  </si>
  <si>
    <t>Law,Agriculture &amp; Forestry,Sport Science,Medicine &amp; Dentistry,Communication &amp; Media Studies,Architecture,Languages, Literature &amp; Linguistics,Biological Sciences,Sociology,Business &amp; Management,Other Health,Electrical &amp; Electronic Engineering,Art, Performing Arts &amp; Design,Education,Civil Engineering,Accounting &amp; Finance,Computer Science,Politics &amp; International Studies (incl Development Studies),History, Philosophy &amp; Theology,Psychology,Mechanical &amp; Aerospace Engineering</t>
  </si>
  <si>
    <t>https://www.timeshighereducation.com/student/register-interest/aecc?utm_medium=thewebsite&amp;utm_campaign=cta-link&amp;utm_source=rankings&amp;iid=i-76387108</t>
  </si>
  <si>
    <t>711-720</t>
  </si>
  <si>
    <t>Istanbul University</t>
  </si>
  <si>
    <t>/world-university-rankings/istanbul-university</t>
  </si>
  <si>
    <t>Law,Archaeology,Art, Performing Arts &amp; Design,Business &amp; Management,Accounting &amp; Finance,Chemistry,Architecture,Physics &amp; Astronomy,Geology, Environmental, Earth &amp; Marine Sciences,Languages, Literature &amp; Linguistics,Geography,Psychology,Biological Sciences,Computer Science,History, Philosophy &amp; Theology,Sociology,Other Health,Economics &amp; Econometrics,Medicine &amp; Dentistry,Politics &amp; International Studies (incl Development Studies),Communication &amp; Media Studies,Mathematics &amp; Statistics</t>
  </si>
  <si>
    <t>University of South Florida</t>
  </si>
  <si>
    <t>/world-university-rankings/university-south-florida</t>
  </si>
  <si>
    <t>Civil Engineering,Education,Languages, Literature &amp; Linguistics,Electrical &amp; Electronic Engineering,Mathematics &amp; Statistics,Business &amp; Management,Computer Science,Communication &amp; Media Studies,Medicine &amp; Dentistry,Biological Sciences,Sociology,Other Health,Chemistry,Economics &amp; Econometrics,Architecture,Chemical Engineering,Politics &amp; International Studies (incl Development Studies),Psychology,General Engineering,Geology, Environmental, Earth &amp; Marine Sciences,Archaeology,Sport Science,Geography,Art, Performing Arts &amp; Design,Agriculture &amp; Forestry,History, Philosophy &amp; Theology,Mechanical &amp; Aerospace Engineering,Physics &amp; Astronomy,Accounting &amp; Finance</t>
  </si>
  <si>
    <t>Zayed University</t>
  </si>
  <si>
    <t>/world-university-rankings/zayed-university</t>
  </si>
  <si>
    <t>Education,Communication &amp; Media Studies,Politics &amp; International Studies (incl Development Studies),Other Health,Law,Psychology,Geology, Environmental, Earth &amp; Marine Sciences,Computer Science,Sociology,Accounting &amp; Finance,Art, Performing Arts &amp; Design,Business &amp; Management</t>
  </si>
  <si>
    <t>631-640</t>
  </si>
  <si>
    <t xml:space="preserve">Ajou University </t>
  </si>
  <si>
    <t>Ajou University</t>
  </si>
  <si>
    <t>/world-university-rankings/ajou-university</t>
  </si>
  <si>
    <t>Sport Science,Economics &amp; Econometrics,General Engineering,Psychology,Languages, Literature &amp; Linguistics,Civil Engineering,Communication &amp; Media Studies,Business &amp; Management,Computer Science,Mathematics &amp; Statistics,Archaeology,Agriculture &amp; Forestry,Politics &amp; International Studies (incl Development Studies),Other Health,Biological Sciences,Law,Architecture,Veterinary Science,Geography,Medicine &amp; Dentistry,Chemical Engineering,Sociology,History, Philosophy &amp; Theology,Physics &amp; Astronomy,Education,Chemistry,Mechanical &amp; Aerospace Engineering,Accounting &amp; Finance,Art, Performing Arts &amp; Design,Electrical &amp; Electronic Engineering,Geology, Environmental, Earth &amp; Marine Sciences</t>
  </si>
  <si>
    <t>Boston College</t>
  </si>
  <si>
    <t>/world-university-rankings/boston-college</t>
  </si>
  <si>
    <t>Business &amp; Management,Physics &amp; Astronomy,Sociology,Psychology,Medicine &amp; Dentistry,Languages, Literature &amp; Linguistics,Art, Performing Arts &amp; Design,Communication &amp; Media Studies,General Engineering,History, Philosophy &amp; Theology,Geology, Environmental, Earth &amp; Marine Sciences,Law,Biological Sciences,Computer Science,Education,Politics &amp; International Studies (incl Development Studies),Economics &amp; Econometrics,Chemistry,Mathematics &amp; Statistics,Accounting &amp; Finance</t>
  </si>
  <si>
    <t>https://www.timeshighereducation.com/student/register-interest/shorelight?utm_medium=thewebsite&amp;utm_campaign=cta-link&amp;utm_source=rankings&amp;iid=i-48283681</t>
  </si>
  <si>
    <t>Chang Gung University</t>
  </si>
  <si>
    <t>/world-university-rankings/chang-gung-university</t>
  </si>
  <si>
    <t>Chang Gung University chang gung</t>
  </si>
  <si>
    <t>Physics &amp; Astronomy,Art, Performing Arts &amp; Design,Business &amp; Management,Chemistry,General Engineering,Economics &amp; Econometrics,Mechanical &amp; Aerospace Engineering,Computer Science,Electrical &amp; Electronic Engineering,Accounting &amp; Finance,Biological Sciences,Mathematics &amp; Statistics,Medicine &amp; Dentistry,Chemical Engineering,Other Health</t>
  </si>
  <si>
    <t>Shenzhen University</t>
  </si>
  <si>
    <t>/world-university-rankings/shenzhen-university</t>
  </si>
  <si>
    <t>Shenzhen University SZU</t>
  </si>
  <si>
    <t>Law,Economics &amp; Econometrics,Chemical Engineering,History, Philosophy &amp; Theology,Business &amp; Management,Politics &amp; International Studies (incl Development Studies),Sport Science,Sociology,Chemistry,Art, Performing Arts &amp; Design,Medicine &amp; Dentistry,Physics &amp; Astronomy,Accounting &amp; Finance,Communication &amp; Media Studies,General Engineering,Languages, Literature &amp; Linguistics,Mathematics &amp; Statistics,Education,Computer Science,Civil Engineering,Geology, Environmental, Earth &amp; Marine Sciences,Electrical &amp; Electronic Engineering,Architecture,Other Health,Biological Sciences,Psychology,Mechanical &amp; Aerospace Engineering</t>
  </si>
  <si>
    <t>Far Eastern Federal University</t>
  </si>
  <si>
    <t>/world-university-rankings/far-eastern-federal-university</t>
  </si>
  <si>
    <t>Politics &amp; International Studies (incl Development Studies),History, Philosophy &amp; Theology,Computer Science,Mathematics &amp; Statistics,Education,Geography,Other Health,Medicine &amp; Dentistry,Business &amp; Management,Mechanical &amp; Aerospace Engineering,Languages, Literature &amp; Linguistics,Agriculture &amp; Forestry,Accounting &amp; Finance,Psychology,Civil Engineering,Architecture,Physics &amp; Astronomy,Electrical &amp; Electronic Engineering,Art, Performing Arts &amp; Design,Chemistry,Archaeology,Sport Science,Economics &amp; Econometrics,Law,Geology, Environmental, Earth &amp; Marine Sciences,General Engineering,Biological Sciences,Sociology,Communication &amp; Media Studies,Chemical Engineering</t>
  </si>
  <si>
    <t>Inha University</t>
  </si>
  <si>
    <t>/world-university-rankings/inha-university</t>
  </si>
  <si>
    <t>General Engineering,Sport Science,Architecture,Biological Sciences,Accounting &amp; Finance,Electrical &amp; Electronic Engineering,Communication &amp; Media Studies,History, Philosophy &amp; Theology,Physics &amp; Astronomy,Economics &amp; Econometrics,Art, Performing Arts &amp; Design,Mechanical &amp; Aerospace Engineering,Politics &amp; International Studies (incl Development Studies),Languages, Literature &amp; Linguistics,Chemical Engineering,Business &amp; Management,Archaeology,Mathematics &amp; Statistics,Education,Other Health,Chemistry,Computer Science,Geology, Environmental, Earth &amp; Marine Sciences,Psychology,Medicine &amp; Dentistry,Civil Engineering,Law</t>
  </si>
  <si>
    <t>Savitribai Phule Pune University</t>
  </si>
  <si>
    <t>/world-university-rankings/savitribai-phule-pune-university</t>
  </si>
  <si>
    <t>Accounting &amp; Finance,Biological Sciences,Geography,Art, Performing Arts &amp; Design,Chemistry,Education,Politics &amp; International Studies (incl Development Studies),Physics &amp; Astronomy,Law,Geology, Environmental, Earth &amp; Marine Sciences,Economics &amp; Econometrics,Business &amp; Management,Communication &amp; Media Studies,History, Philosophy &amp; Theology,Languages, Literature &amp; Linguistics,Sociology,Mathematics &amp; Statistics,Psychology,Other Health,Sport Science,Computer Science</t>
  </si>
  <si>
    <t>Tulane University</t>
  </si>
  <si>
    <t>/world-university-rankings/tulane-university</t>
  </si>
  <si>
    <t>Architecture,Chemical Engineering,Education,Computer Science,Communication &amp; Media Studies,Accounting &amp; Finance,Physics &amp; Astronomy,Economics &amp; Econometrics,Other Health,Chemistry,Psychology,General Engineering,Geology, Environmental, Earth &amp; Marine Sciences,Art, Performing Arts &amp; Design,Agriculture &amp; Forestry,Law,History, Philosophy &amp; Theology,Sport Science,Medicine &amp; Dentistry,Mathematics &amp; Statistics,Sociology,Languages, Literature &amp; Linguistics,Biological Sciences,Business &amp; Management,Mechanical &amp; Aerospace Engineering,Politics &amp; International Studies (incl Development Studies)</t>
  </si>
  <si>
    <t>https://www.timeshighereducation.com/student/register-interest/shorelight?utm_medium=thewebsite&amp;utm_campaign=cta-link&amp;utm_source=rankings&amp;iid=i-04338708</t>
  </si>
  <si>
    <t>University of Portsmouth</t>
  </si>
  <si>
    <t>/world-university-rankings/university-portsmouth</t>
  </si>
  <si>
    <t>Medicine &amp; Dentistry,Sport Science,Computer Science,Physics &amp; Astronomy,Psychology,Art, Performing Arts &amp; Design,Biological Sciences,Education,Mechanical &amp; Aerospace Engineering,Politics &amp; International Studies (incl Development Studies),Languages, Literature &amp; Linguistics,Chemical Engineering,Law,Other Health,Geology, Environmental, Earth &amp; Marine Sciences,Accounting &amp; Finance,Architecture,Mathematics &amp; Statistics,Economics &amp; Econometrics,General Engineering,Communication &amp; Media Studies,Business &amp; Management,Electrical &amp; Electronic Engineering,Sociology,History, Philosophy &amp; Theology,Civil Engineering,Geography</t>
  </si>
  <si>
    <t>https://www.timeshighereducation.com/student/register-interest/siuk?utm_medium=thewebsite&amp;utm_campaign=cta-link&amp;utm_source=rankings&amp;iid=i-40952633</t>
  </si>
  <si>
    <t xml:space="preserve">Beirut Arab University </t>
  </si>
  <si>
    <t>Beirut Arab University</t>
  </si>
  <si>
    <t>/world-university-rankings/beirut-arab-university</t>
  </si>
  <si>
    <t>Computer Science,Mathematics &amp; Statistics,Law,Languages, Literature &amp; Linguistics,Other Health,Chemistry,Geography,Architecture,Agriculture &amp; Forestry,Physics &amp; Astronomy,Civil Engineering,Veterinary Science,General Engineering,Communication &amp; Media Studies,Business &amp; Management,Electrical &amp; Electronic Engineering,Geology, Environmental, Earth &amp; Marine Sciences,Chemical Engineering,Politics &amp; International Studies (incl Development Studies),Accounting &amp; Finance,History, Philosophy &amp; Theology,Medicine &amp; Dentistry,Sociology,Psychology,Mechanical &amp; Aerospace Engineering,Biological Sciences,Economics &amp; Econometrics,Art, Performing Arts &amp; Design,Archaeology,Sport Science,Education</t>
  </si>
  <si>
    <t>De La Salle University</t>
  </si>
  <si>
    <t>/world-university-rankings/de-la-salle-university</t>
  </si>
  <si>
    <t>De La Salle University DLSU DeLaSalle</t>
  </si>
  <si>
    <t>Chemistry,Electrical &amp; Electronic Engineering,Business &amp; Management,Sociology,Physics &amp; Astronomy,Economics &amp; Econometrics,Psychology,Politics &amp; International Studies (incl Development Studies),Languages, Literature &amp; Linguistics,Chemical Engineering,Computer Science,Communication &amp; Media Studies,General Engineering,Mechanical &amp; Aerospace Engineering,Accounting &amp; Finance,History, Philosophy &amp; Theology,Biological Sciences,Civil Engineering,Education,Mathematics &amp; Statistics,Law</t>
  </si>
  <si>
    <t>Northwestern Polytechnical University</t>
  </si>
  <si>
    <t>/world-university-rankings/northwestern-polytechnical-university</t>
  </si>
  <si>
    <t>General Engineering,Geology, Environmental, Earth &amp; Marine Sciences,Chemical Engineering,Accounting &amp; Finance,Languages, Literature &amp; Linguistics,Mathematics &amp; Statistics,Economics &amp; Econometrics,Art, Performing Arts &amp; Design,Civil Engineering,Business &amp; Management,Architecture,Sport Science,Medicine &amp; Dentistry,Physics &amp; Astronomy,Computer Science,Chemistry,Electrical &amp; Electronic Engineering,Education,Mechanical &amp; Aerospace Engineering,Law,Biological Sciences,Politics &amp; International Studies (incl Development Studies)</t>
  </si>
  <si>
    <t xml:space="preserve">Hacettepe University </t>
  </si>
  <si>
    <t>Hacettepe University</t>
  </si>
  <si>
    <t>/world-university-rankings/hacettepe-university</t>
  </si>
  <si>
    <t>Archaeology,Geology, Environmental, Earth &amp; Marine Sciences,Business &amp; Management,General Engineering,Electrical &amp; Electronic Engineering,Mathematics &amp; Statistics,Law,Computer Science,Art, Performing Arts &amp; Design,Biological Sciences,Chemistry,Education,Other Health,Languages, Literature &amp; Linguistics,Civil Engineering,Communication &amp; Media Studies,Psychology,Medicine &amp; Dentistry,Physics &amp; Astronomy,Sociology,History, Philosophy &amp; Theology,Mechanical &amp; Aerospace Engineering,Sport Science,Economics &amp; Econometrics,Architecture,Chemical Engineering,Politics &amp; International Studies (incl Development Studies),Accounting &amp; Finance</t>
  </si>
  <si>
    <t>Lehigh University</t>
  </si>
  <si>
    <t>/world-university-rankings/lehigh-university</t>
  </si>
  <si>
    <t>Chemical Engineering,Physics &amp; Astronomy,Languages, Literature &amp; Linguistics,Agriculture &amp; Forestry,Business &amp; Management,Accounting &amp; Finance,History, Philosophy &amp; Theology,Sociology,Economics &amp; Econometrics,Civil Engineering,Biological Sciences,Psychology,Mechanical &amp; Aerospace Engineering,Education,Art, Performing Arts &amp; Design,Computer Science,Politics &amp; International Studies (incl Development Studies),General Engineering,Communication &amp; Media Studies,Architecture,Mathematics &amp; Statistics,Other Health,Chemistry,Electrical &amp; Electronic Engineering,Geology, Environmental, Earth &amp; Marine Sciences</t>
  </si>
  <si>
    <t>https://www.timeshighereducation.com/student/register-interest/shorelight?utm_medium=thewebsite&amp;utm_campaign=cta-link&amp;utm_source=rankings&amp;iid=i-16717372</t>
  </si>
  <si>
    <t>National Central University</t>
  </si>
  <si>
    <t>/world-university-rankings/national-central-university</t>
  </si>
  <si>
    <t>Mechanical &amp; Aerospace Engineering,Chemistry,Education,Physics &amp; Astronomy,Psychology,Biological Sciences,Civil Engineering,Sociology,Accounting &amp; Finance,Mathematics &amp; Statistics,Business &amp; Management,Geography,Archaeology,Economics &amp; Econometrics,Electrical &amp; Electronic Engineering,Geology, Environmental, Earth &amp; Marine Sciences,General Engineering,Communication &amp; Media Studies,Languages, Literature &amp; Linguistics,Art, Performing Arts &amp; Design,Architecture,Veterinary Science,Agriculture &amp; Forestry,Law,Politics &amp; International Studies (incl Development Studies),History, Philosophy &amp; Theology,Computer Science,Medicine &amp; Dentistry,Other Health,Chemical Engineering</t>
  </si>
  <si>
    <t>Ritsumeikan University</t>
  </si>
  <si>
    <t>/world-university-rankings/ritsumeikan-university</t>
  </si>
  <si>
    <t>General Engineering,Sport Science,Architecture,Civil Engineering,Politics &amp; International Studies (incl Development Studies),Other Health,Geology, Environmental, Earth &amp; Marine Sciences,Accounting &amp; Finance,Art, Performing Arts &amp; Design,Agriculture &amp; Forestry,Law,Computer Science,Chemistry,Business &amp; Management,History, Philosophy &amp; Theology,Physics &amp; Astronomy,Education,Electrical &amp; Electronic Engineering,Mathematics &amp; Statistics,Psychology,Languages, Literature &amp; Linguistics,Biological Sciences,Communication &amp; Media Studies,Mechanical &amp; Aerospace Engineering,Sociology,Archaeology,Chemical Engineering,Geography,Economics &amp; Econometrics</t>
  </si>
  <si>
    <t>East China Normal University</t>
  </si>
  <si>
    <t>/world-university-rankings/east-china-normal-university</t>
  </si>
  <si>
    <t>East China Normal University ecnu</t>
  </si>
  <si>
    <t>Languages, Literature &amp; Linguistics,Mathematics &amp; Statistics,Psychology,Education,Physics &amp; Astronomy,Law,Computer Science,Art, Performing Arts &amp; Design,Sociology,Sport Science,Politics &amp; International Studies (incl Development Studies),Economics &amp; Econometrics,Other Health,Chemistry,Communication &amp; Media Studies,Business &amp; Management,Biological Sciences,Electrical &amp; Electronic Engineering,Accounting &amp; Finance,Medicine &amp; Dentistry,Geography,Geology, Environmental, Earth &amp; Marine Sciences,History, Philosophy &amp; Theology</t>
  </si>
  <si>
    <t>Universiti Tenaga Nasional (UNITEN)</t>
  </si>
  <si>
    <t>/world-university-rankings/universiti-tenaga-nasional-uniten</t>
  </si>
  <si>
    <t>General Engineering,Accounting &amp; Finance,Civil Engineering,Business &amp; Management,Electrical &amp; Electronic Engineering,Computer Science,Mechanical &amp; Aerospace Engineering,Economics &amp; Econometrics</t>
  </si>
  <si>
    <t>University of the Basque Country</t>
  </si>
  <si>
    <t>/world-university-rankings/university-basque-country</t>
  </si>
  <si>
    <t>Business &amp; Management,Other Health,Computer Science,Archaeology,Accounting &amp; Finance,Languages, Literature &amp; Linguistics,Civil Engineering,Geography,Mechanical &amp; Aerospace Engineering,Politics &amp; International Studies (incl Development Studies),Electrical &amp; Electronic Engineering,Physics &amp; Astronomy,Art, Performing Arts &amp; Design,Economics &amp; Econometrics,History, Philosophy &amp; Theology,Mathematics &amp; Statistics,Biological Sciences,Education,Communication &amp; Media Studies,Chemical Engineering,Law,Sociology,General Engineering,Architecture,Sport Science,Medicine &amp; Dentistry,Psychology,Geology, Environmental, Earth &amp; Marine Sciences,Chemistry</t>
  </si>
  <si>
    <t>PalackÃ½ University Olomouc</t>
  </si>
  <si>
    <t>/world-university-rankings/palacky-university-olomouc</t>
  </si>
  <si>
    <t>Politics &amp; International Studies (incl Development Studies),Communication &amp; Media Studies,Computer Science,Languages, Literature &amp; Linguistics,Law,Economics &amp; Econometrics,Sport Science,History, Philosophy &amp; Theology,Medicine &amp; Dentistry,Chemistry,Business &amp; Management,Archaeology,Biological Sciences,Other Health,Geography,Geology, Environmental, Earth &amp; Marine Sciences,General Engineering,Physics &amp; Astronomy,Psychology,Art, Performing Arts &amp; Design,Sociology,Mathematics &amp; Statistics,Education</t>
  </si>
  <si>
    <t>University of Houston</t>
  </si>
  <si>
    <t>/world-university-rankings/university-houston</t>
  </si>
  <si>
    <t>Languages, Literature &amp; Linguistics,Mechanical &amp; Aerospace Engineering,Geology, Environmental, Earth &amp; Marine Sciences,Art, Performing Arts &amp; Design,Chemical Engineering,Geography,History, Philosophy &amp; Theology,Biological Sciences,Education,Computer Science,Mathematics &amp; Statistics,Business &amp; Management,Electrical &amp; Electronic Engineering,Politics &amp; International Studies (incl Development Studies),Architecture,Sport Science,Sociology,Civil Engineering,Law,Other Health,Physics &amp; Astronomy,Economics &amp; Econometrics,Medicine &amp; Dentistry,Chemistry,Accounting &amp; Finance,General Engineering,Communication &amp; Media Studies,Psychology</t>
  </si>
  <si>
    <t>https://www.timeshighereducation.com/student/register-interest/shorelight?utm_medium=thewebsite&amp;utm_campaign=cta-link&amp;utm_source=rankings&amp;iid=i-22783831</t>
  </si>
  <si>
    <t>751-760</t>
  </si>
  <si>
    <t>University of Zagreb</t>
  </si>
  <si>
    <t>HR</t>
  </si>
  <si>
    <t>Croatia</t>
  </si>
  <si>
    <t>/world-university-rankings/university-zagreb</t>
  </si>
  <si>
    <t>Architecture,Chemical Engineering,Sociology,General Engineering,Physics &amp; Astronomy,Medicine &amp; Dentistry,Veterinary Science,Law,Archaeology,Biological Sciences,Geography,Other Health,Sport Science,Education,Electrical &amp; Electronic Engineering,Chemistry,Business &amp; Management,Accounting &amp; Finance,Languages, Literature &amp; Linguistics,Civil Engineering,Communication &amp; Media Studies,Art, Performing Arts &amp; Design,Mechanical &amp; Aerospace Engineering,Geology, Environmental, Earth &amp; Marine Sciences,Economics &amp; Econometrics,History, Philosophy &amp; Theology,Agriculture &amp; Forestry,Politics &amp; International Studies (incl Development Studies),Computer Science,Mathematics &amp; Statistics,Psychology</t>
  </si>
  <si>
    <t>Aberystwyth University</t>
  </si>
  <si>
    <t>/world-university-rankings/aberystwyth-university</t>
  </si>
  <si>
    <t>Economics &amp; Econometrics,Communication &amp; Media Studies,Electrical &amp; Electronic Engineering,Sport Science,Education,History, Philosophy &amp; Theology,Law,Business &amp; Management,Mathematics &amp; Statistics,Veterinary Science,Biological Sciences,Accounting &amp; Finance,Physics &amp; Astronomy,Sociology,Agriculture &amp; Forestry,Politics &amp; International Studies (incl Development Studies),Geography,Other Health,Geology, Environmental, Earth &amp; Marine Sciences,Computer Science,Art, Performing Arts &amp; Design,Languages, Literature &amp; Linguistics,Psychology</t>
  </si>
  <si>
    <t>https://www.timeshighereducation.com/student/register-interest/siuk?utm_medium=thewebsite&amp;utm_campaign=cta-link&amp;utm_source=rankings&amp;iid=i-97330263</t>
  </si>
  <si>
    <t>Comenius University Bratislava</t>
  </si>
  <si>
    <t>SK</t>
  </si>
  <si>
    <t>Slovakia</t>
  </si>
  <si>
    <t>Comenius University in Bratislava</t>
  </si>
  <si>
    <t>/world-university-rankings/comenius-university-bratislava</t>
  </si>
  <si>
    <t>Archaeology,Politics &amp; International Studies (incl Development Studies),Psychology,History, Philosophy &amp; Theology,Physics &amp; Astronomy,Other Health,Sociology,Mathematics &amp; Statistics,Biological Sciences,Law,Medicine &amp; Dentistry,Geography,Business &amp; Management,Computer Science,Geology, Environmental, Earth &amp; Marine Sciences,Education,Communication &amp; Media Studies,Languages, Literature &amp; Linguistics,Sport Science,Chemistry</t>
  </si>
  <si>
    <t>Free University of Bozen-Bolzano</t>
  </si>
  <si>
    <t>/world-university-rankings/free-university-bozen-bolzano</t>
  </si>
  <si>
    <t>Computer Science,Business &amp; Management,Economics &amp; Econometrics,Communication &amp; Media Studies,Electrical &amp; Electronic Engineering,General Engineering,Agriculture &amp; Forestry,Accounting &amp; Finance,Education,Languages, Literature &amp; Linguistics,Art, Performing Arts &amp; Design</t>
  </si>
  <si>
    <t>Memorial University of Newfoundland</t>
  </si>
  <si>
    <t>/world-university-rankings/memorial-university-newfoundland</t>
  </si>
  <si>
    <t>Computer Science,Politics &amp; International Studies (incl Development Studies),Accounting &amp; Finance,General Engineering,Mathematics &amp; Statistics,Psychology,Art, Performing Arts &amp; Design,History, Philosophy &amp; Theology,Sport Science,Mechanical &amp; Aerospace Engineering,Communication &amp; Media Studies,Economics &amp; Econometrics,Chemical Engineering,Geography,Medicine &amp; Dentistry,Biological Sciences,Education,Electrical &amp; Electronic Engineering,Chemistry,Archaeology,Geology, Environmental, Earth &amp; Marine Sciences,Languages, Literature &amp; Linguistics,Civil Engineering,Sociology,Business &amp; Management,Other Health,Physics &amp; Astronomy</t>
  </si>
  <si>
    <t>National Chung Hsing University</t>
  </si>
  <si>
    <t>/world-university-rankings/national-chung-hsing-university</t>
  </si>
  <si>
    <t>National Chung Hsing University NCHU Taiwan Zhong Xing</t>
  </si>
  <si>
    <t>Chemistry,Veterinary Science,Economics &amp; Econometrics,Business &amp; Management,Other Health,Medicine &amp; Dentistry,Biological Sciences,Geology, Environmental, Earth &amp; Marine Sciences,Mathematics &amp; Statistics,Sport Science,Communication &amp; Media Studies,History, Philosophy &amp; Theology,Computer Science,Civil Engineering,Electrical &amp; Electronic Engineering,Accounting &amp; Finance,Chemical Engineering,Sociology,Languages, Literature &amp; Linguistics,Mechanical &amp; Aerospace Engineering,General Engineering,Law,Physics &amp; Astronomy,Education,Agriculture &amp; Forestry,Politics &amp; International Studies (incl Development Studies)</t>
  </si>
  <si>
    <t>Tokyo Medical and Dental University (TMDU)</t>
  </si>
  <si>
    <t>/world-university-rankings/tokyo-medical-and-dental-university-tmdu</t>
  </si>
  <si>
    <t>History, Philosophy &amp; Theology,Sport Science,Archaeology,Architecture,Biological Sciences,Sociology,Other Health,Geology, Environmental, Earth &amp; Marine Sciences,Chemistry,Mechanical &amp; Aerospace Engineering,Computer Science,Veterinary Science,Business &amp; Management,Communication &amp; Media Studies,Education,Art, Performing Arts &amp; Design,Languages, Literature &amp; Linguistics,Civil Engineering,Law,Accounting &amp; Finance,Agriculture &amp; Forestry,Politics &amp; International Studies (incl Development Studies),Electrical &amp; Electronic Engineering,General Engineering,Psychology,Mathematics &amp; Statistics,Geography,Medicine &amp; Dentistry,Chemical Engineering,Economics &amp; Econometrics,Physics &amp; Astronomy</t>
  </si>
  <si>
    <t>University of Manitoba</t>
  </si>
  <si>
    <t>/world-university-rankings/university-manitoba</t>
  </si>
  <si>
    <t>Mechanical &amp; Aerospace Engineering,Geography,Medicine &amp; Dentistry,Biological Sciences,Psychology,Art, Performing Arts &amp; Design,Computer Science,Physics &amp; Astronomy,Economics &amp; Econometrics,Architecture,Sport Science,Law,History, Philosophy &amp; Theology,Agriculture &amp; Forestry,Sociology,Archaeology,Civil Engineering,Education,General Engineering,Geology, Environmental, Earth &amp; Marine Sciences,Accounting &amp; Finance,Electrical &amp; Electronic Engineering,Chemistry,Languages, Literature &amp; Linguistics,Chemical Engineering,Politics &amp; International Studies (incl Development Studies),Other Health,Mathematics &amp; Statistics,Business &amp; Management</t>
  </si>
  <si>
    <t>https://www.timeshighereducation.com/student/register-interest/applyboard?utm_medium=thewebsite&amp;utm_campaign=cta-link&amp;utm_source=rankings&amp;iid=i-35304783</t>
  </si>
  <si>
    <t>University of Plymouth</t>
  </si>
  <si>
    <t>/world-university-rankings/university-plymouth</t>
  </si>
  <si>
    <t>Electrical &amp; Electronic Engineering,Law,Other Health,Communication &amp; Media Studies,Languages, Literature &amp; Linguistics,Computer Science,Geography,Mechanical &amp; Aerospace Engineering,Psychology,Geology, Environmental, Earth &amp; Marine Sciences,Economics &amp; Econometrics,Civil Engineering,Accounting &amp; Finance,Art, Performing Arts &amp; Design,Mathematics &amp; Statistics,Sociology,Medicine &amp; Dentistry,Politics &amp; International Studies (incl Development Studies),Architecture,Biological Sciences,Business &amp; Management,History, Philosophy &amp; Theology,Chemistry,Education</t>
  </si>
  <si>
    <t>https://www.timeshighereducation.com/student/register-interest/siuk?utm_medium=thewebsite&amp;utm_campaign=cta-link&amp;utm_source=rankings&amp;iid=i-23101933</t>
  </si>
  <si>
    <t>Bar-Ilan University</t>
  </si>
  <si>
    <t>/world-university-rankings/bar-ilan-university</t>
  </si>
  <si>
    <t>Medicine &amp; Dentistry,Communication &amp; Media Studies,Electrical &amp; Electronic Engineering,Mechanical &amp; Aerospace Engineering,Sport Science,General Engineering,Computer Science,Economics &amp; Econometrics,Law,Civil Engineering,Chemistry,History, Philosophy &amp; Theology,Art, Performing Arts &amp; Design,Languages, Literature &amp; Linguistics,Geology, Environmental, Earth &amp; Marine Sciences,Other Health,Politics &amp; International Studies (incl Development Studies),Biological Sciences,Agriculture &amp; Forestry,Geography,Accounting &amp; Finance,Education,Sociology,Physics &amp; Astronomy,Architecture,Mathematics &amp; Statistics,Veterinary Science,Archaeology,Business &amp; Management,Psychology,Chemical Engineering</t>
  </si>
  <si>
    <t>University of Haifa</t>
  </si>
  <si>
    <t>/world-university-rankings/university-haifa</t>
  </si>
  <si>
    <t>Accounting &amp; Finance,Languages, Literature &amp; Linguistics,History, Philosophy &amp; Theology,Sociology,Art, Performing Arts &amp; Design,Law,Economics &amp; Econometrics,Other Health,Geology, Environmental, Earth &amp; Marine Sciences,Mathematics &amp; Statistics,Business &amp; Management,Biological Sciences,Psychology,Archaeology,Communication &amp; Media Studies,Politics &amp; International Studies (incl Development Studies),Geography,Physics &amp; Astronomy,Education,Computer Science</t>
  </si>
  <si>
    <t>Goldsmiths, University of London</t>
  </si>
  <si>
    <t>/world-university-rankings/goldsmiths-university-london</t>
  </si>
  <si>
    <t>Law,History, Philosophy &amp; Theology,Education,Art, Performing Arts &amp; Design,Psychology,Computer Science,Economics &amp; Econometrics,Communication &amp; Media Studies,Languages, Literature &amp; Linguistics,Business &amp; Management,Politics &amp; International Studies (incl Development Studies),Other Health,Sociology</t>
  </si>
  <si>
    <t>https://www.timeshighereducation.com/student/register-interest/siuk?utm_medium=thewebsite&amp;utm_campaign=cta-link&amp;utm_source=rankings&amp;iid=i-30966193</t>
  </si>
  <si>
    <t>Jeonbuk National University</t>
  </si>
  <si>
    <t>/world-university-rankings/jeonbuk-national-university</t>
  </si>
  <si>
    <t>Jeonbuk National University Chonbuk CBNU</t>
  </si>
  <si>
    <t>Languages, Literature &amp; Linguistics,Agriculture &amp; Forestry,Physics &amp; Astronomy,Business &amp; Management,Veterinary Science,Geography,Other Health,Electrical &amp; Electronic Engineering,Geology, Environmental, Earth &amp; Marine Sciences,Accounting &amp; Finance,General Engineering,Chemistry,Psychology,Art, Performing Arts &amp; Design,Biological Sciences,Education,Architecture,Mechanical &amp; Aerospace Engineering,Sociology,History, Philosophy &amp; Theology,Sport Science,Law,Archaeology,Civil Engineering,Politics &amp; International Studies (incl Development Studies),Computer Science,Mathematics &amp; Statistics,Medicine &amp; Dentistry,Chemical Engineering,Communication &amp; Media Studies,Economics &amp; Econometrics</t>
  </si>
  <si>
    <t>Princess Nourah bint Abdulrahman University</t>
  </si>
  <si>
    <t>/world-university-rankings/princess-nourah-bint-abdulrahman-university</t>
  </si>
  <si>
    <t>Archaeology,Economics &amp; Econometrics,Education,Electrical &amp; Electronic Engineering,Biological Sciences,Geology, Environmental, Earth &amp; Marine Sciences,Mathematics &amp; Statistics,Other Health,Politics &amp; International Studies (incl Development Studies),Communication &amp; Media Studies,Sociology,Accounting &amp; Finance,Law,Chemical Engineering,Art, Performing Arts &amp; Design,Civil Engineering,Veterinary Science,Geography,General Engineering,Languages, Literature &amp; Linguistics,Business &amp; Management,Mechanical &amp; Aerospace Engineering,Computer Science,History, Philosophy &amp; Theology,Agriculture &amp; Forestry,Physics &amp; Astronomy,Medicine &amp; Dentistry,Chemistry,Psychology,Sport Science</t>
  </si>
  <si>
    <t>Temple University</t>
  </si>
  <si>
    <t>/world-university-rankings/temple-university</t>
  </si>
  <si>
    <t>Computer Science,Mechanical &amp; Aerospace Engineering,Politics &amp; International Studies (incl Development Studies),Architecture,Communication &amp; Media Studies,Psychology,Mathematics &amp; Statistics,Education,Other Health,Biological Sciences,Business &amp; Management,History, Philosophy &amp; Theology,Chemistry,Sociology,Art, Performing Arts &amp; Design,Sport Science,Law,Medicine &amp; Dentistry,Geology, Environmental, Earth &amp; Marine Sciences,Electrical &amp; Electronic Engineering,Agriculture &amp; Forestry,General Engineering,Civil Engineering,Geography,Economics &amp; Econometrics,Languages, Literature &amp; Linguistics,Physics &amp; Astronomy,Accounting &amp; Finance</t>
  </si>
  <si>
    <t>https://www.timeshighereducation.com/student/register-interest/shorelight?utm_medium=thewebsite&amp;utm_campaign=cta-link&amp;utm_source=rankings&amp;iid=i-39481752</t>
  </si>
  <si>
    <t>Norwegian University of Life Sciences (UMB)</t>
  </si>
  <si>
    <t>Norwegian University of Life Sciences</t>
  </si>
  <si>
    <t>/world-university-rankings/norwegian-university-life-sciences</t>
  </si>
  <si>
    <t>Physics &amp; Astronomy,Mechanical &amp; Aerospace Engineering,Business &amp; Management,Mathematics &amp; Statistics,Agriculture &amp; Forestry,Accounting &amp; Finance,Veterinary Science,Architecture,Education,General Engineering,Politics &amp; International Studies (incl Development Studies),Biological Sciences,Geology, Environmental, Earth &amp; Marine Sciences,Chemistry,Civil Engineering,Economics &amp; Econometrics</t>
  </si>
  <si>
    <t>Shiraz University</t>
  </si>
  <si>
    <t>/world-university-rankings/shiraz-university</t>
  </si>
  <si>
    <t>Electrical &amp; Electronic Engineering,Sport Science,Politics &amp; International Studies (incl Development Studies),Physics &amp; Astronomy,Communication &amp; Media Studies,Computer Science,Chemistry,Economics &amp; Econometrics,Agriculture &amp; Forestry,Law,Languages, Literature &amp; Linguistics,Biological Sciences,Education,Art, Performing Arts &amp; Design,Chemical Engineering,Geography,General Engineering,Mechanical &amp; Aerospace Engineering,Geology, Environmental, Earth &amp; Marine Sciences,Accounting &amp; Finance,Architecture,Veterinary Science,Sociology,History, Philosophy &amp; Theology,Mathematics &amp; Statistics,Psychology,Archaeology,Civil Engineering,Business &amp; Management</t>
  </si>
  <si>
    <t>Universidad Panamericana (UP)</t>
  </si>
  <si>
    <t>MX</t>
  </si>
  <si>
    <t>Mexico</t>
  </si>
  <si>
    <t>/world-university-rankings/universidad-panamericana</t>
  </si>
  <si>
    <t>Architecture,Computer Science,Communication &amp; Media Studies,Education,Medicine &amp; Dentistry,History, Philosophy &amp; Theology,Business &amp; Management,Mechanical &amp; Aerospace Engineering,Economics &amp; Econometrics,Psychology,Electrical &amp; Electronic Engineering,General Engineering,Other Health,Civil Engineering,Politics &amp; International Studies (incl Development Studies),Mathematics &amp; Statistics,Accounting &amp; Finance,Art, Performing Arts &amp; Design,Sociology,Law</t>
  </si>
  <si>
    <t xml:space="preserve">Universidade Federal do Rio Grande Do Sul </t>
  </si>
  <si>
    <t>BR</t>
  </si>
  <si>
    <t>Brazil</t>
  </si>
  <si>
    <t>Universidade Federal do Rio Grande do Sul</t>
  </si>
  <si>
    <t>/world-university-rankings/universidade-federal-do-rio-grande-do-sul</t>
  </si>
  <si>
    <t>Medicine &amp; Dentistry,Veterinary Science,Geology, Environmental, Earth &amp; Marine Sciences,Civil Engineering,Sociology,Other Health,Biological Sciences,Law,Art, Performing Arts &amp; Design,Computer Science,Mathematics &amp; Statistics,Education,General Engineering,Politics &amp; International Studies (incl Development Studies),Electrical &amp; Electronic Engineering,Physics &amp; Astronomy,Psychology,Languages, Literature &amp; Linguistics,Chemical Engineering,Chemistry,Accounting &amp; Finance,Architecture,Sport Science,Business &amp; Management,History, Philosophy &amp; Theology,Agriculture &amp; Forestry,Communication &amp; Media Studies,Mechanical &amp; Aerospace Engineering,Geography,Economics &amp; Econometrics</t>
  </si>
  <si>
    <t>791-800</t>
  </si>
  <si>
    <t>University of Brescia</t>
  </si>
  <si>
    <t>/world-university-rankings/university-brescia</t>
  </si>
  <si>
    <t>Business &amp; Management,Mechanical &amp; Aerospace Engineering,Computer Science,Economics &amp; Econometrics,Civil Engineering,Chemical Engineering,Accounting &amp; Finance,Other Health,Architecture,Medicine &amp; Dentistry,Sport Science,Law,Electrical &amp; Electronic Engineering,Politics &amp; International Studies (incl Development Studies),General Engineering,Agriculture &amp; Forestry,Biological Sciences</t>
  </si>
  <si>
    <t>University of Greenwich</t>
  </si>
  <si>
    <t>/world-university-rankings/university-greenwich</t>
  </si>
  <si>
    <t>Computer Science,Education,Accounting &amp; Finance,Mathematics &amp; Statistics,General Engineering,Languages, Literature &amp; Linguistics,Architecture,Law,Chemistry,Chemical Engineering,Civil Engineering,Biological Sciences,Sociology,Politics &amp; International Studies (incl Development Studies),Agriculture &amp; Forestry,Other Health,Psychology,Communication &amp; Media Studies,Economics &amp; Econometrics,Veterinary Science,Business &amp; Management,Mechanical &amp; Aerospace Engineering,Electrical &amp; Electronic Engineering,Geology, Environmental, Earth &amp; Marine Sciences,History, Philosophy &amp; Theology,Sport Science,Art, Performing Arts &amp; Design</t>
  </si>
  <si>
    <t>https://www.timeshighereducation.com/student/register-interest/siuk?utm_medium=thewebsite&amp;utm_campaign=cta-link&amp;utm_source=rankings&amp;iid=i-51279343</t>
  </si>
  <si>
    <t>University of Siena</t>
  </si>
  <si>
    <t>/world-university-rankings/university-siena</t>
  </si>
  <si>
    <t>Electrical &amp; Electronic Engineering,Geography,Archaeology,Biological Sciences,Business &amp; Management,Other Health,Physics &amp; Astronomy,Economics &amp; Econometrics,Computer Science,Politics &amp; International Studies (incl Development Studies),Mathematics &amp; Statistics,Education,Medicine &amp; Dentistry,Communication &amp; Media Studies,General Engineering,Sociology,Languages, Literature &amp; Linguistics,Chemistry,Art, Performing Arts &amp; Design,Geology, Environmental, Earth &amp; Marine Sciences,Accounting &amp; Finance,History, Philosophy &amp; Theology,Agriculture &amp; Forestry,Law</t>
  </si>
  <si>
    <t>Lebanese American University</t>
  </si>
  <si>
    <t>/world-university-rankings/lebanese-american-university</t>
  </si>
  <si>
    <t>Communication &amp; Media Studies,Politics &amp; International Studies (incl Development Studies),Mathematics &amp; Statistics,Psychology,Medicine &amp; Dentistry,Chemical Engineering,General Engineering,Biological Sciences,Civil Engineering,Chemistry,Economics &amp; Econometrics,Physics &amp; Astronomy,History, Philosophy &amp; Theology,Education,Mechanical &amp; Aerospace Engineering,Sociology,Business &amp; Management,Accounting &amp; Finance,Architecture,Languages, Literature &amp; Linguistics,Other Health,Art, Performing Arts &amp; Design,Electrical &amp; Electronic Engineering,Computer Science</t>
  </si>
  <si>
    <t>781-790</t>
  </si>
  <si>
    <t>National Institute of Technology Tiruchirappalli</t>
  </si>
  <si>
    <t>National Institute of Technology, Tiruchirappalli</t>
  </si>
  <si>
    <t>/world-university-rankings/national-institute-technology-tiruchirappalli</t>
  </si>
  <si>
    <t>Mechanical &amp; Aerospace Engineering,Chemical Engineering,Languages, Literature &amp; Linguistics,Electrical &amp; Electronic Engineering,Computer Science,Physics &amp; Astronomy,Chemistry,Architecture,Business &amp; Management,Mathematics &amp; Statistics,General Engineering,Civil Engineering</t>
  </si>
  <si>
    <t>Stevens Institute of Technology</t>
  </si>
  <si>
    <t>/world-university-rankings/stevens-institute-technology</t>
  </si>
  <si>
    <t>Chemistry,Civil Engineering,Electrical &amp; Electronic Engineering,History, Philosophy &amp; Theology,Biological Sciences,Languages, Literature &amp; Linguistics,Mathematics &amp; Statistics,Mechanical &amp; Aerospace Engineering,Art, Performing Arts &amp; Design,Physics &amp; Astronomy,Other Health,Chemical Engineering,Business &amp; Management,General Engineering,Geology, Environmental, Earth &amp; Marine Sciences,Computer Science,Sociology</t>
  </si>
  <si>
    <t>https://www.timeshighereducation.com/student/register-interest/shorelight?utm_medium=thewebsite&amp;utm_campaign=cta-link&amp;utm_source=rankings&amp;iid=i-42653531</t>
  </si>
  <si>
    <t>Taras Shevchenko National University of Kyiv</t>
  </si>
  <si>
    <t>UA</t>
  </si>
  <si>
    <t>Ukraine</t>
  </si>
  <si>
    <t>/world-university-rankings/taras-shevchenko-national-university-kyiv</t>
  </si>
  <si>
    <t>Electrical &amp; Electronic Engineering,Computer Science,Medicine &amp; Dentistry,Business &amp; Management,Accounting &amp; Finance,Art, Performing Arts &amp; Design,Sociology,Languages, Literature &amp; Linguistics,Geology, Environmental, Earth &amp; Marine Sciences,Communication &amp; Media Studies,Archaeology,Mathematics &amp; Statistics,Law,Chemistry,Other Health,Biological Sciences,Economics &amp; Econometrics,Education,Agriculture &amp; Forestry,Geography,Psychology,Chemical Engineering,Physics &amp; Astronomy,Politics &amp; International Studies (incl Development Studies),History, Philosophy &amp; Theology</t>
  </si>
  <si>
    <t>University of Nebraska - Lincoln</t>
  </si>
  <si>
    <t>University of Nebraska-Lincoln</t>
  </si>
  <si>
    <t>/world-university-rankings/university-nebraska-lincoln</t>
  </si>
  <si>
    <t>Physics &amp; Astronomy,Mechanical &amp; Aerospace Engineering,Art, Performing Arts &amp; Design,History, Philosophy &amp; Theology,Agriculture &amp; Forestry,Sport Science,Sociology,Law,Geography,Education,General Engineering,Veterinary Science,Architecture,Civil Engineering,Communication &amp; Media Studies,Electrical &amp; Electronic Engineering,Psychology,Accounting &amp; Finance,Mathematics &amp; Statistics,Other Health,Economics &amp; Econometrics,Computer Science,Chemical Engineering,Languages, Literature &amp; Linguistics,Geology, Environmental, Earth &amp; Marine Sciences,Politics &amp; International Studies (incl Development Studies),Archaeology,Biological Sciences,Business &amp; Management,Medicine &amp; Dentistry,Chemistry</t>
  </si>
  <si>
    <t>American University</t>
  </si>
  <si>
    <t>/world-university-rankings/american-university</t>
  </si>
  <si>
    <t>Law,Other Health,Economics &amp; Econometrics,Computer Science,Accounting &amp; Finance,Medicine &amp; Dentistry,Sociology,Politics &amp; International Studies (incl Development Studies),Art, Performing Arts &amp; Design,Chemistry,Physics &amp; Astronomy,Business &amp; Management,Geology, Environmental, Earth &amp; Marine Sciences,Languages, Literature &amp; Linguistics,Communication &amp; Media Studies,Mathematics &amp; Statistics,History, Philosophy &amp; Theology,Education,Sport Science,Psychology,Biological Sciences</t>
  </si>
  <si>
    <t>https://www.timeshighereducation.com/student/register-interest/shorelight?utm_medium=thewebsite&amp;utm_campaign=cta-link&amp;utm_source=rankings&amp;iid=i-67379501</t>
  </si>
  <si>
    <t>COMSATS University Islamabad</t>
  </si>
  <si>
    <t>/world-university-rankings/comsats-university-islamabad</t>
  </si>
  <si>
    <t>Physics &amp; Astronomy,Chemistry,Mechanical &amp; Aerospace Engineering,Accounting &amp; Finance,Computer Science,Electrical &amp; Electronic Engineering,Politics &amp; International Studies (incl Development Studies),Languages, Literature &amp; Linguistics,Mathematics &amp; Statistics,Economics &amp; Econometrics,Architecture,Geology, Environmental, Earth &amp; Marine Sciences,Civil Engineering,Psychology,General Engineering,Chemical Engineering,Biological Sciences,Business &amp; Management,Other Health,Communication &amp; Media Studies,Geography</t>
  </si>
  <si>
    <t>801-850</t>
  </si>
  <si>
    <t>De Montfort University</t>
  </si>
  <si>
    <t>/world-university-rankings/de-montfort-university</t>
  </si>
  <si>
    <t>Biological Sciences,Electrical &amp; Electronic Engineering,Architecture,Computer Science,Sociology,Chemical Engineering,Politics &amp; International Studies (incl Development Studies),Languages, Literature &amp; Linguistics,Education,Accounting &amp; Finance,Sport Science,Psychology,Mathematics &amp; Statistics,Business &amp; Management,General Engineering,Art, Performing Arts &amp; Design,Mechanical &amp; Aerospace Engineering,Chemistry,Communication &amp; Media Studies,Law,History, Philosophy &amp; Theology,Economics &amp; Econometrics,Geography,Other Health,Civil Engineering</t>
  </si>
  <si>
    <t>https://www.timeshighereducation.com/student/register-interest/siuk?utm_medium=thewebsite&amp;utm_campaign=cta-link&amp;utm_source=rankings&amp;iid=i-50643454</t>
  </si>
  <si>
    <t>Nanjing University of Aeronautics and Astronautics</t>
  </si>
  <si>
    <t>/world-university-rankings/nanjing-university-aeronautics-and-astronautics</t>
  </si>
  <si>
    <t>General Engineering,Biological Sciences,Accounting &amp; Finance,Computer Science,Politics &amp; International Studies (incl Development Studies),Mechanical &amp; Aerospace Engineering,Business &amp; Management,Civil Engineering,Law,Mathematics &amp; Statistics,Economics &amp; Econometrics,Languages, Literature &amp; Linguistics,Chemistry,Art, Performing Arts &amp; Design,Communication &amp; Media Studies,Electrical &amp; Electronic Engineering,Sociology,Physics &amp; Astronomy,Chemical Engineering,Education</t>
  </si>
  <si>
    <t>Plekhanov Russian University of Economics</t>
  </si>
  <si>
    <t>/world-university-rankings/plekhanov-russian-university-economics</t>
  </si>
  <si>
    <t>Chemistry,Chemical Engineering,Geology, Environmental, Earth &amp; Marine Sciences,Art, Performing Arts &amp; Design,Sociology,Biological Sciences,Accounting &amp; Finance,Computer Science,Mathematics &amp; Statistics,Economics &amp; Econometrics,Sport Science,Education,History, Philosophy &amp; Theology,Law,Languages, Literature &amp; Linguistics,Politics &amp; International Studies (incl Development Studies),General Engineering,Psychology,Communication &amp; Media Studies,Business &amp; Management</t>
  </si>
  <si>
    <t>The National University of Science and Technology MISIS</t>
  </si>
  <si>
    <t>National University of Science and Technology (MISiS)</t>
  </si>
  <si>
    <t>/world-university-rankings/national-university-science-and-technology-misis</t>
  </si>
  <si>
    <t>National University of Science and Technology (MISiS) Russia Moscow</t>
  </si>
  <si>
    <t>Electrical &amp; Electronic Engineering,Economics &amp; Econometrics,Chemical Engineering,Physics &amp; Astronomy,General Engineering,Accounting &amp; Finance,Biological Sciences,Computer Science,Business &amp; Management,Mathematics &amp; Statistics,Mechanical &amp; Aerospace Engineering,Chemistry,Languages, Literature &amp; Linguistics,Geology, Environmental, Earth &amp; Marine Sciences</t>
  </si>
  <si>
    <t>Ton Duc Thang University</t>
  </si>
  <si>
    <t>/world-university-rankings/ton-duc-thang-university</t>
  </si>
  <si>
    <t>Ton Duc Thang University TDTU</t>
  </si>
  <si>
    <t>Sport Science,Accounting &amp; Finance,Languages, Literature &amp; Linguistics,Geology, Environmental, Earth &amp; Marine Sciences,Art, Performing Arts &amp; Design,Chemical Engineering,Electrical &amp; Electronic Engineering,Law,Civil Engineering,Other Health,Mathematics &amp; Statistics,General Engineering,Education,Computer Science,Business &amp; Management,Biological Sciences,Architecture,Sociology</t>
  </si>
  <si>
    <t>Brandeis University</t>
  </si>
  <si>
    <t>/world-university-rankings/brandeis-university</t>
  </si>
  <si>
    <t>Computer Science,Politics &amp; International Studies (incl Development Studies),Physics &amp; Astronomy,Education,Accounting &amp; Finance,Mathematics &amp; Statistics,Economics &amp; Econometrics,Biological Sciences,History, Philosophy &amp; Theology,Languages, Literature &amp; Linguistics,Business &amp; Management,Art, Performing Arts &amp; Design,Sociology,Psychology,Chemistry</t>
  </si>
  <si>
    <t>https://www.timeshighereducation.com/student/register-interest/shorelight?utm_medium=thewebsite&amp;utm_campaign=cta-link&amp;utm_source=rankings&amp;iid=i-49167174</t>
  </si>
  <si>
    <t>Budapest University of Technology and Economics</t>
  </si>
  <si>
    <t>/world-university-rankings/budapest-university-technology-and-economics</t>
  </si>
  <si>
    <t>Architecture,Geology, Environmental, Earth &amp; Marine Sciences,Chemistry,General Engineering,Physics &amp; Astronomy,Mathematics &amp; Statistics,Economics &amp; Econometrics,Communication &amp; Media Studies,Electrical &amp; Electronic Engineering,Accounting &amp; Finance,Chemical Engineering,Computer Science,Education,Mechanical &amp; Aerospace Engineering,Business &amp; Management,Civil Engineering,Psychology</t>
  </si>
  <si>
    <t>Diponegoro University</t>
  </si>
  <si>
    <t>/world-university-rankings/diponegoro-university</t>
  </si>
  <si>
    <t>Veterinary Science,Civil Engineering,Mechanical &amp; Aerospace Engineering,Business &amp; Management,Communication &amp; Media Studies,General Engineering,Physics &amp; Astronomy,Electrical &amp; Electronic Engineering,History, Philosophy &amp; Theology,Accounting &amp; Finance,Languages, Literature &amp; Linguistics,Politics &amp; International Studies (incl Development Studies),Biological Sciences,Computer Science,Chemistry,Psychology,Architecture,Mathematics &amp; Statistics,Economics &amp; Econometrics,Geology, Environmental, Earth &amp; Marine Sciences,Other Health,Agriculture &amp; Forestry,Chemical Engineering,Medicine &amp; Dentistry,Law</t>
  </si>
  <si>
    <t>Drexel University</t>
  </si>
  <si>
    <t>/world-university-rankings/drexel-university</t>
  </si>
  <si>
    <t>General Engineering,Chemistry,Architecture,Agriculture &amp; Forestry,Psychology,Languages, Literature &amp; Linguistics,Electrical &amp; Electronic Engineering,Communication &amp; Media Studies,Business &amp; Management,Other Health,Veterinary Science,Sociology,Medicine &amp; Dentistry,Chemical Engineering,Geology, Environmental, Earth &amp; Marine Sciences,Economics &amp; Econometrics,Computer Science,Physics &amp; Astronomy,History, Philosophy &amp; Theology,Sport Science,Law,Civil Engineering,Politics &amp; International Studies (incl Development Studies),Mechanical &amp; Aerospace Engineering,Mathematics &amp; Statistics,Accounting &amp; Finance,Art, Performing Arts &amp; Design,Biological Sciences,Education</t>
  </si>
  <si>
    <t>https://www.timeshighereducation.com/student/register-interest/shorelight?utm_medium=thewebsite&amp;utm_campaign=cta-link&amp;utm_source=rankings&amp;iid=i-39843311</t>
  </si>
  <si>
    <t>Effat University</t>
  </si>
  <si>
    <t>/world-university-rankings/effat-university</t>
  </si>
  <si>
    <t>Psychology,Architecture,Art, Performing Arts &amp; Design,Business &amp; Management,Languages, Literature &amp; Linguistics,Computer Science,Accounting &amp; Finance,Electrical &amp; Electronic Engineering</t>
  </si>
  <si>
    <t>Jadavpur University</t>
  </si>
  <si>
    <t>/world-university-rankings/jadavpur-university</t>
  </si>
  <si>
    <t>Electrical &amp; Electronic Engineering,Mechanical &amp; Aerospace Engineering,Politics &amp; International Studies (incl Development Studies),General Engineering,Communication &amp; Media Studies,Computer Science,Geology, Environmental, Earth &amp; Marine Sciences,Geography,History, Philosophy &amp; Theology,Physics &amp; Astronomy,Languages, Literature &amp; Linguistics,Mathematics &amp; Statistics,Civil Engineering,Sociology,Chemical Engineering,Education,Biological Sciences,Economics &amp; Econometrics,Architecture,Chemistry</t>
  </si>
  <si>
    <t xml:space="preserve">Konkuk University </t>
  </si>
  <si>
    <t>Konkuk University</t>
  </si>
  <si>
    <t>/world-university-rankings/konkuk-university</t>
  </si>
  <si>
    <t>Chemistry,Politics &amp; International Studies (incl Development Studies),Education,Economics &amp; Econometrics,Veterinary Science,Psychology,Law,Mathematics &amp; Statistics,Chemical Engineering,Architecture,Other Health,Art, Performing Arts &amp; Design,Civil Engineering,History, Philosophy &amp; Theology,Sport Science,Electrical &amp; Electronic Engineering,Geology, Environmental, Earth &amp; Marine Sciences,Geography,Biological Sciences,Communication &amp; Media Studies,Sociology,Business &amp; Management,General Engineering,Agriculture &amp; Forestry,Accounting &amp; Finance,Medicine &amp; Dentistry,Computer Science,Physics &amp; Astronomy,Languages, Literature &amp; Linguistics,Mechanical &amp; Aerospace Engineering</t>
  </si>
  <si>
    <t>Middlesex University</t>
  </si>
  <si>
    <t>/world-university-rankings/middlesex-university</t>
  </si>
  <si>
    <t>General Engineering,Law,Education,Computer Science,Politics &amp; International Studies (incl Development Studies),Electrical &amp; Electronic Engineering,Sociology,Economics &amp; Econometrics,Art, Performing Arts &amp; Design,Biological Sciences,Other Health,Chemistry,Architecture,Communication &amp; Media Studies,Mathematics &amp; Statistics,Psychology,Sport Science,Accounting &amp; Finance,Veterinary Science,Business &amp; Management</t>
  </si>
  <si>
    <t>https://www.timeshighereducation.com/student/register-interest/siuk?utm_medium=thewebsite&amp;utm_campaign=cta-link&amp;utm_source=rankings&amp;iid=i-25111084</t>
  </si>
  <si>
    <t>Riga Technical University</t>
  </si>
  <si>
    <t>LV</t>
  </si>
  <si>
    <t>Latvia</t>
  </si>
  <si>
    <t>/world-university-rankings/riga-technical-university</t>
  </si>
  <si>
    <t>Chemistry,General Engineering,Business &amp; Management,Accounting &amp; Finance,Civil Engineering,Computer Science,Chemical Engineering,Electrical &amp; Electronic Engineering,Economics &amp; Econometrics,Mechanical &amp; Aerospace Engineering,Architecture</t>
  </si>
  <si>
    <t>University of Modena and Reggio Emilia</t>
  </si>
  <si>
    <t>/world-university-rankings/university-modena-and-reggio-emilia</t>
  </si>
  <si>
    <t>Languages, Literature &amp; Linguistics,Economics &amp; Econometrics,Civil Engineering,Chemical Engineering,Chemistry,Mathematics &amp; Statistics,History, Philosophy &amp; Theology,Geography,Other Health,Education,Biological Sciences,Psychology,Communication &amp; Media Studies,Medicine &amp; Dentistry,Accounting &amp; Finance,Mechanical &amp; Aerospace Engineering,Physics &amp; Astronomy,Electrical &amp; Electronic Engineering,Sport Science,Computer Science,Geology, Environmental, Earth &amp; Marine Sciences,Agriculture &amp; Forestry,Law,Sociology,General Engineering,Business &amp; Management</t>
  </si>
  <si>
    <t>University of Trieste</t>
  </si>
  <si>
    <t>/world-university-rankings/university-trieste</t>
  </si>
  <si>
    <t>General Engineering,Geography,History, Philosophy &amp; Theology,Chemical Engineering,Law,Languages, Literature &amp; Linguistics,Computer Science,Mathematics &amp; Statistics,Architecture,Geology, Environmental, Earth &amp; Marine Sciences,Business &amp; Management,Medicine &amp; Dentistry,Biological Sciences,Education,Electrical &amp; Electronic Engineering,Politics &amp; International Studies (incl Development Studies),Accounting &amp; Finance,Mechanical &amp; Aerospace Engineering,Communication &amp; Media Studies,Archaeology,Chemistry,Economics &amp; Econometrics,Civil Engineering,Sociology,Other Health,Physics &amp; Astronomy,Psychology</t>
  </si>
  <si>
    <t>University of Belgrade</t>
  </si>
  <si>
    <t>RS</t>
  </si>
  <si>
    <t>Serbia</t>
  </si>
  <si>
    <t>/world-university-rankings/university-belgrade</t>
  </si>
  <si>
    <t>Civil Engineering,Physics &amp; Astronomy,Accounting &amp; Finance,General Engineering,Geology, Environmental, Earth &amp; Marine Sciences,Mechanical &amp; Aerospace Engineering,Chemistry,Business &amp; Management,Computer Science,Mathematics &amp; Statistics,Politics &amp; International Studies (incl Development Studies),Other Health,Sport Science,Education,Languages, Literature &amp; Linguistics,Electrical &amp; Electronic Engineering,Architecture,Agriculture &amp; Forestry,Psychology,History, Philosophy &amp; Theology,Chemical Engineering,Law,Archaeology,Biological Sciences,Sociology,Economics &amp; Econometrics,Medicine &amp; Dentistry,Veterinary Science,Geography,Communication &amp; Media Studies</t>
  </si>
  <si>
    <t>Altai State University</t>
  </si>
  <si>
    <t>/world-university-rankings/altai-state-university</t>
  </si>
  <si>
    <t>Agriculture &amp; Forestry,Communication &amp; Media Studies,Languages, Literature &amp; Linguistics,Mathematics &amp; Statistics,Archaeology,Physics &amp; Astronomy,Business &amp; Management,Computer Science,Geography,Electrical &amp; Electronic Engineering,Education,Civil Engineering,Chemistry,Accounting &amp; Finance,Chemical Engineering,Politics &amp; International Studies (incl Development Studies),History, Philosophy &amp; Theology,Sport Science,Law,Economics &amp; Econometrics,Art, Performing Arts &amp; Design,Biological Sciences,Sociology,General Engineering,Geology, Environmental, Earth &amp; Marine Sciences</t>
  </si>
  <si>
    <t>Carleton University</t>
  </si>
  <si>
    <t>/world-university-rankings/carleton-university</t>
  </si>
  <si>
    <t>Electrical &amp; Electronic Engineering,Computer Science,History, Philosophy &amp; Theology,Agriculture &amp; Forestry,Civil Engineering,Communication &amp; Media Studies,Languages, Literature &amp; Linguistics,Chemical Engineering,Politics &amp; International Studies (incl Development Studies),Chemistry,Business &amp; Management,Law,Geology, Environmental, Earth &amp; Marine Sciences,Geography,Veterinary Science,Economics &amp; Econometrics,Biological Sciences,Sport Science,Art, Performing Arts &amp; Design,General Engineering,Psychology,Accounting &amp; Finance,Physics &amp; Astronomy,Archaeology,Sociology,Architecture,Mathematics &amp; Statistics,Mechanical &amp; Aerospace Engineering</t>
  </si>
  <si>
    <t>https://www.timeshighereducation.com/student/register-interest/applyboard?utm_medium=thewebsite&amp;utm_campaign=cta-link&amp;utm_source=rankings&amp;iid=i-70245253</t>
  </si>
  <si>
    <t>Universiti Malaysia Pahang</t>
  </si>
  <si>
    <t>/world-university-rankings/universiti-malaysia-pahang</t>
  </si>
  <si>
    <t>Chemical Engineering,Mathematics &amp; Statistics,Chemistry,Computer Science,Electrical &amp; Electronic Engineering,Business &amp; Management,Civil Engineering,Mechanical &amp; Aerospace Engineering,Accounting &amp; Finance,Languages, Literature &amp; Linguistics,General Engineering</t>
  </si>
  <si>
    <t>University of Central Florida</t>
  </si>
  <si>
    <t>/world-university-rankings/university-central-florida</t>
  </si>
  <si>
    <t>Languages, Literature &amp; Linguistics,Medicine &amp; Dentistry,Accounting &amp; Finance,Economics &amp; Econometrics,Sport Science,Chemistry,History, Philosophy &amp; Theology,Physics &amp; Astronomy,Art, Performing Arts &amp; Design,Computer Science,Geology, Environmental, Earth &amp; Marine Sciences,Biological Sciences,Sociology,Communication &amp; Media Studies,Politics &amp; International Studies (incl Development Studies),Electrical &amp; Electronic Engineering,General Engineering,Education,Other Health,Mechanical &amp; Aerospace Engineering,Business &amp; Management,Mathematics &amp; Statistics,Psychology,Civil Engineering</t>
  </si>
  <si>
    <t>https://www.timeshighereducation.com/student/register-interest/shorelight?utm_medium=thewebsite&amp;utm_campaign=cta-link&amp;utm_source=rankings&amp;iid=i-70644356</t>
  </si>
  <si>
    <t>University of the West of England</t>
  </si>
  <si>
    <t>/world-university-rankings/university-west-england</t>
  </si>
  <si>
    <t>History, Philosophy &amp; Theology,Politics &amp; International Studies (incl Development Studies),Accounting &amp; Finance,Art, Performing Arts &amp; Design,Mathematics &amp; Statistics,Psychology,Mechanical &amp; Aerospace Engineering,Law,Biological Sciences,Education,Other Health,Geology, Environmental, Earth &amp; Marine Sciences,Business &amp; Management,Architecture,Communication &amp; Media Studies,Computer Science,Geography,Languages, Literature &amp; Linguistics,Electrical &amp; Electronic Engineering,Civil Engineering,Economics &amp; Econometrics,General Engineering,Sociology</t>
  </si>
  <si>
    <t>https://www.timeshighereducation.com/student/register-interest/siuk?utm_medium=thewebsite&amp;utm_campaign=cta-link&amp;utm_source=rankings&amp;iid=i-28947501</t>
  </si>
  <si>
    <t>University of Westminster</t>
  </si>
  <si>
    <t>/world-university-rankings/university-westminster</t>
  </si>
  <si>
    <t>Architecture,Languages, Literature &amp; Linguistics,Politics &amp; International Studies (incl Development Studies),Electrical &amp; Electronic Engineering,Sociology,History, Philosophy &amp; Theology,Computer Science,Business &amp; Management,Law,Economics &amp; Econometrics,Communication &amp; Media Studies,Psychology,Other Health,Accounting &amp; Finance,Biological Sciences,Art, Performing Arts &amp; Design</t>
  </si>
  <si>
    <t>https://www.timeshighereducation.com/student/register-interest/siuk?utm_medium=thewebsite&amp;utm_campaign=cta-link&amp;utm_source=rankings&amp;iid=i-65712765</t>
  </si>
  <si>
    <t>V. N. Karazin Kharkiv National University</t>
  </si>
  <si>
    <t>V.N. Karazin Kharkiv National University</t>
  </si>
  <si>
    <t>/world-university-rankings/vn-karazin-kharkiv-national-university</t>
  </si>
  <si>
    <t>Biological Sciences,Law,Medicine &amp; Dentistry,Chemistry,Accounting &amp; Finance,Agriculture &amp; Forestry,Sociology,Economics &amp; Econometrics,Other Health,Communication &amp; Media Studies,Archaeology,Physics &amp; Astronomy,Education,Mechanical &amp; Aerospace Engineering,Business &amp; Management,Languages, Literature &amp; Linguistics,Mathematics &amp; Statistics,Psychology,History, Philosophy &amp; Theology,Geology, Environmental, Earth &amp; Marine Sciences,Computer Science,Politics &amp; International Studies (incl Development Studies),Sport Science,Geography</t>
  </si>
  <si>
    <t xml:space="preserve">Victoria University </t>
  </si>
  <si>
    <t>Victoria University</t>
  </si>
  <si>
    <t>/world-university-rankings/victoria-university</t>
  </si>
  <si>
    <t>Sport Science,Psychology,Computer Science,Law,Geology, Environmental, Earth &amp; Marine Sciences,Education,Electrical &amp; Electronic Engineering,Biological Sciences,Communication &amp; Media Studies,Other Health,Civil Engineering,Mathematics &amp; Statistics,Business &amp; Management,Accounting &amp; Finance,Economics &amp; Econometrics,History, Philosophy &amp; Theology,Politics &amp; International Studies (incl Development Studies),General Engineering,Sociology,Chemistry,Mechanical &amp; Aerospace Engineering</t>
  </si>
  <si>
    <t>Vytautas Magnus University</t>
  </si>
  <si>
    <t>/world-university-rankings/vytautas-magnus-university</t>
  </si>
  <si>
    <t>Education,History, Philosophy &amp; Theology,Agriculture &amp; Forestry,Psychology,Law,Sociology,Languages, Literature &amp; Linguistics,General Engineering,Architecture,Communication &amp; Media Studies,Computer Science,Politics &amp; International Studies (incl Development Studies),Biological Sciences,Business &amp; Management,Art, Performing Arts &amp; Design,Economics &amp; Econometrics,Accounting &amp; Finance,Mathematics &amp; Statistics</t>
  </si>
  <si>
    <t>Wake Forest University</t>
  </si>
  <si>
    <t>/world-university-rankings/wake-forest-university</t>
  </si>
  <si>
    <t>Medicine &amp; Dentistry,Communication &amp; Media Studies,Physics &amp; Astronomy,Accounting &amp; Finance,History, Philosophy &amp; Theology,Business &amp; Management,Art, Performing Arts &amp; Design,Mathematics &amp; Statistics,Languages, Literature &amp; Linguistics,Sport Science,Sociology,Biological Sciences,Psychology,Chemistry,Economics &amp; Econometrics,General Engineering,Geology, Environmental, Earth &amp; Marine Sciences,Education,Computer Science,Politics &amp; International Studies (incl Development Studies),Other Health,Law</t>
  </si>
  <si>
    <t>https://www.timeshighereducation.com/student/register-interest/shorelight?utm_medium=thewebsite&amp;utm_campaign=cta-link&amp;utm_source=rankings&amp;iid=i-03430941</t>
  </si>
  <si>
    <t>Kaunas University of Technology</t>
  </si>
  <si>
    <t>/world-university-rankings/kaunas-university-technology</t>
  </si>
  <si>
    <t>Other Health,Agriculture &amp; Forestry,Accounting &amp; Finance,History, Philosophy &amp; Theology,Physics &amp; Astronomy,General Engineering,Chemical Engineering,Architecture,Civil Engineering,Education,Mechanical &amp; Aerospace Engineering,Sociology,Art, Performing Arts &amp; Design,Chemistry,Computer Science,Geology, Environmental, Earth &amp; Marine Sciences,Languages, Literature &amp; Linguistics,Politics &amp; International Studies (incl Development Studies),Business &amp; Management,Electrical &amp; Electronic Engineering,Mathematics &amp; Statistics,Communication &amp; Media Studies,Economics &amp; Econometrics</t>
  </si>
  <si>
    <t>Tokyo University of Science</t>
  </si>
  <si>
    <t>/world-university-rankings/tokyo-university-science</t>
  </si>
  <si>
    <t>Tokyo University of Science tus rikadai tokyo</t>
  </si>
  <si>
    <t>Mathematics &amp; Statistics,Biological Sciences,Geology, Environmental, Earth &amp; Marine Sciences,Civil Engineering,Architecture,Other Health,Physics &amp; Astronomy,Accounting &amp; Finance,Economics &amp; Econometrics,General Engineering,Mechanical &amp; Aerospace Engineering,Computer Science,Chemical Engineering,Chemistry,Electrical &amp; Electronic Engineering,Business &amp; Management</t>
  </si>
  <si>
    <t>University of Calcutta</t>
  </si>
  <si>
    <t>/world-university-rankings/university-calcutta</t>
  </si>
  <si>
    <t>Archaeology,Law,Art, Performing Arts &amp; Design,Physics &amp; Astronomy,Accounting &amp; Finance,Chemistry,Business &amp; Management,Biological Sciences,Education,History, Philosophy &amp; Theology,Mathematics &amp; Statistics,Languages, Literature &amp; Linguistics,Geology, Environmental, Earth &amp; Marine Sciences,Economics &amp; Econometrics,Architecture,Sport Science,Computer Science,Sociology,Agriculture &amp; Forestry,Psychology,Chemical Engineering,Geography</t>
  </si>
  <si>
    <t>University of Engineering &amp; Technology (UET) Lahore</t>
  </si>
  <si>
    <t>/world-university-rankings/university-engineering-technology-uet-lahore</t>
  </si>
  <si>
    <t>Accounting &amp; Finance,Physics &amp; Astronomy,Computer Science,Electrical &amp; Electronic Engineering,Civil Engineering,General Engineering,Business &amp; Management,Chemical Engineering,Mathematics &amp; Statistics,Chemistry,Mechanical &amp; Aerospace Engineering,Architecture,Geology, Environmental, Earth &amp; Marine Sciences</t>
  </si>
  <si>
    <t>851-900</t>
  </si>
  <si>
    <t>University of Malta</t>
  </si>
  <si>
    <t>MT</t>
  </si>
  <si>
    <t>Malta</t>
  </si>
  <si>
    <t>/world-university-rankings/university-malta</t>
  </si>
  <si>
    <t>Computer Science,General Engineering,Geography,Civil Engineering,Politics &amp; International Studies (incl Development Studies),Economics &amp; Econometrics,Languages, Literature &amp; Linguistics,Mathematics &amp; Statistics,Education,Architecture,Communication &amp; Media Studies,Law,History, Philosophy &amp; Theology,Sport Science,Geology, Environmental, Earth &amp; Marine Sciences,Art, Performing Arts &amp; Design,Agriculture &amp; Forestry,Chemistry,Electrical &amp; Electronic Engineering,Physics &amp; Astronomy,Business &amp; Management,Medicine &amp; Dentistry,Mechanical &amp; Aerospace Engineering,Biological Sciences,Other Health,Psychology,Archaeology,Sociology,Accounting &amp; Finance</t>
  </si>
  <si>
    <t>Adam Mickiewicz University, Pozna?</t>
  </si>
  <si>
    <t>Adam Mickiewicz University, PoznaÅ„</t>
  </si>
  <si>
    <t>/world-university-rankings/adam-mickiewicz-university-poznan</t>
  </si>
  <si>
    <t>History, Philosophy &amp; Theology,Law,Chemistry,Sociology,Psychology,Computer Science,Archaeology,Politics &amp; International Studies (incl Development Studies),Biological Sciences,Geology, Environmental, Earth &amp; Marine Sciences,Geography,Communication &amp; Media Studies,Mathematics &amp; Statistics,Art, Performing Arts &amp; Design,Business &amp; Management,Languages, Literature &amp; Linguistics,Physics &amp; Astronomy,Education</t>
  </si>
  <si>
    <t>Bangladesh University of Engineering and Technology</t>
  </si>
  <si>
    <t>/world-university-rankings/bangladesh-university-engineering-and-technology</t>
  </si>
  <si>
    <t>Bangladesh University of Engineering and Technology buet BUET</t>
  </si>
  <si>
    <t>Chemical Engineering,Civil Engineering,Physics &amp; Astronomy,Mechanical &amp; Aerospace Engineering,Mathematics &amp; Statistics,General Engineering,Electrical &amp; Electronic Engineering,Chemistry,Computer Science,Architecture</t>
  </si>
  <si>
    <t>King Faisal University</t>
  </si>
  <si>
    <t>/world-university-rankings/king-faisal-university</t>
  </si>
  <si>
    <t>Sport Science,Business &amp; Management,Languages, Literature &amp; Linguistics,Economics &amp; Econometrics,Education,Archaeology,Civil Engineering,Architecture,Art, Performing Arts &amp; Design,General Engineering,Mathematics &amp; Statistics,Politics &amp; International Studies (incl Development Studies),Chemistry,Agriculture &amp; Forestry,Mechanical &amp; Aerospace Engineering,Chemical Engineering,Geography,Geology, Environmental, Earth &amp; Marine Sciences,Physics &amp; Astronomy,Computer Science,Sociology,Electrical &amp; Electronic Engineering,Psychology,Medicine &amp; Dentistry,Law,History, Philosophy &amp; Theology,Accounting &amp; Finance,Veterinary Science,Other Health,Biological Sciences,Communication &amp; Media Studies</t>
  </si>
  <si>
    <t>University of Patras</t>
  </si>
  <si>
    <t>/world-university-rankings/university-patras</t>
  </si>
  <si>
    <t>Accounting &amp; Finance,Geology, Environmental, Earth &amp; Marine Sciences,Economics &amp; Econometrics,Computer Science,Agriculture &amp; Forestry,Archaeology,Business &amp; Management,Education,Mechanical &amp; Aerospace Engineering,Architecture,Other Health,Chemical Engineering,Biological Sciences,History, Philosophy &amp; Theology,Chemistry,Medicine &amp; Dentistry,Electrical &amp; Electronic Engineering,Mathematics &amp; Statistics,Civil Engineering,Physics &amp; Astronomy,Languages, Literature &amp; Linguistics</t>
  </si>
  <si>
    <t>Bournemouth University</t>
  </si>
  <si>
    <t>/world-university-rankings/bournemouth-university</t>
  </si>
  <si>
    <t>General Engineering,Archaeology,Politics &amp; International Studies (incl Development Studies),Economics &amp; Econometrics,Art, Performing Arts &amp; Design,Agriculture &amp; Forestry,Education,Computer Science,Law,Mechanical &amp; Aerospace Engineering,Psychology,Languages, Literature &amp; Linguistics,Sociology,Chemistry,Sport Science,Medicine &amp; Dentistry,Biological Sciences,Business &amp; Management,History, Philosophy &amp; Theology,Communication &amp; Media Studies,Accounting &amp; Finance,Other Health,Geology, Environmental, Earth &amp; Marine Sciences,Electrical &amp; Electronic Engineering,Geography</t>
  </si>
  <si>
    <t>https://www.timeshighereducation.com/student/register-interest/siuk?utm_medium=thewebsite&amp;utm_campaign=cta-link&amp;utm_source=rankings&amp;iid=i-22247194</t>
  </si>
  <si>
    <t>Chiba University</t>
  </si>
  <si>
    <t>/world-university-rankings/chiba-university</t>
  </si>
  <si>
    <t>Accounting &amp; Finance,Physics &amp; Astronomy,Chemistry,Sport Science,Other Health,Law,Sociology,Art, Performing Arts &amp; Design,General Engineering,Geology, Environmental, Earth &amp; Marine Sciences,Medicine &amp; Dentistry,Mechanical &amp; Aerospace Engineering,Communication &amp; Media Studies,History, Philosophy &amp; Theology,Electrical &amp; Electronic Engineering,Psychology,Economics &amp; Econometrics,Education,Archaeology,Architecture,Chemical Engineering,Mathematics &amp; Statistics,Biological Sciences,Agriculture &amp; Forestry,Business &amp; Management,Computer Science,Languages, Literature &amp; Linguistics,Civil Engineering,Geography,Politics &amp; International Studies (incl Development Studies)</t>
  </si>
  <si>
    <t>University of Maryland, Baltimore County</t>
  </si>
  <si>
    <t>/world-university-rankings/university-maryland-baltimore-county</t>
  </si>
  <si>
    <t>General Engineering,Biological Sciences,Economics &amp; Econometrics,Civil Engineering,Other Health,Business &amp; Management,Mathematics &amp; Statistics,Education,Agriculture &amp; Forestry,Accounting &amp; Finance,History, Philosophy &amp; Theology,Chemistry,Sociology,Physics &amp; Astronomy,Art, Performing Arts &amp; Design,Mechanical &amp; Aerospace Engineering,Geography,Computer Science,Psychology,Languages, Literature &amp; Linguistics,Chemical Engineering,Politics &amp; International Studies (incl Development Studies),Electrical &amp; Electronic Engineering,Communication &amp; Media Studies</t>
  </si>
  <si>
    <t>https://www.timeshighereducation.com/student/register-interest/shorelight?utm_medium=thewebsite&amp;utm_campaign=cta-link&amp;utm_source=rankings&amp;iid=i-79454013</t>
  </si>
  <si>
    <t>Verona University</t>
  </si>
  <si>
    <t>/world-university-rankings/verona-university</t>
  </si>
  <si>
    <t>Sociology,Communication &amp; Media Studies,History, Philosophy &amp; Theology,Archaeology,Other Health,Sport Science,Law,Business &amp; Management,Computer Science,Accounting &amp; Finance,Biological Sciences,Agriculture &amp; Forestry,Medicine &amp; Dentistry,Economics &amp; Econometrics,General Engineering,Geography,Art, Performing Arts &amp; Design,Education,Languages, Literature &amp; Linguistics,Mathematics &amp; Statistics,Psychology</t>
  </si>
  <si>
    <t>Babes-Bolyai University</t>
  </si>
  <si>
    <t>RO</t>
  </si>
  <si>
    <t>Romania</t>
  </si>
  <si>
    <t>BabeÅŸ-Bolyai University</t>
  </si>
  <si>
    <t>/world-university-rankings/babes-bolyai-university</t>
  </si>
  <si>
    <t>Biological Sciences,Mathematics &amp; Statistics,Politics &amp; International Studies (incl Development Studies),Art, Performing Arts &amp; Design,Geology, Environmental, Earth &amp; Marine Sciences,Languages, Literature &amp; Linguistics,Psychology,Sport Science,Accounting &amp; Finance,Archaeology,Electrical &amp; Electronic Engineering,Computer Science,Physics &amp; Astronomy,Law,Sociology,Education,Chemistry,Communication &amp; Media Studies,Geography,Business &amp; Management,Mechanical &amp; Aerospace Engineering,General Engineering,Chemical Engineering,Other Health,Economics &amp; Econometrics,History, Philosophy &amp; Theology</t>
  </si>
  <si>
    <t>Kasetsart University</t>
  </si>
  <si>
    <t>/world-university-rankings/kasetsart-university</t>
  </si>
  <si>
    <t>Computer Science,Physics &amp; Astronomy,Education,Archaeology,Biological Sciences,Law,Medicine &amp; Dentistry,Mechanical &amp; Aerospace Engineering,Politics &amp; International Studies (incl Development Studies),Economics &amp; Econometrics,Electrical &amp; Electronic Engineering,Geology, Environmental, Earth &amp; Marine Sciences,Accounting &amp; Finance,General Engineering,Sport Science,Geography,Languages, Literature &amp; Linguistics,Civil Engineering,Communication &amp; Media Studies,Architecture,Chemical Engineering,Chemistry,Other Health,Mathematics &amp; Statistics,Psychology,Art, Performing Arts &amp; Design,Agriculture &amp; Forestry,Sociology,History, Philosophy &amp; Theology,Veterinary Science,Business &amp; Management</t>
  </si>
  <si>
    <t>901-950</t>
  </si>
  <si>
    <t>Qassim University</t>
  </si>
  <si>
    <t>/world-university-rankings/qassim-university</t>
  </si>
  <si>
    <t>Other Health,Medicine &amp; Dentistry,Art, Performing Arts &amp; Design,Electrical &amp; Electronic Engineering,Geography,Computer Science,Sport Science,Business &amp; Management,Archaeology,Biological Sciences,Accounting &amp; Finance,History, Philosophy &amp; Theology,Chemical Engineering,Education,Architecture,Agriculture &amp; Forestry,Sociology,Civil Engineering,Chemistry,General Engineering,Mathematics &amp; Statistics,Politics &amp; International Studies (incl Development Studies),Languages, Literature &amp; Linguistics,Mechanical &amp; Aerospace Engineering,Geology, Environmental, Earth &amp; Marine Sciences,Economics &amp; Econometrics,Veterinary Science,Communication &amp; Media Studies,Physics &amp; Astronomy</t>
  </si>
  <si>
    <t>Texas Tech University</t>
  </si>
  <si>
    <t>/world-university-rankings/texas-tech-university</t>
  </si>
  <si>
    <t>Electrical &amp; Electronic Engineering,Physics &amp; Astronomy,Art, Performing Arts &amp; Design,Biological Sciences,Sport Science,Education,Archaeology,Agriculture &amp; Forestry,Geography,Mechanical &amp; Aerospace Engineering,Chemistry,Languages, Literature &amp; Linguistics,Chemical Engineering,Sociology,General Engineering,Mathematics &amp; Statistics,Psychology,Law,Civil Engineering,Geology, Environmental, Earth &amp; Marine Sciences,Economics &amp; Econometrics,Architecture,Communication &amp; Media Studies,Business &amp; Management,History, Philosophy &amp; Theology,Politics &amp; International Studies (incl Development Studies),Accounting &amp; Finance</t>
  </si>
  <si>
    <t>https://www.timeshighereducation.com/student/register-interest/shorelight?utm_medium=thewebsite&amp;utm_campaign=cta-link&amp;utm_source=rankings&amp;iid=i-02032561</t>
  </si>
  <si>
    <t>The New School</t>
  </si>
  <si>
    <t>/world-university-rankings/new-school</t>
  </si>
  <si>
    <t>Agriculture &amp; Forestry,Economics &amp; Econometrics,Communication &amp; Media Studies,Languages, Literature &amp; Linguistics,Biological Sciences,Business &amp; Management,Computer Science,Politics &amp; International Studies (incl Development Studies),Sociology,Architecture,History, Philosophy &amp; Theology,Psychology,Art, Performing Arts &amp; Design,Education</t>
  </si>
  <si>
    <t>https://www.timeshighereducation.com/student/register-interest/shorelight?utm_medium=thewebsite&amp;utm_campaign=cta-link&amp;utm_source=rankings&amp;iid=i-72116571</t>
  </si>
  <si>
    <t xml:space="preserve">Universidade Federal de Santa Catarina </t>
  </si>
  <si>
    <t>Universidade Federal de Santa Catarina</t>
  </si>
  <si>
    <t>/world-university-rankings/universidade-federal-de-santa-catarina</t>
  </si>
  <si>
    <t>Medicine &amp; Dentistry,Physics &amp; Astronomy,Accounting &amp; Finance,Architecture,Biological Sciences,Sociology,Languages, Literature &amp; Linguistics,Chemical Engineering,Chemistry,Economics &amp; Econometrics,Art, Performing Arts &amp; Design,Civil Engineering,Politics &amp; International Studies (incl Development Studies),Mechanical &amp; Aerospace Engineering,Geology, Environmental, Earth &amp; Marine Sciences,Education,General Engineering,Veterinary Science,Law,Other Health,Sport Science,Psychology,Electrical &amp; Electronic Engineering,Communication &amp; Media Studies,History, Philosophy &amp; Theology,Agriculture &amp; Forestry,Geography,Computer Science,Mathematics &amp; Statistics,Business &amp; Management</t>
  </si>
  <si>
    <t>University of Latvia</t>
  </si>
  <si>
    <t>/world-university-rankings/university-latvia</t>
  </si>
  <si>
    <t>History, Philosophy &amp; Theology,Communication &amp; Media Studies,Art, Performing Arts &amp; Design,Mathematics &amp; Statistics,Business &amp; Management,Computer Science,Sociology,Economics &amp; Econometrics,Archaeology,Politics &amp; International Studies (incl Development Studies),Veterinary Science,Education,Other Health,Chemistry,Accounting &amp; Finance,Medicine &amp; Dentistry,Physics &amp; Astronomy,Psychology,Agriculture &amp; Forestry,Geography,Biological Sciences,Geology, Environmental, Earth &amp; Marine Sciences,Languages, Literature &amp; Linguistics,Sport Science,Law</t>
  </si>
  <si>
    <t xml:space="preserve">University of Mons </t>
  </si>
  <si>
    <t>University of Mons</t>
  </si>
  <si>
    <t>/world-university-rankings/university-mons</t>
  </si>
  <si>
    <t>Architecture,Chemistry,Computer Science,Mathematics &amp; Statistics,Medicine &amp; Dentistry,Politics &amp; International Studies (incl Development Studies),Other Health,Physics &amp; Astronomy,Languages, Literature &amp; Linguistics,Civil Engineering,Education,Mechanical &amp; Aerospace Engineering,Psychology,Chemical Engineering,Business &amp; Management,Biological Sciences,Accounting &amp; Finance,Electrical &amp; Electronic Engineering,Sociology,General Engineering,Law</t>
  </si>
  <si>
    <t>Alfaisal University</t>
  </si>
  <si>
    <t>/world-university-rankings/alfaisal-university</t>
  </si>
  <si>
    <t>Mechanical &amp; Aerospace Engineering,Business &amp; Management,Other Health,Law,Biological Sciences,Medicine &amp; Dentistry,Accounting &amp; Finance,Electrical &amp; Electronic Engineering,General Engineering</t>
  </si>
  <si>
    <t>Ivane Javakhishvili Tbilisi State University</t>
  </si>
  <si>
    <t>GE</t>
  </si>
  <si>
    <t>Georgia</t>
  </si>
  <si>
    <t>/world-university-rankings/ivane-javakhishvili-tbilisi-state-university</t>
  </si>
  <si>
    <t>Politics &amp; International Studies (incl Development Studies),Computer Science,Medicine &amp; Dentistry,Law,Sociology,Business &amp; Management,Biological Sciences,Archaeology,Languages, Literature &amp; Linguistics,Chemistry,Communication &amp; Media Studies,Economics &amp; Econometrics,Education,Electrical &amp; Electronic Engineering,Other Health,Geography,Art, Performing Arts &amp; Design,History, Philosophy &amp; Theology,Mathematics &amp; Statistics,Geology, Environmental, Earth &amp; Marine Sciences,Accounting &amp; Finance,Physics &amp; Astronomy,Psychology</t>
  </si>
  <si>
    <t xml:space="preserve">Keele University </t>
  </si>
  <si>
    <t>Keele University</t>
  </si>
  <si>
    <t>/world-university-rankings/keele-university</t>
  </si>
  <si>
    <t>Geography,Accounting &amp; Finance,Chemistry,Medicine &amp; Dentistry,Education,Physics &amp; Astronomy,Languages, Literature &amp; Linguistics,Economics &amp; Econometrics,Biological Sciences,Law,Sociology,Veterinary Science,Business &amp; Management,Art, Performing Arts &amp; Design,Sport Science,Mathematics &amp; Statistics,History, Philosophy &amp; Theology,Psychology,Geology, Environmental, Earth &amp; Marine Sciences,General Engineering,Politics &amp; International Studies (incl Development Studies),Computer Science,Communication &amp; Media Studies,Other Health</t>
  </si>
  <si>
    <t>https://www.timeshighereducation.com/student/register-interest/siuk?utm_medium=thewebsite&amp;utm_campaign=cta-link&amp;utm_source=rankings&amp;iid=i-54705553</t>
  </si>
  <si>
    <t>New Jersey Institute of Technology (NJIT)</t>
  </si>
  <si>
    <t>New Jersey Institute of Technology</t>
  </si>
  <si>
    <t>/world-university-rankings/new-jersey-institute-technology</t>
  </si>
  <si>
    <t>Education,Chemical Engineering,Agriculture &amp; Forestry,Mathematics &amp; Statistics,Politics &amp; International Studies (incl Development Studies),Business &amp; Management,Biological Sciences,Art, Performing Arts &amp; Design,Mechanical &amp; Aerospace Engineering,General Engineering,Civil Engineering,Sociology,Languages, Literature &amp; Linguistics,Computer Science,Physics &amp; Astronomy,Electrical &amp; Electronic Engineering,Other Health,History, Philosophy &amp; Theology,Architecture,Chemistry,Law</t>
  </si>
  <si>
    <t>https://www.timeshighereducation.com/student/register-interest/shorelight?utm_medium=thewebsite&amp;utm_campaign=cta-link&amp;utm_source=rankings&amp;iid=i-67078664</t>
  </si>
  <si>
    <t>Sechenov University</t>
  </si>
  <si>
    <t>/world-university-rankings/sechenov-university</t>
  </si>
  <si>
    <t>General Engineering,Medicine &amp; Dentistry,Sociology,Other Health,Chemical Engineering,Biological Sciences,Civil Engineering,Electrical &amp; Electronic Engineering</t>
  </si>
  <si>
    <t>University of Kentucky</t>
  </si>
  <si>
    <t>/world-university-rankings/university-kentucky</t>
  </si>
  <si>
    <t>Geology, Environmental, Earth &amp; Marine Sciences,Sociology,Chemistry,Geography,Art, Performing Arts &amp; Design,Communication &amp; Media Studies,History, Philosophy &amp; Theology,Education,Mechanical &amp; Aerospace Engineering,Sport Science,Architecture,Accounting &amp; Finance,Politics &amp; International Studies (incl Development Studies),Medicine &amp; Dentistry,Veterinary Science,Biological Sciences,Business &amp; Management,Civil Engineering,Law,Chemical Engineering,Computer Science,Physics &amp; Astronomy,Agriculture &amp; Forestry,Electrical &amp; Electronic Engineering,Languages, Literature &amp; Linguistics,Economics &amp; Econometrics,Other Health,General Engineering,Psychology,Mathematics &amp; Statistics</t>
  </si>
  <si>
    <t>https://www.timeshighereducation.com/student/register-interest/shorelight?utm_medium=thewebsite&amp;utm_campaign=cta-link&amp;utm_source=rankings&amp;iid=i-63697822</t>
  </si>
  <si>
    <t>Wayne State University</t>
  </si>
  <si>
    <t>/world-university-rankings/wayne-state-university</t>
  </si>
  <si>
    <t>Electrical &amp; Electronic Engineering,Communication &amp; Media Studies,History, Philosophy &amp; Theology,Agriculture &amp; Forestry,Law,Languages, Literature &amp; Linguistics,Biological Sciences,Education,Medicine &amp; Dentistry,Physics &amp; Astronomy,Business &amp; Management,Computer Science,Sociology,Mechanical &amp; Aerospace Engineering,Chemistry,Other Health,Sport Science,Psychology,Civil Engineering,Geology, Environmental, Earth &amp; Marine Sciences,Accounting &amp; Finance,Art, Performing Arts &amp; Design,Chemical Engineering,Mathematics &amp; Statistics,Architecture,General Engineering,Politics &amp; International Studies (incl Development Studies),Economics &amp; Econometrics</t>
  </si>
  <si>
    <t>https://www.timeshighereducation.com/student/register-interest/shorelight?utm_medium=thewebsite&amp;utm_campaign=cta-link&amp;utm_source=rankings&amp;iid=i-27884402</t>
  </si>
  <si>
    <t>Al-Ahliyya Amman University</t>
  </si>
  <si>
    <t>/world-university-rankings/al-ahliyya-amman-university</t>
  </si>
  <si>
    <t>Medicine &amp; Dentistry,Communication &amp; Media Studies,Other Health,Education,Sport Science,Business &amp; Management,Architecture,Chemistry,Electrical &amp; Electronic Engineering,Politics &amp; International Studies (incl Development Studies),Languages, Literature &amp; Linguistics,Physics &amp; Astronomy,Civil Engineering,Law,Computer Science,Mathematics &amp; Statistics,Accounting &amp; Finance,Art, Performing Arts &amp; Design,Agriculture &amp; Forestry,Psychology</t>
  </si>
  <si>
    <t xml:space="preserve">Alexandria University </t>
  </si>
  <si>
    <t>Alexandria University</t>
  </si>
  <si>
    <t>/world-university-rankings/alexandria-university</t>
  </si>
  <si>
    <t>Biological Sciences,Chemistry,Accounting &amp; Finance,Agriculture &amp; Forestry,Communication &amp; Media Studies,Mechanical &amp; Aerospace Engineering,Geology, Environmental, Earth &amp; Marine Sciences,Art, Performing Arts &amp; Design,Civil Engineering,Sociology,Medicine &amp; Dentistry,Sport Science,Education,Other Health,Veterinary Science,Business &amp; Management,Languages, Literature &amp; Linguistics,Electrical &amp; Electronic Engineering,Geography,Economics &amp; Econometrics,Architecture,General Engineering,Mathematics &amp; Statistics,Psychology,Archaeology,Chemical Engineering,Politics &amp; International Studies (incl Development Studies),History, Philosophy &amp; Theology,Computer Science,Physics &amp; Astronomy,Law</t>
  </si>
  <si>
    <t>Asia University Taiwan</t>
  </si>
  <si>
    <t>Asia University, Taiwan</t>
  </si>
  <si>
    <t>/world-university-rankings/asia-university-taiwan</t>
  </si>
  <si>
    <t>Economics &amp; Econometrics,Accounting &amp; Finance,Agriculture &amp; Forestry,Languages, Literature &amp; Linguistics,Psychology,Computer Science,Education,Art, Performing Arts &amp; Design,Communication &amp; Media Studies,Electrical &amp; Electronic Engineering,Other Health,Law,Business &amp; Management,Biological Sciences,Veterinary Science</t>
  </si>
  <si>
    <t>Donghua University</t>
  </si>
  <si>
    <t>/world-university-rankings/donghua-university</t>
  </si>
  <si>
    <t>Mechanical &amp; Aerospace Engineering,Architecture,Art, Performing Arts &amp; Design,Communication &amp; Media Studies,Languages, Literature &amp; Linguistics,Accounting &amp; Finance,Business &amp; Management,Computer Science,Geology, Environmental, Earth &amp; Marine Sciences,General Engineering,Chemical Engineering,Civil Engineering,Physics &amp; Astronomy,Chemistry,Mathematics &amp; Statistics</t>
  </si>
  <si>
    <t>951-1000</t>
  </si>
  <si>
    <t>Birla Institute of Technology and Science, Pilani</t>
  </si>
  <si>
    <t>/world-university-rankings/birla-institute-technology-and-science-pilani</t>
  </si>
  <si>
    <t>Law,Mathematics &amp; Statistics,Mechanical &amp; Aerospace Engineering,Civil Engineering,Politics &amp; International Studies (incl Development Studies),Physics &amp; Astronomy,Psychology,Biological Sciences,Chemical Engineering,Sociology,Languages, Literature &amp; Linguistics,Geology, Environmental, Earth &amp; Marine Sciences,Chemistry,Electrical &amp; Electronic Engineering,Other Health,Communication &amp; Media Studies,Business &amp; Management,Economics &amp; Econometrics,History, Philosophy &amp; Theology,Accounting &amp; Finance,Computer Science,Art, Performing Arts &amp; Design,Agriculture &amp; Forestry</t>
  </si>
  <si>
    <t>Edinburgh Napier University</t>
  </si>
  <si>
    <t>/world-university-rankings/edinburgh-napier-university</t>
  </si>
  <si>
    <t>Electrical &amp; Electronic Engineering,Psychology,Business &amp; Management,Accounting &amp; Finance,Sociology,Communication &amp; Media Studies,Other Health,Mechanical &amp; Aerospace Engineering,Art, Performing Arts &amp; Design,Law,Languages, Literature &amp; Linguistics,Sport Science,Civil Engineering,Biological Sciences</t>
  </si>
  <si>
    <t>Gda?sk University of Technology</t>
  </si>
  <si>
    <t>GdaÅ„sk University of Technology</t>
  </si>
  <si>
    <t>/world-university-rankings/gdansk-university-technology</t>
  </si>
  <si>
    <t>Chemical Engineering,General Engineering,Physics &amp; Astronomy,Chemistry,Mathematics &amp; Statistics,Geology, Environmental, Earth &amp; Marine Sciences,Computer Science,Business &amp; Management,Electrical &amp; Electronic Engineering,Economics &amp; Econometrics,Civil Engineering,Mechanical &amp; Aerospace Engineering</t>
  </si>
  <si>
    <t>Immanuel Kant Baltic Federal University</t>
  </si>
  <si>
    <t>/world-university-rankings/immanuel-kant-baltic-federal-university</t>
  </si>
  <si>
    <t>Architecture,Computer Science,Sociology,Other Health,Politics &amp; International Studies (incl Development Studies),Electrical &amp; Electronic Engineering,Geology, Environmental, Earth &amp; Marine Sciences,Languages, Literature &amp; Linguistics,Civil Engineering,Chemistry,Education,History, Philosophy &amp; Theology,Mechanical &amp; Aerospace Engineering,Communication &amp; Media Studies,Economics &amp; Econometrics,Art, Performing Arts &amp; Design,Biological Sciences,Law,Archaeology,Chemical Engineering,Geography,Medicine &amp; Dentistry,Mathematics &amp; Statistics,Business &amp; Management,General Engineering,Psychology,Physics &amp; Astronomy,Accounting &amp; Finance</t>
  </si>
  <si>
    <t>Instituto PolitÃ©cnico Nacional (IPN)</t>
  </si>
  <si>
    <t>/world-university-rankings/instituto-politecnico-nacional-ipn</t>
  </si>
  <si>
    <t>Mechanical &amp; Aerospace Engineering,Economics &amp; Econometrics,Architecture,Electrical &amp; Electronic Engineering,Chemical Engineering,Accounting &amp; Finance,Civil Engineering,General Engineering,Mathematics &amp; Statistics,Business &amp; Management,Physics &amp; Astronomy,Chemistry,Computer Science,Medicine &amp; Dentistry,Geology, Environmental, Earth &amp; Marine Sciences,Biological Sciences,Psychology</t>
  </si>
  <si>
    <t>Jouf University</t>
  </si>
  <si>
    <t>/world-university-rankings/al-jouf-university-0</t>
  </si>
  <si>
    <t>Computer Science,Accounting &amp; Finance,Mathematics &amp; Statistics,Medicine &amp; Dentistry,Business &amp; Management,General Engineering,Education,Biological Sciences,Electrical &amp; Electronic Engineering,Physics &amp; Astronomy,Other Health,Chemistry,Civil Engineering,Economics &amp; Econometrics,Mechanical &amp; Aerospace Engineering</t>
  </si>
  <si>
    <t>Kuwait University</t>
  </si>
  <si>
    <t>/world-university-rankings/kuwait-university</t>
  </si>
  <si>
    <t>Architecture,Communication &amp; Media Studies,Business &amp; Management,Computer Science,Chemistry,Education,General Engineering,Mechanical &amp; Aerospace Engineering,Geography,Medicine &amp; Dentistry,Mathematics &amp; Statistics,Law,Other Health,Physics &amp; Astronomy,Languages, Literature &amp; Linguistics,Geology, Environmental, Earth &amp; Marine Sciences,Economics &amp; Econometrics,History, Philosophy &amp; Theology,Biological Sciences,Psychology,Art, Performing Arts &amp; Design,Chemical Engineering,Accounting &amp; Finance,Electrical &amp; Electronic Engineering,Sociology,Civil Engineering,Politics &amp; International Studies (incl Development Studies)</t>
  </si>
  <si>
    <t>Liverpool John Moores University</t>
  </si>
  <si>
    <t>/world-university-rankings/liverpool-john-moores-university</t>
  </si>
  <si>
    <t>History, Philosophy &amp; Theology,Mechanical &amp; Aerospace Engineering,Art, Performing Arts &amp; Design,Languages, Literature &amp; Linguistics,Geology, Environmental, Earth &amp; Marine Sciences,Communication &amp; Media Studies,Psychology,Geography,Other Health,Mathematics &amp; Statistics,Electrical &amp; Electronic Engineering,Architecture,Veterinary Science,Politics &amp; International Studies (incl Development Studies),Business &amp; Management,General Engineering,Chemistry,Sport Science,Biological Sciences,Physics &amp; Astronomy,Sociology,Civil Engineering,Education,Law,Accounting &amp; Finance,Computer Science</t>
  </si>
  <si>
    <t>https://www.timeshighereducation.com/student/register-interest/siuk?utm_medium=thewebsite&amp;utm_campaign=cta-link&amp;utm_source=rankings&amp;iid=i-61631603</t>
  </si>
  <si>
    <t>London South Bank University</t>
  </si>
  <si>
    <t>/world-university-rankings/london-south-bank-university</t>
  </si>
  <si>
    <t>Civil Engineering,Psychology,Sociology,Economics &amp; Econometrics,Politics &amp; International Studies (incl Development Studies),Accounting &amp; Finance,Communication &amp; Media Studies,General Engineering,Business &amp; Management,Electrical &amp; Electronic Engineering,Sport Science,Law,Agriculture &amp; Forestry,Chemical Engineering,Mechanical &amp; Aerospace Engineering,Art, Performing Arts &amp; Design,Biological Sciences,Education,Computer Science,Architecture,Other Health</t>
  </si>
  <si>
    <t>https://www.timeshighereducation.com/student/register-interest/siuk?utm_medium=thewebsite&amp;utm_campaign=cta-link&amp;utm_source=rankings&amp;iid=i-95568503</t>
  </si>
  <si>
    <t>Maynooth University</t>
  </si>
  <si>
    <t>/world-university-rankings/maynooth-university</t>
  </si>
  <si>
    <t>General Engineering,Politics &amp; International Studies (incl Development Studies),Chemistry,Geography,Physics &amp; Astronomy,Law,History, Philosophy &amp; Theology,Sociology,Languages, Literature &amp; Linguistics,Communication &amp; Media Studies,Mathematics &amp; Statistics,Psychology,Electrical &amp; Electronic Engineering,Economics &amp; Econometrics,Computer Science,Accounting &amp; Finance,Biological Sciences,Business &amp; Management,Geology, Environmental, Earth &amp; Marine Sciences,Education</t>
  </si>
  <si>
    <t>National Technical University of Ukraine "Igor Sikorsky Kyiv Polytechnic Institute"</t>
  </si>
  <si>
    <t>National Technical University of Ukraine â€“ Igor Sikorsky Kyiv Polytechnic Institute</t>
  </si>
  <si>
    <t>/world-university-rankings/national-technical-university-ukraine-igor-sikorsky-kyiv-polytechnic</t>
  </si>
  <si>
    <t>Art, Performing Arts &amp; Design,Sociology,Other Health,Chemistry,Chemical Engineering,Education,Mathematics &amp; Statistics,Business &amp; Management,Electrical &amp; Electronic Engineering,Law,History, Philosophy &amp; Theology,Physics &amp; Astronomy,Communication &amp; Media Studies,Economics &amp; Econometrics,Languages, Literature &amp; Linguistics,Mechanical &amp; Aerospace Engineering,Computer Science,Biological Sciences,Psychology,General Engineering,Geology, Environmental, Earth &amp; Marine Sciences</t>
  </si>
  <si>
    <t>Syracuse University</t>
  </si>
  <si>
    <t>/world-university-rankings/syracuse-university</t>
  </si>
  <si>
    <t>Languages, Literature &amp; Linguistics,Mechanical &amp; Aerospace Engineering,Sport Science,Civil Engineering,Physics &amp; Astronomy,Business &amp; Management,Other Health,Mathematics &amp; Statistics,Psychology,Computer Science,Biological Sciences,Education,Architecture,Chemistry,Geography,Economics &amp; Econometrics,History, Philosophy &amp; Theology,Law,Electrical &amp; Electronic Engineering,Geology, Environmental, Earth &amp; Marine Sciences,Chemical Engineering,Sociology,General Engineering,Communication &amp; Media Studies,Accounting &amp; Finance,Art, Performing Arts &amp; Design,Agriculture &amp; Forestry,Politics &amp; International Studies (incl Development Studies)</t>
  </si>
  <si>
    <t>https://www.timeshighereducation.com/student/register-interest/shorelight?utm_medium=thewebsite&amp;utm_campaign=cta-link&amp;utm_source=rankings&amp;iid=i-05986189</t>
  </si>
  <si>
    <t xml:space="preserve">The Catholic University of Korea </t>
  </si>
  <si>
    <t>The Catholic University of Korea</t>
  </si>
  <si>
    <t>/world-university-rankings/catholic-university-korea</t>
  </si>
  <si>
    <t>Chemical Engineering,Sociology,Medicine &amp; Dentistry,Geology, Environmental, Earth &amp; Marine Sciences,Accounting &amp; Finance,Computer Science,Communication &amp; Media Studies,Art, Performing Arts &amp; Design,Mathematics &amp; Statistics,Politics &amp; International Studies (incl Development Studies),Biological Sciences,Education,Electrical &amp; Electronic Engineering,Chemistry,Economics &amp; Econometrics,General Engineering,Physics &amp; Astronomy,History, Philosophy &amp; Theology,Sport Science,Psychology,Languages, Literature &amp; Linguistics,Business &amp; Management,Other Health,Law</t>
  </si>
  <si>
    <t>Toronto Metropolitan University</t>
  </si>
  <si>
    <t>/world-university-rankings/toronto-metropolitan-university</t>
  </si>
  <si>
    <t>Geology, Environmental, Earth &amp; Marine Sciences,Physics &amp; Astronomy,Mathematics &amp; Statistics,Architecture,Business &amp; Management,Psychology,Chemistry,Economics &amp; Econometrics,History, Philosophy &amp; Theology,Languages, Literature &amp; Linguistics,General Engineering,Politics &amp; International Studies (incl Development Studies),Other Health,Art, Performing Arts &amp; Design,Civil Engineering,Law,Electrical &amp; Electronic Engineering,Sociology,Mechanical &amp; Aerospace Engineering,Geography,Accounting &amp; Finance,Chemical Engineering,Biological Sciences,Computer Science,Communication &amp; Media Studies</t>
  </si>
  <si>
    <t>TU Dortmund University</t>
  </si>
  <si>
    <t>/world-university-rankings/technische-universitat-dortmund</t>
  </si>
  <si>
    <t>Computer Science,Mechanical &amp; Aerospace Engineering,Architecture,Education,Civil Engineering,Business &amp; Management,Chemical Engineering,Electrical &amp; Electronic Engineering,Communication &amp; Media Studies,Mathematics &amp; Statistics,Physics &amp; Astronomy,Sociology</t>
  </si>
  <si>
    <t>Universidad San Francisco de Quito (USFQ)</t>
  </si>
  <si>
    <t>EC</t>
  </si>
  <si>
    <t>Universidad San Francisco de Quito</t>
  </si>
  <si>
    <t>/world-university-rankings/universidad-san-francisco-de-quito</t>
  </si>
  <si>
    <t>Universidad San Francisco de Quito Universidad San Francisco de Quito USFQ</t>
  </si>
  <si>
    <t>Other Health,Biological Sciences,Sociology,Electrical &amp; Electronic Engineering,Education,Medicine &amp; Dentistry,Physics &amp; Astronomy,Economics &amp; Econometrics,Veterinary Science,Communication &amp; Media Studies,Architecture,Computer Science,Business &amp; Management,Agriculture &amp; Forestry,Law,Accounting &amp; Finance,General Engineering,Mathematics &amp; Statistics,Art, Performing Arts &amp; Design,Chemical Engineering,Politics &amp; International Studies (incl Development Studies),Civil Engineering,Psychology,Mechanical &amp; Aerospace Engineering,Geology, Environmental, Earth &amp; Marine Sciences</t>
  </si>
  <si>
    <t xml:space="preserve">Universitas Brawijaya </t>
  </si>
  <si>
    <t>Universitas Sriwijaya</t>
  </si>
  <si>
    <t>/world-university-rankings/universitas-sriwijaya</t>
  </si>
  <si>
    <t>Civil Engineering,Chemical Engineering,Architecture,Communication &amp; Media Studies,Education,Biological Sciences,Psychology,Medicine &amp; Dentistry,Politics &amp; International Studies (incl Development Studies),Geology, Environmental, Earth &amp; Marine Sciences,Mathematics &amp; Statistics,Law,Languages, Literature &amp; Linguistics,Other Health,Computer Science,Economics &amp; Econometrics,Physics &amp; Astronomy,Accounting &amp; Finance,Agriculture &amp; Forestry,History, Philosophy &amp; Theology,Electrical &amp; Electronic Engineering,Business &amp; Management,Sociology,General Engineering,Chemistry,Mechanical &amp; Aerospace Engineering</t>
  </si>
  <si>
    <t>Universiti Tunku Abdul Rahman (UTAR)</t>
  </si>
  <si>
    <t>/world-university-rankings/universiti-tunku-abdul-rahman-utar</t>
  </si>
  <si>
    <t>Architecture,Art, Performing Arts &amp; Design,Psychology,Economics &amp; Econometrics,Mechanical &amp; Aerospace Engineering,Accounting &amp; Finance,Agriculture &amp; Forestry,Languages, Literature &amp; Linguistics,Chemistry,Other Health,Biological Sciences,Physics &amp; Astronomy,Business &amp; Management,Electrical &amp; Electronic Engineering,General Engineering,Civil Engineering,Education,Sociology,Communication &amp; Media Studies,Computer Science,Geology, Environmental, Earth &amp; Marine Sciences,Medicine &amp; Dentistry,Chemical Engineering,Mathematics &amp; Statistics</t>
  </si>
  <si>
    <t>University of Alaska Fairbanks</t>
  </si>
  <si>
    <t>/world-university-rankings/university-alaska-fairbanks</t>
  </si>
  <si>
    <t>Other Health,Physics &amp; Astronomy,Psychology,Computer Science,Communication &amp; Media Studies,Electrical &amp; Electronic Engineering,Veterinary Science,Economics &amp; Econometrics,Mechanical &amp; Aerospace Engineering,Mathematics &amp; Statistics,Business &amp; Management,Languages, Literature &amp; Linguistics,Geology, Environmental, Earth &amp; Marine Sciences,Accounting &amp; Finance,General Engineering,Biological Sciences,Education,History, Philosophy &amp; Theology,Civil Engineering,Sociology,Architecture,Politics &amp; International Studies (incl Development Studies),Art, Performing Arts &amp; Design,Agriculture &amp; Forestry,Chemistry,Chemical Engineering,Geography</t>
  </si>
  <si>
    <t>https://www.timeshighereducation.com/student/register-interest/shorelight?utm_medium=thewebsite&amp;utm_campaign=cta-link&amp;utm_source=rankings&amp;iid=i-42306882</t>
  </si>
  <si>
    <t>University of Alicante</t>
  </si>
  <si>
    <t>/world-university-rankings/university-alicante</t>
  </si>
  <si>
    <t>General Engineering,Mathematics &amp; Statistics,Geography,Communication &amp; Media Studies,Physics &amp; Astronomy,Computer Science,Civil Engineering,Law,Geology, Environmental, Earth &amp; Marine Sciences,Business &amp; Management,Other Health,Chemistry,Archaeology,Architecture,Electrical &amp; Electronic Engineering,Politics &amp; International Studies (incl Development Studies),Sport Science,Languages, Literature &amp; Linguistics,Sociology,Biological Sciences,Economics &amp; Econometrics,Education,Chemical Engineering,History, Philosophy &amp; Theology</t>
  </si>
  <si>
    <t>University of Baghdad</t>
  </si>
  <si>
    <t>IQ</t>
  </si>
  <si>
    <t>Iraq</t>
  </si>
  <si>
    <t>/world-university-rankings/university-baghdad</t>
  </si>
  <si>
    <t>Education,Art, Performing Arts &amp; Design,Veterinary Science,Other Health,Agriculture &amp; Forestry,Physics &amp; Astronomy,Economics &amp; Econometrics,Chemical Engineering,Geography,Mechanical &amp; Aerospace Engineering,Politics &amp; International Studies (incl Development Studies),Biological Sciences,Chemistry,Accounting &amp; Finance,Languages, Literature &amp; Linguistics,Civil Engineering,Geology, Environmental, Earth &amp; Marine Sciences,History, Philosophy &amp; Theology,Archaeology,Electrical &amp; Electronic Engineering,General Engineering,Business &amp; Management,Law,Sociology,Architecture,Sport Science,Communication &amp; Media Studies,Computer Science,Psychology,Mathematics &amp; Statistics,Medicine &amp; Dentistry</t>
  </si>
  <si>
    <t>University of Brighton</t>
  </si>
  <si>
    <t>/world-university-rankings/university-brighton</t>
  </si>
  <si>
    <t>Art, Performing Arts &amp; Design,Electrical &amp; Electronic Engineering,Education,Medicine &amp; Dentistry,Mechanical &amp; Aerospace Engineering,Economics &amp; Econometrics,Architecture,Sport Science,Business &amp; Management,Computer Science,Chemical Engineering,Politics &amp; International Studies (incl Development Studies),Archaeology,Geology, Environmental, Earth &amp; Marine Sciences,Psychology,Languages, Literature &amp; Linguistics,Mathematics &amp; Statistics,Law,General Engineering,Communication &amp; Media Studies,Chemistry,Geography,History, Philosophy &amp; Theology,Biological Sciences,Accounting &amp; Finance,Other Health,Civil Engineering,Sociology</t>
  </si>
  <si>
    <t>https://www.timeshighereducation.com/student/register-interest/siuk?utm_medium=thewebsite&amp;utm_campaign=cta-link&amp;utm_source=rankings&amp;iid=i-12990754</t>
  </si>
  <si>
    <t>University of Bucharest</t>
  </si>
  <si>
    <t>/world-university-rankings/university-bucharest</t>
  </si>
  <si>
    <t>Mathematics &amp; Statistics,History, Philosophy &amp; Theology,Business &amp; Management,Politics &amp; International Studies (incl Development Studies),Computer Science,Geography,Communication &amp; Media Studies,Geology, Environmental, Earth &amp; Marine Sciences,Languages, Literature &amp; Linguistics,Sociology,Physics &amp; Astronomy,Chemistry,Economics &amp; Econometrics,Education,General Engineering,Law,Biological Sciences,Psychology</t>
  </si>
  <si>
    <t>University of Oregon</t>
  </si>
  <si>
    <t>/world-university-rankings/university-oregon</t>
  </si>
  <si>
    <t>Chemical Engineering,Biological Sciences,Communication &amp; Media Studies,Education,Politics &amp; International Studies (incl Development Studies),Geology, Environmental, Earth &amp; Marine Sciences,Archaeology,Art, Performing Arts &amp; Design,Mathematics &amp; Statistics,Business &amp; Management,Computer Science,Geography,Chemistry,Languages, Literature &amp; Linguistics,Sociology,History, Philosophy &amp; Theology,Architecture,Physics &amp; Astronomy,Psychology,Sport Science,Economics &amp; Econometrics,Accounting &amp; Finance,Law</t>
  </si>
  <si>
    <t>https://www.timeshighereducation.com/student/register-interest/shorelight?utm_medium=thewebsite&amp;utm_campaign=cta-link&amp;utm_source=rankings&amp;iid=i-76164771</t>
  </si>
  <si>
    <t>University of Salerno</t>
  </si>
  <si>
    <t>/world-university-rankings/university-salerno</t>
  </si>
  <si>
    <t>Computer Science,Physics &amp; Astronomy,Archaeology,Mechanical &amp; Aerospace Engineering,Psychology,Other Health,Communication &amp; Media Studies,Sociology,Architecture,Biological Sciences,Education,Art, Performing Arts &amp; Design,Chemical Engineering,Geology, Environmental, Earth &amp; Marine Sciences,General Engineering,Mathematics &amp; Statistics,Business &amp; Management,Languages, Literature &amp; Linguistics,Civil Engineering,Law,Medicine &amp; Dentistry,Sport Science,Accounting &amp; Finance,History, Philosophy &amp; Theology,Agriculture &amp; Forestry,Politics &amp; International Studies (incl Development Studies),Electrical &amp; Electronic Engineering,Chemistry,Economics &amp; Econometrics</t>
  </si>
  <si>
    <t>1401+</t>
  </si>
  <si>
    <t>University of Stavanger</t>
  </si>
  <si>
    <t>/world-university-rankings/university-stavanger</t>
  </si>
  <si>
    <t>Biological Sciences,Mechanical &amp; Aerospace Engineering,Physics &amp; Astronomy,Art, Performing Arts &amp; Design,Politics &amp; International Studies (incl Development Studies),Business &amp; Management,Computer Science,Psychology,Education,Chemical Engineering,Languages, Literature &amp; Linguistics,Civil Engineering,Chemistry,Accounting &amp; Finance,Mathematics &amp; Statistics,Economics &amp; Econometrics,General Engineering,Geology, Environmental, Earth &amp; Marine Sciences,Law,Sport Science,History, Philosophy &amp; Theology,Other Health,Communication &amp; Media Studies,Electrical &amp; Electronic Engineering,Sociology</t>
  </si>
  <si>
    <t xml:space="preserve">University of Ulsan </t>
  </si>
  <si>
    <t>University of Ulsan</t>
  </si>
  <si>
    <t>/world-university-rankings/university-ulsan</t>
  </si>
  <si>
    <t>Languages, Literature &amp; Linguistics,Sociology,History, Philosophy &amp; Theology,Politics &amp; International Studies (incl Development Studies),Education,Electrical &amp; Electronic Engineering,Economics &amp; Econometrics,Chemistry,Geology, Environmental, Earth &amp; Marine Sciences,Other Health,Accounting &amp; Finance,Architecture,Mathematics &amp; Statistics,Art, Performing Arts &amp; Design,General Engineering,Mechanical &amp; Aerospace Engineering,Chemical Engineering,Biological Sciences,Physics &amp; Astronomy,Medicine &amp; Dentistry,Business &amp; Management,Sport Science,Computer Science,Civil Engineering,Law</t>
  </si>
  <si>
    <t>AGH University of Science and Technology</t>
  </si>
  <si>
    <t>Ufa University of Science and Technology</t>
  </si>
  <si>
    <t>/world-university-rankings/ufa-university-science-and-technology</t>
  </si>
  <si>
    <t>History, Philosophy &amp; Theology,Chemistry,Mechanical &amp; Aerospace Engineering,Sociology,Computer Science,Communication &amp; Media Studies,Biological Sciences,Politics &amp; International Studies (incl Development Studies),Archaeology,Geology, Environmental, Earth &amp; Marine Sciences,Economics &amp; Econometrics,General Engineering,Geography,Mathematics &amp; Statistics,Psychology,Languages, Literature &amp; Linguistics,Chemical Engineering,Law,Other Health,Physics &amp; Astronomy,Accounting &amp; Finance,Electrical &amp; Electronic Engineering,Education,Business &amp; Management</t>
  </si>
  <si>
    <t>1001-1200</t>
  </si>
  <si>
    <t>Al-Quds University</t>
  </si>
  <si>
    <t>PS</t>
  </si>
  <si>
    <t>Palestinian Territory, Occupied</t>
  </si>
  <si>
    <t>/world-university-rankings/al-quds-university</t>
  </si>
  <si>
    <t>Palestine</t>
  </si>
  <si>
    <t>Medicine &amp; Dentistry,Biological Sciences,Business &amp; Management,Art, Performing Arts &amp; Design,Other Health,Agriculture &amp; Forestry,Communication &amp; Media Studies,Economics &amp; Econometrics,General Engineering,Sociology,Electrical &amp; Electronic Engineering,Geography,Computer Science,Chemistry,Accounting &amp; Finance,History, Philosophy &amp; Theology,Politics &amp; International Studies (incl Development Studies),Archaeology,Mechanical &amp; Aerospace Engineering,Geology, Environmental, Earth &amp; Marine Sciences,Architecture,Mathematics &amp; Statistics,Law,Physics &amp; Astronomy,Education,Languages, Literature &amp; Linguistics,Sport Science,Psychology</t>
  </si>
  <si>
    <t xml:space="preserve">Charles Sturt University </t>
  </si>
  <si>
    <t>Charles Sturt University</t>
  </si>
  <si>
    <t>/world-university-rankings/charles-sturt-university</t>
  </si>
  <si>
    <t>Other Health,Geology, Environmental, Earth &amp; Marine Sciences,Economics &amp; Econometrics,Veterinary Science,Law,Sport Science,Computer Science,Communication &amp; Media Studies,Education,Civil Engineering,Politics &amp; International Studies (incl Development Studies),Agriculture &amp; Forestry,Sociology,Medicine &amp; Dentistry,Chemistry,Accounting &amp; Finance,Biological Sciences,Geography,History, Philosophy &amp; Theology,Physics &amp; Astronomy,Business &amp; Management,Languages, Literature &amp; Linguistics,Mathematics &amp; Statistics,Psychology</t>
  </si>
  <si>
    <t>https://www.timeshighereducation.com/student/register-interest/aecc?utm_medium=thewebsite&amp;utm_campaign=cta-link&amp;utm_source=rankings&amp;iid=i-00526782</t>
  </si>
  <si>
    <t>Chonnam National University</t>
  </si>
  <si>
    <t>/world-university-rankings/chonnam-national-university</t>
  </si>
  <si>
    <t>Other Health,Business &amp; Management,Architecture,Biological Sciences,Communication &amp; Media Studies,Economics &amp; Econometrics,Sociology,Sport Science,Computer Science,Geology, Environmental, Earth &amp; Marine Sciences,Civil Engineering,Electrical &amp; Electronic Engineering,Art, Performing Arts &amp; Design,Languages, Literature &amp; Linguistics,Mechanical &amp; Aerospace Engineering,General Engineering,Accounting &amp; Finance,Psychology,Chemistry,Medicine &amp; Dentistry,Geography,Archaeology,Mathematics &amp; Statistics,Physics &amp; Astronomy,Chemical Engineering,History, Philosophy &amp; Theology,Education,Politics &amp; International Studies (incl Development Studies),Veterinary Science,Law,Agriculture &amp; Forestry</t>
  </si>
  <si>
    <t>Chungnam National University</t>
  </si>
  <si>
    <t>/world-university-rankings/chungnam-national-university</t>
  </si>
  <si>
    <t>Chungnam National University CNU Chung Nam National University Chung-Nam</t>
  </si>
  <si>
    <t>Medicine &amp; Dentistry,Chemistry,Law,Architecture,Biological Sciences,Geography,Art, Performing Arts &amp; Design,Mechanical &amp; Aerospace Engineering,Mathematics &amp; Statistics,Business &amp; Management,Archaeology,Agriculture &amp; Forestry,Sociology,Other Health,Geology, Environmental, Earth &amp; Marine Sciences,Economics &amp; Econometrics,Civil Engineering,Communication &amp; Media Studies,General Engineering,Sport Science,Accounting &amp; Finance,Computer Science,Physics &amp; Astronomy,Education,History, Philosophy &amp; Theology,Chemical Engineering,Politics &amp; International Studies (incl Development Studies),Languages, Literature &amp; Linguistics,Electrical &amp; Electronic Engineering,Veterinary Science,Psychology</t>
  </si>
  <si>
    <t>Clarkson University</t>
  </si>
  <si>
    <t>/world-university-rankings/clarkson-university</t>
  </si>
  <si>
    <t>Languages, Literature &amp; Linguistics,Psychology,Chemical Engineering,Communication &amp; Media Studies,Mathematics &amp; Statistics,Business &amp; Management,General Engineering,Computer Science,Geology, Environmental, Earth &amp; Marine Sciences,Biological Sciences,Civil Engineering,Chemistry,Mechanical &amp; Aerospace Engineering,Economics &amp; Econometrics,Education,Politics &amp; International Studies (incl Development Studies),Physics &amp; Astronomy,Sociology,History, Philosophy &amp; Theology,Other Health,Accounting &amp; Finance,Electrical &amp; Electronic Engineering</t>
  </si>
  <si>
    <t>https://www.timeshighereducation.com/student/register-interest/shorelight?utm_medium=thewebsite&amp;utm_campaign=cta-link&amp;utm_source=rankings&amp;iid=i-68513222</t>
  </si>
  <si>
    <t>CY Cergy Paris University</t>
  </si>
  <si>
    <t>/world-university-rankings/cy-cergy-paris-university-0</t>
  </si>
  <si>
    <t>Law,Accounting &amp; Finance,Chemical Engineering,Electrical &amp; Electronic Engineering,Sociology,Biological Sciences,Geography,Physics &amp; Astronomy,Business &amp; Management,Economics &amp; Econometrics,History, Philosophy &amp; Theology,Sport Science,Architecture,Computer Science,Geology, Environmental, Earth &amp; Marine Sciences,Education,Psychology,Mechanical &amp; Aerospace Engineering,Mathematics &amp; Statistics,General Engineering,Languages, Literature &amp; Linguistics,Politics &amp; International Studies (incl Development Studies),Communication &amp; Media Studies,Civil Engineering,Chemistry,Art, Performing Arts &amp; Design</t>
  </si>
  <si>
    <t>Georgia State University</t>
  </si>
  <si>
    <t>/world-university-rankings/georgia-state-university</t>
  </si>
  <si>
    <t>Computer Science,Education,Biological Sciences,Geography,Chemistry,Accounting &amp; Finance,Communication &amp; Media Studies,Art, Performing Arts &amp; Design,Sport Science,Law,Medicine &amp; Dentistry,Sociology,Physics &amp; Astronomy,Business &amp; Management,Other Health,Languages, Literature &amp; Linguistics,Politics &amp; International Studies (incl Development Studies),History, Philosophy &amp; Theology,Geology, Environmental, Earth &amp; Marine Sciences,Economics &amp; Econometrics,Mathematics &amp; Statistics,Psychology</t>
  </si>
  <si>
    <t>https://www.timeshighereducation.com/student/register-interest/shorelight?utm_medium=thewebsite&amp;utm_campaign=cta-link&amp;utm_source=rankings&amp;iid=i-29042203</t>
  </si>
  <si>
    <t>Gulf University for Science and Technology</t>
  </si>
  <si>
    <t>Delta University for Science and Technology</t>
  </si>
  <si>
    <t>/world-university-rankings/delta-university-science-and-technology</t>
  </si>
  <si>
    <t>Other Health,Electrical &amp; Electronic Engineering,Geography,Computer Science,Civil Engineering,Business &amp; Management,Communication &amp; Media Studies,Architecture,Medicine &amp; Dentistry,Accounting &amp; Finance,Economics &amp; Econometrics,General Engineering,Mechanical &amp; Aerospace Engineering,Languages, Literature &amp; Linguistics</t>
  </si>
  <si>
    <t>Jamia Millia Islamia</t>
  </si>
  <si>
    <t>/world-university-rankings/jamia-millia-islamia</t>
  </si>
  <si>
    <t>Architecture,Mathematics &amp; Statistics,Education,Electrical &amp; Electronic Engineering,Communication &amp; Media Studies,Archaeology,Geology, Environmental, Earth &amp; Marine Sciences,Business &amp; Management,Art, Performing Arts &amp; Design,Chemical Engineering,Politics &amp; International Studies (incl Development Studies),Other Health,Chemistry,Economics &amp; Econometrics,General Engineering,Civil Engineering,Sociology,History, Philosophy &amp; Theology,Biological Sciences,Psychology,Medicine &amp; Dentistry,Sport Science,Accounting &amp; Finance,Computer Science,Physics &amp; Astronomy,Law,Languages, Literature &amp; Linguistics,Mechanical &amp; Aerospace Engineering,Geography</t>
  </si>
  <si>
    <t xml:space="preserve">Kansas State University </t>
  </si>
  <si>
    <t>Kansas State University</t>
  </si>
  <si>
    <t>/world-university-rankings/kansas-state-university</t>
  </si>
  <si>
    <t>Sport Science,Mechanical &amp; Aerospace Engineering,Communication &amp; Media Studies,Economics &amp; Econometrics,Other Health,Psychology,Electrical &amp; Electronic Engineering,Politics &amp; International Studies (incl Development Studies),History, Philosophy &amp; Theology,Veterinary Science,Business &amp; Management,General Engineering,Geology, Environmental, Earth &amp; Marine Sciences,Accounting &amp; Finance,Agriculture &amp; Forestry,Physics &amp; Astronomy,Law,Languages, Literature &amp; Linguistics,Chemical Engineering,Sociology,Art, Performing Arts &amp; Design,Civil Engineering,Chemistry,Computer Science,Mathematics &amp; Statistics,Education,Architecture,Biological Sciences,Geography</t>
  </si>
  <si>
    <t>https://www.timeshighereducation.com/student/register-interest/shorelight?utm_medium=thewebsite&amp;utm_campaign=cta-link&amp;utm_source=rankings&amp;iid=i-29439461</t>
  </si>
  <si>
    <t>Mendel University in Brno</t>
  </si>
  <si>
    <t>/world-university-rankings/mendel-university-brno</t>
  </si>
  <si>
    <t>Architecture,Education,Politics &amp; International Studies (incl Development Studies),Art, Performing Arts &amp; Design,Chemistry,Economics &amp; Econometrics,Biological Sciences,Agriculture &amp; Forestry,Business &amp; Management,Geography,Computer Science</t>
  </si>
  <si>
    <t>Nagasaki University</t>
  </si>
  <si>
    <t>/world-university-rankings/nagasaki-university</t>
  </si>
  <si>
    <t>Geology, Environmental, Earth &amp; Marine Sciences,Medicine &amp; Dentistry,Politics &amp; International Studies (incl Development Studies),Computer Science,Civil Engineering,Education,Sociology,Mechanical &amp; Aerospace Engineering,Economics &amp; Econometrics,Languages, Literature &amp; Linguistics,Chemical Engineering,General Engineering,Mathematics &amp; Statistics,Electrical &amp; Electronic Engineering,Business &amp; Management,Other Health,Communication &amp; Media Studies,Accounting &amp; Finance</t>
  </si>
  <si>
    <t>North-West University</t>
  </si>
  <si>
    <t>/world-university-rankings/north-west-university</t>
  </si>
  <si>
    <t>Other Health,Psychology,Agriculture &amp; Forestry,Politics &amp; International Studies (incl Development Studies),Chemistry,Electrical &amp; Electronic Engineering,Sport Science,History, Philosophy &amp; Theology,Languages, Literature &amp; Linguistics,Geology, Environmental, Earth &amp; Marine Sciences,Economics &amp; Econometrics,Law,Biological Sciences,General Engineering,Education,Medicine &amp; Dentistry,Communication &amp; Media Studies,Accounting &amp; Finance,Mechanical &amp; Aerospace Engineering,Art, Performing Arts &amp; Design,Physics &amp; Astronomy,Sociology,Mathematics &amp; Statistics,Business &amp; Management,Geography,Computer Science,Chemical Engineering</t>
  </si>
  <si>
    <t>Okayama University</t>
  </si>
  <si>
    <t>/world-university-rankings/okayama-university</t>
  </si>
  <si>
    <t>Architecture,Physics &amp; Astronomy,Archaeology,Biological Sciences,Economics &amp; Econometrics,General Engineering,Law,Languages, Literature &amp; Linguistics,Chemical Engineering,Education,Art, Performing Arts &amp; Design,Mechanical &amp; Aerospace Engineering,Business &amp; Management,History, Philosophy &amp; Theology,Agriculture &amp; Forestry,Electrical &amp; Electronic Engineering,Chemistry,Medicine &amp; Dentistry,Geology, Environmental, Earth &amp; Marine Sciences,Other Health,Mathematics &amp; Statistics,Civil Engineering,Accounting &amp; Finance</t>
  </si>
  <si>
    <t xml:space="preserve">Oklahoma State University </t>
  </si>
  <si>
    <t>Oklahoma State University</t>
  </si>
  <si>
    <t>/world-university-rankings/oklahoma-state-university</t>
  </si>
  <si>
    <t>General Engineering,Archaeology,Chemical Engineering,Chemistry,Civil Engineering,Politics &amp; International Studies (incl Development Studies),Accounting &amp; Finance,Electrical &amp; Electronic Engineering,Art, Performing Arts &amp; Design,Geology, Environmental, Earth &amp; Marine Sciences,Business &amp; Management,Other Health,Physics &amp; Astronomy,Mathematics &amp; Statistics,Computer Science,Veterinary Science,Education,Medicine &amp; Dentistry,Biological Sciences,Geography,Languages, Literature &amp; Linguistics,Mechanical &amp; Aerospace Engineering,Communication &amp; Media Studies,History, Philosophy &amp; Theology,Agriculture &amp; Forestry,Sociology,Psychology,Architecture,Sport Science,Economics &amp; Econometrics</t>
  </si>
  <si>
    <t>https://www.timeshighereducation.com/student/register-interest/shorelight?utm_medium=thewebsite&amp;utm_campaign=cta-link&amp;utm_source=rankings&amp;iid=i-48119563</t>
  </si>
  <si>
    <t>Pavol Jozef Å afÃ¡rik University in KoÅ¡ice</t>
  </si>
  <si>
    <t>/world-university-rankings/pavol-jozef-safarik-university-kosice</t>
  </si>
  <si>
    <t>Geology, Environmental, Earth &amp; Marine Sciences,Computer Science,Languages, Literature &amp; Linguistics,Geography,Communication &amp; Media Studies,Mathematics &amp; Statistics,Other Health,History, Philosophy &amp; Theology,Politics &amp; International Studies (incl Development Studies),Education,Sociology,Biological Sciences,Psychology,Physics &amp; Astronomy,Law,Sport Science,Chemistry,Agriculture &amp; Forestry,Medicine &amp; Dentistry</t>
  </si>
  <si>
    <t>Poznan University of Life Sciences</t>
  </si>
  <si>
    <t>PoznaÅ„ University of Life Sciences</t>
  </si>
  <si>
    <t>/world-university-rankings/poznan-university-life-sciences</t>
  </si>
  <si>
    <t>General Engineering,Accounting &amp; Finance,Economics &amp; Econometrics,Civil Engineering,Biological Sciences,Agriculture &amp; Forestry,Veterinary Science</t>
  </si>
  <si>
    <t>Technological University Dublin</t>
  </si>
  <si>
    <t>/world-university-rankings/technological-university-dublin</t>
  </si>
  <si>
    <t>Architecture,Mathematics &amp; Statistics,Electrical &amp; Electronic Engineering,Geology, Environmental, Earth &amp; Marine Sciences,Other Health,Sport Science,Languages, Literature &amp; Linguistics,Biological Sciences,Business &amp; Management,Computer Science,Education,Mechanical &amp; Aerospace Engineering,Communication &amp; Media Studies,Agriculture &amp; Forestry,Accounting &amp; Finance,History, Philosophy &amp; Theology,Chemistry,Economics &amp; Econometrics,General Engineering,Law,Art, Performing Arts &amp; Design,Civil Engineering,Physics &amp; Astronomy</t>
  </si>
  <si>
    <t>Thapar Institute of Engineering &amp; Technology</t>
  </si>
  <si>
    <t>Thapar Institute of Engineering and Technology</t>
  </si>
  <si>
    <t>/world-university-rankings/thapar-institute-engineering-and-technology</t>
  </si>
  <si>
    <t>Electrical &amp; Electronic Engineering,Mathematics &amp; Statistics,Mechanical &amp; Aerospace Engineering,Physics &amp; Astronomy,Chemical Engineering,Business &amp; Management,Computer Science,Civil Engineering,General Engineering</t>
  </si>
  <si>
    <t xml:space="preserve">Tokyo University of Agriculture and Technology </t>
  </si>
  <si>
    <t>Tokyo University of Agriculture and Technology</t>
  </si>
  <si>
    <t>/world-university-rankings/tokyo-university-agriculture-and-technology</t>
  </si>
  <si>
    <t>Sport Science,Mechanical &amp; Aerospace Engineering,Geography,Veterinary Science,Chemistry,Agriculture &amp; Forestry,Civil Engineering,Geology, Environmental, Earth &amp; Marine Sciences,Mathematics &amp; Statistics,General Engineering,Electrical &amp; Electronic Engineering,Physics &amp; Astronomy,Politics &amp; International Studies (incl Development Studies),Sociology,Chemical Engineering,Computer Science,Biological Sciences</t>
  </si>
  <si>
    <t>UniversitÃ© du QuÃ©bec</t>
  </si>
  <si>
    <t>/world-university-rankings/universite-du-quebec</t>
  </si>
  <si>
    <t>Sociology,Politics &amp; International Studies (incl Development Studies),Civil Engineering,Biological Sciences,Geology, Environmental, Earth &amp; Marine Sciences,Computer Science,Communication &amp; Media Studies,Mathematics &amp; Statistics,Architecture,History, Philosophy &amp; Theology,Agriculture &amp; Forestry,Education,Geography,Physics &amp; Astronomy,Archaeology,Electrical &amp; Electronic Engineering,Accounting &amp; Finance,Economics &amp; Econometrics,Psychology,Chemical Engineering,Sport Science,General Engineering,Law,Art, Performing Arts &amp; Design,Veterinary Science,Other Health,Mechanical &amp; Aerospace Engineering,Languages, Literature &amp; Linguistics,Business &amp; Management,Medicine &amp; Dentistry,Chemistry</t>
  </si>
  <si>
    <t>https://www.timeshighereducation.com/student/register-interest/applyboard?utm_medium=thewebsite&amp;utm_campaign=cta-link&amp;utm_source=rankings&amp;iid=i-70194892</t>
  </si>
  <si>
    <t>University of Dubai</t>
  </si>
  <si>
    <t>/world-university-rankings/university-dubai</t>
  </si>
  <si>
    <t>Business &amp; Management,Computer Science,Accounting &amp; Finance,Law,Electrical &amp; Electronic Engineering</t>
  </si>
  <si>
    <t>University of Ghana</t>
  </si>
  <si>
    <t>GH</t>
  </si>
  <si>
    <t>Ghana</t>
  </si>
  <si>
    <t>/world-university-rankings/university-ghana</t>
  </si>
  <si>
    <t>General Engineering,Biological Sciences,Accounting &amp; Finance,History, Philosophy &amp; Theology,Mathematics &amp; Statistics,Sociology,Computer Science,Politics &amp; International Studies (incl Development Studies),Economics &amp; Econometrics,Geology, Environmental, Earth &amp; Marine Sciences,Other Health,Chemistry,Business &amp; Management,Languages, Literature &amp; Linguistics,Communication &amp; Media Studies,Medicine &amp; Dentistry,Sport Science,Law,Physics &amp; Astronomy,Psychology,Archaeology,Veterinary Science,Education,Agriculture &amp; Forestry,Geography</t>
  </si>
  <si>
    <t>University of Hertfordshire</t>
  </si>
  <si>
    <t>/world-university-rankings/university-hertfordshire</t>
  </si>
  <si>
    <t>General Engineering,Geography,Architecture,Mathematics &amp; Statistics,Sociology,Art, Performing Arts &amp; Design,Mechanical &amp; Aerospace Engineering,Politics &amp; International Studies (incl Development Studies),Physics &amp; Astronomy,Business &amp; Management,Other Health,Sport Science,Accounting &amp; Finance,Civil Engineering,Psychology,Electrical &amp; Electronic Engineering,Communication &amp; Media Studies,Veterinary Science,Economics &amp; Econometrics,Biological Sciences,Education,Computer Science,Geology, Environmental, Earth &amp; Marine Sciences,Law</t>
  </si>
  <si>
    <t>https://www.timeshighereducation.com/student/register-interest/siuk?utm_medium=thewebsite&amp;utm_campaign=cta-link&amp;utm_source=rankings&amp;iid=i-38054073</t>
  </si>
  <si>
    <t>University of Palermo</t>
  </si>
  <si>
    <t>/world-university-rankings/university-palermo</t>
  </si>
  <si>
    <t>Mechanical &amp; Aerospace Engineering,Electrical &amp; Electronic Engineering,Accounting &amp; Finance,Business &amp; Management,Archaeology,Medicine &amp; Dentistry,Psychology,Mathematics &amp; Statistics,Geology, Environmental, Earth &amp; Marine Sciences,Sport Science,Other Health,Economics &amp; Econometrics,Civil Engineering,Computer Science,Languages, Literature &amp; Linguistics,Agriculture &amp; Forestry,Chemistry,Architecture,Politics &amp; International Studies (incl Development Studies),Art, Performing Arts &amp; Design,Education,Biological Sciences,Chemical Engineering,History, Philosophy &amp; Theology,Law,General Engineering,Physics &amp; Astronomy,Communication &amp; Media Studies</t>
  </si>
  <si>
    <t>University of Santo Tomas</t>
  </si>
  <si>
    <t>/world-university-rankings/university-santo-tomas</t>
  </si>
  <si>
    <t>Law,Education,Mechanical &amp; Aerospace Engineering,Chemistry,Politics &amp; International Studies (incl Development Studies),Business &amp; Management,Medicine &amp; Dentistry,Geology, Environmental, Earth &amp; Marine Sciences,Languages, Literature &amp; Linguistics,Chemical Engineering,Economics &amp; Econometrics,Architecture,Communication &amp; Media Studies,Computer Science,Biological Sciences,General Engineering,Art, Performing Arts &amp; Design,Electrical &amp; Electronic Engineering,Accounting &amp; Finance,Civil Engineering,Physics &amp; Astronomy,Psychology,Mathematics &amp; Statistics,Other Health,History, Philosophy &amp; Theology,Sport Science,Sociology</t>
  </si>
  <si>
    <t>University of South Africa</t>
  </si>
  <si>
    <t>/world-university-rankings/university-south-africa</t>
  </si>
  <si>
    <t>Mathematics &amp; Statistics,Law,Business &amp; Management,Education,General Engineering,Languages, Literature &amp; Linguistics,Agriculture &amp; Forestry,Chemistry,Accounting &amp; Finance,Geology, Environmental, Earth &amp; Marine Sciences,Electrical &amp; Electronic Engineering,Physics &amp; Astronomy,Mechanical &amp; Aerospace Engineering,Biological Sciences,Geography,Other Health,Economics &amp; Econometrics,Chemical Engineering,History, Philosophy &amp; Theology,Communication &amp; Media Studies,Archaeology,Computer Science,Politics &amp; International Studies (incl Development Studies),Art, Performing Arts &amp; Design,Civil Engineering,Psychology,Sociology</t>
  </si>
  <si>
    <t xml:space="preserve">Vietnam National University, Hanoi </t>
  </si>
  <si>
    <t>Vietnam National University, Hanoi</t>
  </si>
  <si>
    <t>/world-university-rankings/vietnam-national-university-hanoi</t>
  </si>
  <si>
    <t>Vietnam National University, Hanoi VNU</t>
  </si>
  <si>
    <t>Languages, Literature &amp; Linguistics,Mathematics &amp; Statistics,General Engineering,Psychology,Biological Sciences,Civil Engineering,Art, Performing Arts &amp; Design,Sociology,Law,Mechanical &amp; Aerospace Engineering,Computer Science,Politics &amp; International Studies (incl Development Studies),Medicine &amp; Dentistry,Education,Communication &amp; Media Studies,Physics &amp; Astronomy,Chemical Engineering,Economics &amp; Econometrics,Business &amp; Management,Sport Science,Geography,Electrical &amp; Electronic Engineering,History, Philosophy &amp; Theology,Chemistry,Agriculture &amp; Forestry,Accounting &amp; Finance,Geology, Environmental, Earth &amp; Marine Sciences</t>
  </si>
  <si>
    <t>Virginia Commonwealth University</t>
  </si>
  <si>
    <t>/world-university-rankings/virginia-commonwealth-university</t>
  </si>
  <si>
    <t>Chemistry,Other Health,General Engineering,Medicine &amp; Dentistry,Chemical Engineering,Business &amp; Management,Electrical &amp; Electronic Engineering,Art, Performing Arts &amp; Design,Accounting &amp; Finance,Civil Engineering,Sport Science,Physics &amp; Astronomy,Mechanical &amp; Aerospace Engineering,Computer Science,Sociology,Agriculture &amp; Forestry,Education,Psychology,Communication &amp; Media Studies,Politics &amp; International Studies (incl Development Studies),Languages, Literature &amp; Linguistics,Economics &amp; Econometrics,Mathematics &amp; Statistics,History, Philosophy &amp; Theology,Biological Sciences</t>
  </si>
  <si>
    <t>https://www.timeshighereducation.com/student/register-interest/shorelight?utm_medium=thewebsite&amp;utm_campaign=cta-link&amp;utm_source=rankings&amp;iid=i-58151541</t>
  </si>
  <si>
    <t>Australian Catholic University</t>
  </si>
  <si>
    <t>/world-university-rankings/australian-catholic-university</t>
  </si>
  <si>
    <t>Australian Catholic University ACU</t>
  </si>
  <si>
    <t>Communication &amp; Media Studies,Other Health,History, Philosophy &amp; Theology,Computer Science,Accounting &amp; Finance,Law,Languages, Literature &amp; Linguistics,Psychology,Mathematics &amp; Statistics,Sport Science,Sociology,Business &amp; Management,Politics &amp; International Studies (incl Development Studies),Art, Performing Arts &amp; Design,Biological Sciences,Education</t>
  </si>
  <si>
    <t>https://www.timeshighereducation.com/student/register-interest/aecc?utm_medium=thewebsite&amp;utm_campaign=cta-link&amp;utm_source=rankings&amp;iid=i-49154853</t>
  </si>
  <si>
    <t>Harbin Engineering University</t>
  </si>
  <si>
    <t>/world-university-rankings/harbin-engineering-university</t>
  </si>
  <si>
    <t>Computer Science,Politics &amp; International Studies (incl Development Studies),Business &amp; Management,Electrical &amp; Electronic Engineering,Mathematics &amp; Statistics,Economics &amp; Econometrics,Chemical Engineering,Architecture,Psychology,Law,Chemistry,Civil Engineering,Mechanical &amp; Aerospace Engineering,Sociology,Languages, Literature &amp; Linguistics,Physics &amp; Astronomy</t>
  </si>
  <si>
    <t>Catania University</t>
  </si>
  <si>
    <t>University of Catania</t>
  </si>
  <si>
    <t>/world-university-rankings/universita-degli-studi-di-catania</t>
  </si>
  <si>
    <t>Other Health,Sport Science,Psychology,Electrical &amp; Electronic Engineering,Geology, Environmental, Earth &amp; Marine Sciences,Archaeology,Agriculture &amp; Forestry,Education,Mechanical &amp; Aerospace Engineering,Politics &amp; International Studies (incl Development Studies),Architecture,Biological Sciences,Business &amp; Management,History, Philosophy &amp; Theology,Civil Engineering,Physics &amp; Astronomy,Accounting &amp; Finance,General Engineering,Chemistry,Law,Medicine &amp; Dentistry,Mathematics &amp; Statistics,Art, Performing Arts &amp; Design,Computer Science,Communication &amp; Media Studies,Economics &amp; Econometrics,Languages, Literature &amp; Linguistics,Chemical Engineering,Sociology</t>
  </si>
  <si>
    <t>Future University in Egypt</t>
  </si>
  <si>
    <t>/world-university-rankings/future-university-egypt</t>
  </si>
  <si>
    <t>Politics &amp; International Studies (incl Development Studies),Accounting &amp; Finance,Computer Science,Electrical &amp; Electronic Engineering,Other Health,General Engineering,Communication &amp; Media Studies,Medicine &amp; Dentistry,Civil Engineering,Business &amp; Management,Mechanical &amp; Aerospace Engineering</t>
  </si>
  <si>
    <t>Georgian Technical University</t>
  </si>
  <si>
    <t>/world-university-rankings/georgian-technical-university</t>
  </si>
  <si>
    <t>Archaeology,Chemical Engineering,Electrical &amp; Electronic Engineering,Law,Architecture,Geography,Mechanical &amp; Aerospace Engineering,Computer Science,General Engineering,Business &amp; Management,Sociology,Civil Engineering,Communication &amp; Media Studies,Economics &amp; Econometrics,Geology, Environmental, Earth &amp; Marine Sciences,Chemistry,Politics &amp; International Studies (incl Development Studies),Agriculture &amp; Forestry,Accounting &amp; Finance,Other Health,Biological Sciences,Art, Performing Arts &amp; Design</t>
  </si>
  <si>
    <t>German Jordanian University</t>
  </si>
  <si>
    <t>/world-university-rankings/german-jordanian-university</t>
  </si>
  <si>
    <t>Geology, Environmental, Earth &amp; Marine Sciences,Architecture,Accounting &amp; Finance,Electrical &amp; Electronic Engineering,Art, Performing Arts &amp; Design,Chemical Engineering,Languages, Literature &amp; Linguistics,Computer Science,Economics &amp; Econometrics,General Engineering,Sociology,Mechanical &amp; Aerospace Engineering,Business &amp; Management,Civil Engineering</t>
  </si>
  <si>
    <t>Imam Mohammad Ibn Saud Islamic University â€“ IMSIU</t>
  </si>
  <si>
    <t>Imam Mohammad Ibn Saud Islamic University</t>
  </si>
  <si>
    <t>/world-university-rankings/imam-mohammad-ibn-saud-islamic-university</t>
  </si>
  <si>
    <t>Psychology,Civil Engineering,Other Health,Law,Politics &amp; International Studies (incl Development Studies),Geology, Environmental, Earth &amp; Marine Sciences,Veterinary Science,Mechanical &amp; Aerospace Engineering,Art, Performing Arts &amp; Design,Education,Archaeology,Economics &amp; Econometrics,Chemistry,Agriculture &amp; Forestry,Biological Sciences,Languages, Literature &amp; Linguistics,Architecture,Electrical &amp; Electronic Engineering,Chemical Engineering,Communication &amp; Media Studies,Sociology,Geography,Medicine &amp; Dentistry,Business &amp; Management,History, Philosophy &amp; Theology,Accounting &amp; Finance,Physics &amp; Astronomy,Computer Science,Mathematics &amp; Statistics,General Engineering,Sport Science</t>
  </si>
  <si>
    <t>Kanazawa University</t>
  </si>
  <si>
    <t>/world-university-rankings/kanazawa-university</t>
  </si>
  <si>
    <t>Civil Engineering,Mathematics &amp; Statistics,General Engineering,Chemistry,Computer Science,Politics &amp; International Studies (incl Development Studies),Architecture,Electrical &amp; Electronic Engineering,Geography,History, Philosophy &amp; Theology,Archaeology,Education,Mechanical &amp; Aerospace Engineering,Geology, Environmental, Earth &amp; Marine Sciences,Sport Science,Accounting &amp; Finance,Languages, Literature &amp; Linguistics,Biological Sciences,Sociology,Business &amp; Management,Medicine &amp; Dentistry,Chemical Engineering,Law,Other Health,Physics &amp; Astronomy,Economics &amp; Econometrics,Psychology,Communication &amp; Media Studies</t>
  </si>
  <si>
    <t>Karaganda Buketov University</t>
  </si>
  <si>
    <t>/world-university-rankings/karaganda-buketov-university</t>
  </si>
  <si>
    <t>Sport Science,Economics &amp; Econometrics,Architecture,Chemistry,Accounting &amp; Finance,Computer Science,Politics &amp; International Studies (incl Development Studies),Business &amp; Management,Agriculture &amp; Forestry,Psychology,Art, Performing Arts &amp; Design,Biological Sciences,Education,Archaeology,Electrical &amp; Electronic Engineering,Sociology,History, Philosophy &amp; Theology,Chemical Engineering,Geography,General Engineering,Communication &amp; Media Studies,Languages, Literature &amp; Linguistics,Mathematics &amp; Statistics,Law,Physics &amp; Astronomy</t>
  </si>
  <si>
    <t>Kyrgyz-Turkish Manas University</t>
  </si>
  <si>
    <t>KG</t>
  </si>
  <si>
    <t>Kyrgyzstan</t>
  </si>
  <si>
    <t>/world-university-rankings/kyrgyz-turkish-manas-university</t>
  </si>
  <si>
    <t>Economics &amp; Econometrics,Mathematics &amp; Statistics,Languages, Literature &amp; Linguistics,Computer Science,Business &amp; Management,Electrical &amp; Electronic Engineering,Sport Science,Communication &amp; Media Studies,Agriculture &amp; Forestry,Education,Sociology,History, Philosophy &amp; Theology,Veterinary Science,Accounting &amp; Finance,Chemical Engineering,Biological Sciences,Politics &amp; International Studies (incl Development Studies),Archaeology</t>
  </si>
  <si>
    <t>Louisiana State University</t>
  </si>
  <si>
    <t>/world-university-rankings/louisiana-state-university</t>
  </si>
  <si>
    <t>Education,Sociology,Economics &amp; Econometrics,Other Health,Physics &amp; Astronomy,Accounting &amp; Finance,Chemistry,Medicine &amp; Dentistry,Law,Communication &amp; Media Studies,Biological Sciences,History, Philosophy &amp; Theology,Agriculture &amp; Forestry,Architecture,Mechanical &amp; Aerospace Engineering,Business &amp; Management,Sport Science,General Engineering,Civil Engineering,Politics &amp; International Studies (incl Development Studies),Geology, Environmental, Earth &amp; Marine Sciences,Electrical &amp; Electronic Engineering,Geography,Languages, Literature &amp; Linguistics,Art, Performing Arts &amp; Design,Chemical Engineering,Computer Science,Psychology,Mathematics &amp; Statistics</t>
  </si>
  <si>
    <t>https://www.timeshighereducation.com/student/register-interest/shorelight?utm_medium=thewebsite&amp;utm_campaign=cta-link&amp;utm_source=rankings&amp;iid=i-48956002</t>
  </si>
  <si>
    <t>Makerere University</t>
  </si>
  <si>
    <t>UG</t>
  </si>
  <si>
    <t>Uganda</t>
  </si>
  <si>
    <t>/world-university-rankings/makerere-university</t>
  </si>
  <si>
    <t>Art, Performing Arts &amp; Design,Computer Science,Medicine &amp; Dentistry,Geology, Environmental, Earth &amp; Marine Sciences,Agriculture &amp; Forestry,Business &amp; Management,Education,Politics &amp; International Studies (incl Development Studies),Law,Civil Engineering,Psychology</t>
  </si>
  <si>
    <t>National Research Saratov State University</t>
  </si>
  <si>
    <t>/world-university-rankings/national-research-saratov-state-university</t>
  </si>
  <si>
    <t>Chemical Engineering,Geology, Environmental, Earth &amp; Marine Sciences,Business &amp; Management,Geography,Biological Sciences,Communication &amp; Media Studies,Politics &amp; International Studies (incl Development Studies),Computer Science,Electrical &amp; Electronic Engineering,Art, Performing Arts &amp; Design,History, Philosophy &amp; Theology,Sociology,Chemistry,Accounting &amp; Finance,Mathematics &amp; Statistics,Languages, Literature &amp; Linguistics,Education,Physics &amp; Astronomy,Psychology</t>
  </si>
  <si>
    <t>North South University</t>
  </si>
  <si>
    <t>/world-university-rankings/north-south-university</t>
  </si>
  <si>
    <t>Communication &amp; Media Studies,Politics &amp; International Studies (incl Development Studies),Geology, Environmental, Earth &amp; Marine Sciences,Biological Sciences,Languages, Literature &amp; Linguistics,Law,Business &amp; Management,Other Health,Accounting &amp; Finance,History, Philosophy &amp; Theology,Architecture,Electrical &amp; Electronic Engineering,Civil Engineering,Computer Science,General Engineering,Economics &amp; Econometrics</t>
  </si>
  <si>
    <t>Osaka Metropolitan University</t>
  </si>
  <si>
    <t>/world-university-rankings/osaka-metropolitan-university</t>
  </si>
  <si>
    <t>Other Health,Mathematics &amp; Statistics,Accounting &amp; Finance,Architecture,Physics &amp; Astronomy,Medicine &amp; Dentistry,Communication &amp; Media Studies,History, Philosophy &amp; Theology,Computer Science,Geology, Environmental, Earth &amp; Marine Sciences,Law,Archaeology,Art, Performing Arts &amp; Design,Agriculture &amp; Forestry,Politics &amp; International Studies (incl Development Studies),Sociology,Languages, Literature &amp; Linguistics,Chemical Engineering,Sport Science,Mechanical &amp; Aerospace Engineering,Education,Business &amp; Management,Civil Engineering,Chemistry,Veterinary Science,Geography,General Engineering,Biological Sciences,Electrical &amp; Electronic Engineering,Economics &amp; Econometrics,Psychology</t>
  </si>
  <si>
    <t>Ritsumeikan Asia Pacific University</t>
  </si>
  <si>
    <t>Ritsumeikan Asia Pacific University (APU)</t>
  </si>
  <si>
    <t>/world-university-rankings/ritsumeikan-asia-pacific-university-apu</t>
  </si>
  <si>
    <t>Ritsumeikan Asia Pacific University (APU) APU international Japan</t>
  </si>
  <si>
    <t>Accounting &amp; Finance,Sociology,Politics &amp; International Studies (incl Development Studies),Business &amp; Management,Communication &amp; Media Studies</t>
  </si>
  <si>
    <t>Robert Gordon University</t>
  </si>
  <si>
    <t>/world-university-rankings/robert-gordon-university</t>
  </si>
  <si>
    <t>Sociology,Art, Performing Arts &amp; Design,Sport Science,Biological Sciences,Architecture,Chemistry,Electrical &amp; Electronic Engineering,Law,Other Health,Computer Science,Communication &amp; Media Studies,Civil Engineering,Accounting &amp; Finance,Mechanical &amp; Aerospace Engineering,Business &amp; Management</t>
  </si>
  <si>
    <t>https://www.timeshighereducation.com/student/register-interest/siuk?utm_medium=thewebsite&amp;utm_campaign=cta-link&amp;utm_source=rankings&amp;iid=i-34564743</t>
  </si>
  <si>
    <t xml:space="preserve">Universidad Pontificia Bolivariana </t>
  </si>
  <si>
    <t>CO</t>
  </si>
  <si>
    <t>Colombia</t>
  </si>
  <si>
    <t>Universidad Pontificia Bolivariana (UPB)</t>
  </si>
  <si>
    <t>/world-university-rankings/universidad-pontificia-bolivariana-upb-medellin</t>
  </si>
  <si>
    <t>Law,Chemical Engineering,Mechanical &amp; Aerospace Engineering,Architecture,Education,Communication &amp; Media Studies,Computer Science,Business &amp; Management,General Engineering,History, Philosophy &amp; Theology,Electrical &amp; Electronic Engineering,Politics &amp; International Studies (incl Development Studies),Medicine &amp; Dentistry,Psychology</t>
  </si>
  <si>
    <t>University of Calabria</t>
  </si>
  <si>
    <t>/world-university-rankings/university-calabria</t>
  </si>
  <si>
    <t>Sociology,Law,Chemical Engineering,Economics &amp; Econometrics,Biological Sciences,Geography,Physics &amp; Astronomy,Politics &amp; International Studies (incl Development Studies),Languages, Literature &amp; Linguistics,Computer Science,Education,Communication &amp; Media Studies,Mechanical &amp; Aerospace Engineering,Accounting &amp; Finance,Civil Engineering,Business &amp; Management,History, Philosophy &amp; Theology,Geology, Environmental, Earth &amp; Marine Sciences,Electrical &amp; Electronic Engineering,Mathematics &amp; Statistics,Other Health,Archaeology,Chemistry,General Engineering,Agriculture &amp; Forestry,Art, Performing Arts &amp; Design</t>
  </si>
  <si>
    <t>University of East London</t>
  </si>
  <si>
    <t>/world-university-rankings/university-east-london</t>
  </si>
  <si>
    <t>Biological Sciences,Art, Performing Arts &amp; Design,Architecture,Chemistry,Business &amp; Management,Education,Psychology,Mechanical &amp; Aerospace Engineering,Economics &amp; Econometrics,Computer Science,Communication &amp; Media Studies,Civil Engineering,Law,General Engineering,Electrical &amp; Electronic Engineering,Sociology,Accounting &amp; Finance,Politics &amp; International Studies (incl Development Studies),Sport Science</t>
  </si>
  <si>
    <t>https://www.timeshighereducation.com/student/register-interest/siuk?utm_medium=thewebsite&amp;utm_campaign=cta-link&amp;utm_source=rankings&amp;iid=i-53004296</t>
  </si>
  <si>
    <t>University of Hail</t>
  </si>
  <si>
    <t>/world-university-rankings/university-hail</t>
  </si>
  <si>
    <t>Architecture,Chemical Engineering,Business &amp; Management,History, Philosophy &amp; Theology,Mathematics &amp; Statistics,Sport Science,Other Health,Geology, Environmental, Earth &amp; Marine Sciences,Geography,Mechanical &amp; Aerospace Engineering,Psychology,Languages, Literature &amp; Linguistics,Civil Engineering,General Engineering,Art, Performing Arts &amp; Design,Biological Sciences,Communication &amp; Media Studies,Medicine &amp; Dentistry,Physics &amp; Astronomy,Economics &amp; Econometrics,Electrical &amp; Electronic Engineering,Education,Sociology,Computer Science,Law,Archaeology,Chemistry,Accounting &amp; Finance</t>
  </si>
  <si>
    <t>University of Maribor</t>
  </si>
  <si>
    <t>/world-university-rankings/university-maribor</t>
  </si>
  <si>
    <t>Geography,Communication &amp; Media Studies,Psychology,Civil Engineering,Mathematics &amp; Statistics,Electrical &amp; Electronic Engineering,Languages, Literature &amp; Linguistics,Sport Science,Law,Architecture,Other Health,Computer Science,Sociology,Economics &amp; Econometrics,General Engineering,Chemical Engineering,Chemistry,History, Philosophy &amp; Theology,Biological Sciences,Accounting &amp; Finance,Agriculture &amp; Forestry,Education,Medicine &amp; Dentistry,Business &amp; Management,Physics &amp; Astronomy,Mechanical &amp; Aerospace Engineering,Art, Performing Arts &amp; Design</t>
  </si>
  <si>
    <t>University of Murcia</t>
  </si>
  <si>
    <t>/world-university-rankings/university-murcia</t>
  </si>
  <si>
    <t>Biological Sciences,Accounting &amp; Finance,Chemical Engineering,Sociology,Languages, Literature &amp; Linguistics,Geology, Environmental, Earth &amp; Marine Sciences,Computer Science,Communication &amp; Media Studies,Business &amp; Management,Medicine &amp; Dentistry,Veterinary Science,Geography,Physics &amp; Astronomy,Law,History, Philosophy &amp; Theology,Sport Science,Economics &amp; Econometrics,Other Health,Chemistry,Education,Art, Performing Arts &amp; Design,Agriculture &amp; Forestry,Mathematics &amp; Statistics,Psychology</t>
  </si>
  <si>
    <t>University of Nairobi</t>
  </si>
  <si>
    <t>KE</t>
  </si>
  <si>
    <t>Kenya</t>
  </si>
  <si>
    <t>/world-university-rankings/university-nairobi</t>
  </si>
  <si>
    <t>Law,Mathematics &amp; Statistics,Business &amp; Management,Communication &amp; Media Studies,Languages, Literature &amp; Linguistics,Politics &amp; International Studies (incl Development Studies),Civil Engineering,Electrical &amp; Electronic Engineering,General Engineering,Education,Chemistry,Other Health,Art, Performing Arts &amp; Design,Sport Science,Computer Science,Accounting &amp; Finance,Geography,Mechanical &amp; Aerospace Engineering,Sociology,Chemical Engineering,Architecture,Agriculture &amp; Forestry,History, Philosophy &amp; Theology,Economics &amp; Econometrics,Geology, Environmental, Earth &amp; Marine Sciences,Physics &amp; Astronomy,Archaeology,Veterinary Science,Psychology,Medicine &amp; Dentistry,Biological Sciences</t>
  </si>
  <si>
    <t>University of Peshawar</t>
  </si>
  <si>
    <t>/world-university-rankings/university-peshawar</t>
  </si>
  <si>
    <t>Mathematics &amp; Statistics,General Engineering,Law,Psychology,Communication &amp; Media Studies,Geography,Business &amp; Management,Computer Science,Other Health,Politics &amp; International Studies (incl Development Studies),Physics &amp; Astronomy,Accounting &amp; Finance,Sociology,Art, Performing Arts &amp; Design,Geology, Environmental, Earth &amp; Marine Sciences,Education,Biological Sciences,Electrical &amp; Electronic Engineering,Languages, Literature &amp; Linguistics,Economics &amp; Econometrics,Archaeology,History, Philosophy &amp; Theology,Architecture,Chemistry</t>
  </si>
  <si>
    <t>University of Salford</t>
  </si>
  <si>
    <t>/world-university-rankings/university-salford</t>
  </si>
  <si>
    <t>Economics &amp; Econometrics,Mechanical &amp; Aerospace Engineering,Sociology,General Engineering,Geology, Environmental, Earth &amp; Marine Sciences,Geography,Sport Science,History, Philosophy &amp; Theology,Architecture,Psychology,Mathematics &amp; Statistics,Business &amp; Management,Law,Chemical Engineering,Politics &amp; International Studies (incl Development Studies),Chemistry,Civil Engineering,Other Health,Physics &amp; Astronomy,Art, Performing Arts &amp; Design,Accounting &amp; Finance,Electrical &amp; Electronic Engineering,Computer Science,Communication &amp; Media Studies,Biological Sciences</t>
  </si>
  <si>
    <t>https://www.timeshighereducation.com/student/register-interest/siuk?utm_medium=thewebsite&amp;utm_campaign=cta-link&amp;utm_source=rankings&amp;iid=i-72056655</t>
  </si>
  <si>
    <t>Worcester Polytechnic Institute</t>
  </si>
  <si>
    <t>/world-university-rankings/worcester-polytechnic-institute</t>
  </si>
  <si>
    <t>Communication &amp; Media Studies,Education,Mechanical &amp; Aerospace Engineering,Art, Performing Arts &amp; Design,Computer Science,Geology, Environmental, Earth &amp; Marine Sciences,Business &amp; Management,Chemistry,Psychology,General Engineering,Chemical Engineering,Politics &amp; International Studies (incl Development Studies),Architecture,Physics &amp; Astronomy,Economics &amp; Econometrics,Biological Sciences,Mathematics &amp; Statistics,Electrical &amp; Electronic Engineering,History, Philosophy &amp; Theology,Civil Engineering</t>
  </si>
  <si>
    <t>https://www.timeshighereducation.com/student/register-interest/shorelight?utm_medium=thewebsite&amp;utm_campaign=cta-link&amp;utm_source=rankings&amp;iid=i-74317773</t>
  </si>
  <si>
    <t>Yerevan State University</t>
  </si>
  <si>
    <t>AM</t>
  </si>
  <si>
    <t>Armenia</t>
  </si>
  <si>
    <t>/world-university-rankings/yerevan-state-university</t>
  </si>
  <si>
    <t>History, Philosophy &amp; Theology,Business &amp; Management,Archaeology,Computer Science,Geology, Environmental, Earth &amp; Marine Sciences,Geography,Mathematics &amp; Statistics,Politics &amp; International Studies (incl Development Studies),Other Health,Economics &amp; Econometrics,Accounting &amp; Finance,Biological Sciences,Psychology,Chemistry,Languages, Literature &amp; Linguistics,Sociology,Education,Law,Physics &amp; Astronomy,Communication &amp; Media Studies</t>
  </si>
  <si>
    <t>Yokohama City University</t>
  </si>
  <si>
    <t>/world-university-rankings/yokohama-city-university</t>
  </si>
  <si>
    <t>Mathematics &amp; Statistics,Business &amp; Management,Biological Sciences,Economics &amp; Econometrics,Accounting &amp; Finance,Medicine &amp; Dentistry,Chemistry,Politics &amp; International Studies (incl Development Studies),Sociology,Other Health</t>
  </si>
  <si>
    <t>Almaty Technological University</t>
  </si>
  <si>
    <t>/world-university-rankings/almaty-technological-university</t>
  </si>
  <si>
    <t>Accounting &amp; Finance,Art, Performing Arts &amp; Design,Biological Sciences,Business &amp; Management,General Engineering,Computer Science,Mechanical &amp; Aerospace Engineering,Mathematics &amp; Statistics,Chemical Engineering</t>
  </si>
  <si>
    <t>Athens University of Economics and Business</t>
  </si>
  <si>
    <t>/world-university-rankings/athens-university-economics-and-business</t>
  </si>
  <si>
    <t>Accounting &amp; Finance,Business &amp; Management,Economics &amp; Econometrics,Communication &amp; Media Studies,Mathematics &amp; Statistics,Politics &amp; International Studies (incl Development Studies),Computer Science</t>
  </si>
  <si>
    <t>Auburn University</t>
  </si>
  <si>
    <t>/world-university-rankings/auburn-university</t>
  </si>
  <si>
    <t>General Engineering,Languages, Literature &amp; Linguistics,Veterinary Science,Architecture,Sport Science,Geography,Computer Science,Chemistry,Business &amp; Management,Other Health,Civil Engineering,Psychology,Electrical &amp; Electronic Engineering,Mathematics &amp; Statistics,Education,Art, Performing Arts &amp; Design,Biological Sciences,Politics &amp; International Studies (incl Development Studies),Medicine &amp; Dentistry,Agriculture &amp; Forestry,Law,Mechanical &amp; Aerospace Engineering,Geology, Environmental, Earth &amp; Marine Sciences,Economics &amp; Econometrics,History, Philosophy &amp; Theology,Chemical Engineering,Communication &amp; Media Studies,Physics &amp; Astronomy,Accounting &amp; Finance,Sociology</t>
  </si>
  <si>
    <t>https://www.timeshighereducation.com/student/register-interest/shorelight?utm_medium=thewebsite&amp;utm_campaign=cta-link&amp;utm_source=rankings&amp;iid=i-23882234</t>
  </si>
  <si>
    <t>Baku State University</t>
  </si>
  <si>
    <t>AZ</t>
  </si>
  <si>
    <t>Azerbaijan</t>
  </si>
  <si>
    <t>/world-university-rankings/baku-state-university</t>
  </si>
  <si>
    <t>Languages, Literature &amp; Linguistics,Civil Engineering,Education,General Engineering,Mathematics &amp; Statistics,Business &amp; Management,History, Philosophy &amp; Theology,Chemistry,Archaeology,Physics &amp; Astronomy,Psychology,Agriculture &amp; Forestry,Law,Mechanical &amp; Aerospace Engineering,Politics &amp; International Studies (incl Development Studies),Economics &amp; Econometrics,Biological Sciences,Sociology,Computer Science,Geology, Environmental, Earth &amp; Marine Sciences,Chemical Engineering,Geography,Electrical &amp; Electronic Engineering,Communication &amp; Media Studies,Accounting &amp; Finance</t>
  </si>
  <si>
    <t>Clark University</t>
  </si>
  <si>
    <t>/world-university-rankings/clark-university</t>
  </si>
  <si>
    <t>Physics &amp; Astronomy,Education,History, Philosophy &amp; Theology,Psychology,Biological Sciences,Economics &amp; Econometrics,Mathematics &amp; Statistics,Accounting &amp; Finance,Geology, Environmental, Earth &amp; Marine Sciences,Politics &amp; International Studies (incl Development Studies),Computer Science,Sociology,Languages, Literature &amp; Linguistics,Geography,Art, Performing Arts &amp; Design,Chemistry,Business &amp; Management,Communication &amp; Media Studies</t>
  </si>
  <si>
    <t>https://www.timeshighereducation.com/student/register-interest/shorelight?utm_medium=thewebsite&amp;utm_campaign=cta-link&amp;utm_source=rankings&amp;iid=i-38187082</t>
  </si>
  <si>
    <t>D. Serikbayev East Kazakhstan state technical university</t>
  </si>
  <si>
    <t>D. Serikbayev East Kazakhstan Technical University</t>
  </si>
  <si>
    <t>/world-university-rankings/d-serikbayev-east-kazakhstan-technical-university</t>
  </si>
  <si>
    <t>Civil Engineering,Electrical &amp; Electronic Engineering,General Engineering,Accounting &amp; Finance,Economics &amp; Econometrics,Business &amp; Management,Computer Science,Mathematics &amp; Statistics,Architecture,Mechanical &amp; Aerospace Engineering,Agriculture &amp; Forestry,Physics &amp; Astronomy,Geology, Environmental, Earth &amp; Marine Sciences,Art, Performing Arts &amp; Design</t>
  </si>
  <si>
    <t>Ferdowsi University of Mashhad</t>
  </si>
  <si>
    <t>/world-university-rankings/ferdowsi-university-mashhad</t>
  </si>
  <si>
    <t>Sport Science,Law,Architecture,Archaeology,Communication &amp; Media Studies,Chemistry,Politics &amp; International Studies (incl Development Studies),Psychology,Civil Engineering,Physics &amp; Astronomy,Economics &amp; Econometrics,Computer Science,Geology, Environmental, Earth &amp; Marine Sciences,Business &amp; Management,Electrical &amp; Electronic Engineering,Mathematics &amp; Statistics,Accounting &amp; Finance,Languages, Literature &amp; Linguistics,Biological Sciences,Sociology,Chemical Engineering,Veterinary Science,History, Philosophy &amp; Theology,Agriculture &amp; Forestry,Geography,Education,Art, Performing Arts &amp; Design,General Engineering,Mechanical &amp; Aerospace Engineering</t>
  </si>
  <si>
    <t>Financial University under the Government of the Russian Federation</t>
  </si>
  <si>
    <t>/world-university-rankings/financial-university-under-government-russian-federation</t>
  </si>
  <si>
    <t>Mathematics &amp; Statistics,Politics &amp; International Studies (incl Development Studies),Sociology,Computer Science,Business &amp; Management,Law,Economics &amp; Econometrics,Accounting &amp; Finance,Communication &amp; Media Studies</t>
  </si>
  <si>
    <t xml:space="preserve">Hallym University </t>
  </si>
  <si>
    <t>Hallym University</t>
  </si>
  <si>
    <t>/world-university-rankings/hallym-university</t>
  </si>
  <si>
    <t>Electrical &amp; Electronic Engineering,Sociology,Politics &amp; International Studies (incl Development Studies),Computer Science,Art, Performing Arts &amp; Design,Biological Sciences,Accounting &amp; Finance,Languages, Literature &amp; Linguistics,Geology, Environmental, Earth &amp; Marine Sciences,Medicine &amp; Dentistry,Chemistry,Mathematics &amp; Statistics,Psychology,History, Philosophy &amp; Theology,Communication &amp; Media Studies,Economics &amp; Econometrics,General Engineering,Law,Other Health,Physics &amp; Astronomy,Sport Science,Business &amp; Management</t>
  </si>
  <si>
    <t>Khon Kaen University</t>
  </si>
  <si>
    <t>/world-university-rankings/khon-kaen-university</t>
  </si>
  <si>
    <t>Mechanical &amp; Aerospace Engineering,Other Health,Mathematics &amp; Statistics,Electrical &amp; Electronic Engineering,Politics &amp; International Studies (incl Development Studies),Medicine &amp; Dentistry,Physics &amp; Astronomy,Art, Performing Arts &amp; Design,Chemical Engineering,Law,Civil Engineering,Business &amp; Management,Architecture,Agriculture &amp; Forestry,Languages, Literature &amp; Linguistics,Veterinary Science,General Engineering,Education,Computer Science,Chemistry,Economics &amp; Econometrics,Geology, Environmental, Earth &amp; Marine Sciences</t>
  </si>
  <si>
    <t xml:space="preserve">King Mongkut's University of Technology Thonburi </t>
  </si>
  <si>
    <t>King Mongkutâ€™s University of Technology Thonburi</t>
  </si>
  <si>
    <t>/world-university-rankings/king-mongkuts-university-technology-thonburi</t>
  </si>
  <si>
    <t>Civil Engineering,Architecture,Mathematics &amp; Statistics,Physics &amp; Astronomy,Mechanical &amp; Aerospace Engineering,Computer Science,Biological Sciences,General Engineering,Electrical &amp; Electronic Engineering,Geology, Environmental, Earth &amp; Marine Sciences,Business &amp; Management,Education,Agriculture &amp; Forestry,Communication &amp; Media Studies,Accounting &amp; Finance,Chemistry,Languages, Literature &amp; Linguistics,Chemical Engineering</t>
  </si>
  <si>
    <t>Kumamoto University</t>
  </si>
  <si>
    <t>/world-university-rankings/kumamoto-university</t>
  </si>
  <si>
    <t>Archaeology,Physics &amp; Astronomy,Psychology,Other Health,Mathematics &amp; Statistics,Languages, Literature &amp; Linguistics,Chemical Engineering,Law,Architecture,Biological Sciences,General Engineering,Communication &amp; Media Studies,Medicine &amp; Dentistry,Geology, Environmental, Earth &amp; Marine Sciences,Electrical &amp; Electronic Engineering,Sociology,History, Philosophy &amp; Theology,Civil Engineering,Geography,Computer Science,Chemistry,Art, Performing Arts &amp; Design,Mechanical &amp; Aerospace Engineering,Politics &amp; International Studies (incl Development Studies),Education</t>
  </si>
  <si>
    <t>Mansoura University</t>
  </si>
  <si>
    <t>/world-university-rankings/mansoura-university</t>
  </si>
  <si>
    <t>Business &amp; Management,Biological Sciences,Languages, Literature &amp; Linguistics,Architecture,Electrical &amp; Electronic Engineering,Computer Science,Law,Veterinary Science,Chemistry,Geography,Economics &amp; Econometrics,Sociology,Sport Science,Medicine &amp; Dentistry,Communication &amp; Media Studies,History, Philosophy &amp; Theology,Chemical Engineering,Agriculture &amp; Forestry,Geology, Environmental, Earth &amp; Marine Sciences,Politics &amp; International Studies (incl Development Studies),Mathematics &amp; Statistics,Accounting &amp; Finance,Mechanical &amp; Aerospace Engineering,Archaeology,Civil Engineering,Art, Performing Arts &amp; Design,Education,Other Health,Psychology,General Engineering,Physics &amp; Astronomy</t>
  </si>
  <si>
    <t>Niigata University</t>
  </si>
  <si>
    <t>/world-university-rankings/niigata-university</t>
  </si>
  <si>
    <t>Electrical &amp; Electronic Engineering,Physics &amp; Astronomy,Economics &amp; Econometrics,Art, Performing Arts &amp; Design,Biological Sciences,Communication &amp; Media Studies,Medicine &amp; Dentistry,Computer Science,Politics &amp; International Studies (incl Development Studies),Archaeology,Chemical Engineering,Psychology,General Engineering,Sport Science,Accounting &amp; Finance,Mechanical &amp; Aerospace Engineering,Geology, Environmental, Earth &amp; Marine Sciences,Business &amp; Management,History, Philosophy &amp; Theology,Civil Engineering,Geography,Languages, Literature &amp; Linguistics,Mathematics &amp; Statistics,Law,Architecture,Agriculture &amp; Forestry,Sociology,Other Health,Chemistry,Education</t>
  </si>
  <si>
    <t>Northern Borders University</t>
  </si>
  <si>
    <t>Northern Border University</t>
  </si>
  <si>
    <t>/world-university-rankings/northern-border-university-0</t>
  </si>
  <si>
    <t>Psychology,Computer Science,Geography,Veterinary Science,Education,Medicine &amp; Dentistry,Agriculture &amp; Forestry,Sociology,Archaeology,Languages, Literature &amp; Linguistics,Other Health,Law,Chemistry,Electrical &amp; Electronic Engineering,Geology, Environmental, Earth &amp; Marine Sciences,Business &amp; Management,Civil Engineering,Biological Sciences,Mechanical &amp; Aerospace Engineering,Architecture,History, Philosophy &amp; Theology,Accounting &amp; Finance,Politics &amp; International Studies (incl Development Studies),Communication &amp; Media Studies,Chemical Engineering,General Engineering,Economics &amp; Econometrics,Sport Science,Mathematics &amp; Statistics,Art, Performing Arts &amp; Design,Physics &amp; Astronomy</t>
  </si>
  <si>
    <t>Pontificia Universidad CatÃ³lica del Ecuador (PUCE)</t>
  </si>
  <si>
    <t>Prince of Songkla University</t>
  </si>
  <si>
    <t>/world-university-rankings/prince-songkla-university</t>
  </si>
  <si>
    <t>Electrical &amp; Electronic Engineering,Geology, Environmental, Earth &amp; Marine Sciences,Mechanical &amp; Aerospace Engineering,Physics &amp; Astronomy,Other Health,Mathematics &amp; Statistics,Business &amp; Management,Civil Engineering,Psychology,History, Philosophy &amp; Theology,General Engineering,Law,Accounting &amp; Finance,Art, Performing Arts &amp; Design,Biological Sciences,Sociology,Languages, Literature &amp; Linguistics,Agriculture &amp; Forestry,Geography,Computer Science,Communication &amp; Media Studies,Economics &amp; Econometrics,Architecture,Chemical Engineering,Education,Medicine &amp; Dentistry,Veterinary Science,Chemistry</t>
  </si>
  <si>
    <t>S.D. Asfendiyarov Kazakh National Medical University</t>
  </si>
  <si>
    <t>Asfendiyarov Kazakh National Medical University</t>
  </si>
  <si>
    <t>/world-university-rankings/asfendiyarov-kazakh-national-medical-university</t>
  </si>
  <si>
    <t>Medicine &amp; Dentistry,Business &amp; Management,Other Health</t>
  </si>
  <si>
    <t xml:space="preserve">Sophia University </t>
  </si>
  <si>
    <t>Sophia University</t>
  </si>
  <si>
    <t>/world-university-rankings/sophia-university</t>
  </si>
  <si>
    <t>Sophia University sofia SU</t>
  </si>
  <si>
    <t>Physics &amp; Astronomy,Accounting &amp; Finance,Mathematics &amp; Statistics,Business &amp; Management,Biological Sciences,Psychology,Computer Science,Communication &amp; Media Studies,Electrical &amp; Electronic Engineering,Politics &amp; International Studies (incl Development Studies),History, Philosophy &amp; Theology,Geology, Environmental, Earth &amp; Marine Sciences,General Engineering,Sociology,Chemical Engineering,Education,Mechanical &amp; Aerospace Engineering,Law,Languages, Literature &amp; Linguistics,Chemistry,Economics &amp; Econometrics</t>
  </si>
  <si>
    <t>Southern Federal University</t>
  </si>
  <si>
    <t>/world-university-rankings/southern-federal-university</t>
  </si>
  <si>
    <t>History, Philosophy &amp; Theology,General Engineering,Communication &amp; Media Studies,Archaeology,Physics &amp; Astronomy,Psychology,Chemical Engineering,Sociology,Biological Sciences,Business &amp; Management,Art, Performing Arts &amp; Design,Mathematics &amp; Statistics,Accounting &amp; Finance,Languages, Literature &amp; Linguistics,Geology, Environmental, Earth &amp; Marine Sciences,Architecture,Chemistry,Education,Computer Science,Politics &amp; International Studies (incl Development Studies),Electrical &amp; Electronic Engineering,Geography,Mechanical &amp; Aerospace Engineering,Law,Economics &amp; Econometrics</t>
  </si>
  <si>
    <t>The University of Alabama</t>
  </si>
  <si>
    <t>/world-university-rankings/university-alabama</t>
  </si>
  <si>
    <t>Civil Engineering,Chemistry,Economics &amp; Econometrics,Accounting &amp; Finance,Biological Sciences,Sport Science,Languages, Literature &amp; Linguistics,Computer Science,Psychology,History, Philosophy &amp; Theology,Chemical Engineering,Business &amp; Management,Electrical &amp; Electronic Engineering,Agriculture &amp; Forestry,Politics &amp; International Studies (incl Development Studies),Geology, Environmental, Earth &amp; Marine Sciences,General Engineering,Art, Performing Arts &amp; Design,Sociology,Other Health,Geography,Physics &amp; Astronomy,Education,Communication &amp; Media Studies,Mechanical &amp; Aerospace Engineering,Law,Mathematics &amp; Statistics</t>
  </si>
  <si>
    <t>https://www.timeshighereducation.com/student/register-interest/shorelight?utm_medium=thewebsite&amp;utm_campaign=cta-link&amp;utm_source=rankings&amp;iid=i-67678632</t>
  </si>
  <si>
    <t>The University of Lahore</t>
  </si>
  <si>
    <t>University of Lahore</t>
  </si>
  <si>
    <t>/world-university-rankings/university-lahore</t>
  </si>
  <si>
    <t>Chemistry,Sport Science,Politics &amp; International Studies (incl Development Studies),Architecture,Sociology,Law,Medicine &amp; Dentistry,General Engineering,Languages, Literature &amp; Linguistics,Civil Engineering,Education,Business &amp; Management,Electrical &amp; Electronic Engineering,Veterinary Science,Computer Science,Physics &amp; Astronomy,Mathematics &amp; Statistics,Economics &amp; Econometrics,Geology, Environmental, Earth &amp; Marine Sciences,Other Health,Biological Sciences,Communication &amp; Media Studies,Psychology,Accounting &amp; Finance,Art, Performing Arts &amp; Design,Mechanical &amp; Aerospace Engineering</t>
  </si>
  <si>
    <t>Universiti Pendidikan Sultan Idris (UPSI)</t>
  </si>
  <si>
    <t>Universiti Pendidikan Sultan Idris</t>
  </si>
  <si>
    <t>/world-university-rankings/sultan-idris-education-university-0</t>
  </si>
  <si>
    <t>Sociology,Business &amp; Management,Education,Accounting &amp; Finance,Chemistry,Economics &amp; Econometrics,Languages, Literature &amp; Linguistics,Geography,Computer Science,Sport Science,History, Philosophy &amp; Theology,Art, Performing Arts &amp; Design,Mathematics &amp; Statistics,Physics &amp; Astronomy,Psychology,Biological Sciences</t>
  </si>
  <si>
    <t>University of Central Lancashire</t>
  </si>
  <si>
    <t>/world-university-rankings/university-central-lancashire</t>
  </si>
  <si>
    <t>Biological Sciences,General Engineering,Chemistry,Chemical Engineering,Veterinary Science,Other Health,Mathematics &amp; Statistics,Law,Politics &amp; International Studies (incl Development Studies),Accounting &amp; Finance,Sport Science,Architecture,History, Philosophy &amp; Theology,Geology, Environmental, Earth &amp; Marine Sciences,Sociology,Languages, Literature &amp; Linguistics,Communication &amp; Media Studies,Education,Geography,Economics &amp; Econometrics,Physics &amp; Astronomy,Psychology,Civil Engineering,Art, Performing Arts &amp; Design,Computer Science,Electrical &amp; Electronic Engineering,Business &amp; Management,Archaeology,Medicine &amp; Dentistry,Mechanical &amp; Aerospace Engineering</t>
  </si>
  <si>
    <t>https://www.timeshighereducation.com/student/register-interest/siuk?utm_medium=thewebsite&amp;utm_campaign=cta-link&amp;utm_source=rankings&amp;iid=i-99203141</t>
  </si>
  <si>
    <t>University of Colombo</t>
  </si>
  <si>
    <t>LK</t>
  </si>
  <si>
    <t>Sri Lanka</t>
  </si>
  <si>
    <t>/world-university-rankings/university-colombo</t>
  </si>
  <si>
    <t>Geology, Environmental, Earth &amp; Marine Sciences,Business &amp; Management,Other Health,Agriculture &amp; Forestry,Law,Mathematics &amp; Statistics,Computer Science,Sport Science,Economics &amp; Econometrics,History, Philosophy &amp; Theology,Communication &amp; Media Studies,Psychology,General Engineering,Sociology,Chemistry,Geography,Medicine &amp; Dentistry,Biological Sciences,Education,Languages, Literature &amp; Linguistics,Politics &amp; International Studies (incl Development Studies),Art, Performing Arts &amp; Design,Physics &amp; Astronomy,Accounting &amp; Finance</t>
  </si>
  <si>
    <t>University of Denver</t>
  </si>
  <si>
    <t>/world-university-rankings/university-denver</t>
  </si>
  <si>
    <t>Education,Art, Performing Arts &amp; Design,Electrical &amp; Electronic Engineering,General Engineering,Geography,Biological Sciences,Other Health,Sociology,History, Philosophy &amp; Theology,Physics &amp; Astronomy,Law,Mechanical &amp; Aerospace Engineering,Languages, Literature &amp; Linguistics,Politics &amp; International Studies (incl Development Studies),Computer Science,Psychology,Mathematics &amp; Statistics,Economics &amp; Econometrics,Chemistry,Business &amp; Management,Sport Science,Accounting &amp; Finance,Communication &amp; Media Studies</t>
  </si>
  <si>
    <t>https://www.timeshighereducation.com/student/register-interest/shorelight?utm_medium=thewebsite&amp;utm_campaign=cta-link&amp;utm_source=rankings&amp;iid=i-63935632</t>
  </si>
  <si>
    <t>University of Parma</t>
  </si>
  <si>
    <t>/world-university-rankings/university-parma</t>
  </si>
  <si>
    <t>Geology, Environmental, Earth &amp; Marine Sciences,Economics &amp; Econometrics,Chemical Engineering,Politics &amp; International Studies (incl Development Studies),Languages, Literature &amp; Linguistics,Civil Engineering,Education,Electrical &amp; Electronic Engineering,Mathematics &amp; Statistics,Agriculture &amp; Forestry,Psychology,Medicine &amp; Dentistry,Business &amp; Management,Art, Performing Arts &amp; Design,Biological Sciences,Sport Science,History, Philosophy &amp; Theology,Veterinary Science,Mechanical &amp; Aerospace Engineering,Physics &amp; Astronomy,Communication &amp; Media Studies,Chemistry,Architecture,Accounting &amp; Finance,Computer Science,Other Health,General Engineering,Law</t>
  </si>
  <si>
    <t>University of Regina</t>
  </si>
  <si>
    <t>/world-university-rankings/university-regina</t>
  </si>
  <si>
    <t>General Engineering,Languages, Literature &amp; Linguistics,Sport Science,Communication &amp; Media Studies,Mechanical &amp; Aerospace Engineering,Sociology,Computer Science,Physics &amp; Astronomy,History, Philosophy &amp; Theology,Mathematics &amp; Statistics,Psychology,Other Health,Chemistry,Economics &amp; Econometrics,Electrical &amp; Electronic Engineering,Geology, Environmental, Earth &amp; Marine Sciences,Accounting &amp; Finance,Agriculture &amp; Forestry,Politics &amp; International Studies (incl Development Studies),Biological Sciences,Business &amp; Management,Art, Performing Arts &amp; Design,Civil Engineering,Education,Geography</t>
  </si>
  <si>
    <t>University of the Western Cape</t>
  </si>
  <si>
    <t>/world-university-rankings/university-western-cape</t>
  </si>
  <si>
    <t>Computer Science,Geography,Sport Science,Economics &amp; Econometrics,Languages, Literature &amp; Linguistics,Politics &amp; International Studies (incl Development Studies),Geology, Environmental, Earth &amp; Marine Sciences,Business &amp; Management,Sociology,Psychology,Mathematics &amp; Statistics,Medicine &amp; Dentistry,Biological Sciences,Other Health,Law,Physics &amp; Astronomy,Education,History, Philosophy &amp; Theology,Chemistry,Accounting &amp; Finance</t>
  </si>
  <si>
    <t>Yarmouk University</t>
  </si>
  <si>
    <t>/world-university-rankings/yarmouk-university</t>
  </si>
  <si>
    <t>Geology, Environmental, Earth &amp; Marine Sciences,General Engineering,Mechanical &amp; Aerospace Engineering,Geography,Art, Performing Arts &amp; Design,Politics &amp; International Studies (incl Development Studies),Archaeology,Sociology,History, Philosophy &amp; Theology,Civil Engineering,Sport Science,Business &amp; Management,Accounting &amp; Finance,Biological Sciences,Electrical &amp; Electronic Engineering,Other Health,Architecture,Communication &amp; Media Studies,Law,Chemistry,Languages, Literature &amp; Linguistics,Computer Science,Mathematics &amp; Statistics,Psychology,Physics &amp; Astronomy,Economics &amp; Econometrics,Medicine &amp; Dentistry,Education</t>
  </si>
  <si>
    <t xml:space="preserve">Yeungnam University </t>
  </si>
  <si>
    <t>Yeungnam University</t>
  </si>
  <si>
    <t>/world-university-rankings/yeungnam-university</t>
  </si>
  <si>
    <t>Accounting &amp; Finance,Computer Science,Geology, Environmental, Earth &amp; Marine Sciences,Agriculture &amp; Forestry,Biological Sciences,Economics &amp; Econometrics,General Engineering,Chemistry,Law,History, Philosophy &amp; Theology,Architecture,Languages, Literature &amp; Linguistics,Psychology,Communication &amp; Media Studies,Medicine &amp; Dentistry,Civil Engineering,Sociology,Chemical Engineering,Physics &amp; Astronomy,Education,Other Health,Art, Performing Arts &amp; Design,Mechanical &amp; Aerospace Engineering,Electrical &amp; Electronic Engineering,Mathematics &amp; Statistics,Archaeology,Politics &amp; International Studies (incl Development Studies),Business &amp; Management,Sport Science</t>
  </si>
  <si>
    <t>Al-Azhar University</t>
  </si>
  <si>
    <t>/world-university-rankings/al-azhar-university</t>
  </si>
  <si>
    <t>Chemistry,Geology, Environmental, Earth &amp; Marine Sciences,Electrical &amp; Electronic Engineering,Mathematics &amp; Statistics,Psychology,Languages, Literature &amp; Linguistics,Sport Science,Accounting &amp; Finance,General Engineering,Civil Engineering,Other Health,Physics &amp; Astronomy,Business &amp; Management,Computer Science,Veterinary Science,Agriculture &amp; Forestry,Economics &amp; Econometrics,Biological Sciences,Chemical Engineering,Medicine &amp; Dentistry,Mechanical &amp; Aerospace Engineering</t>
  </si>
  <si>
    <t>Aligarh Muslim University</t>
  </si>
  <si>
    <t>/world-university-rankings/aligarh-muslim-university</t>
  </si>
  <si>
    <t>Geography,Accounting &amp; Finance,Sport Science,Psychology,History, Philosophy &amp; Theology,Chemistry,Biological Sciences,Electrical &amp; Electronic Engineering,Architecture,Politics &amp; International Studies (incl Development Studies),Law,Mechanical &amp; Aerospace Engineering,Chemical Engineering,Languages, Literature &amp; Linguistics,General Engineering,Geology, Environmental, Earth &amp; Marine Sciences,Agriculture &amp; Forestry,Education,Medicine &amp; Dentistry,Art, Performing Arts &amp; Design,Civil Engineering,Economics &amp; Econometrics,Sociology,Communication &amp; Media Studies,Physics &amp; Astronomy,Business &amp; Management,Mathematics &amp; Statistics,Computer Science,Other Health</t>
  </si>
  <si>
    <t>Amity University</t>
  </si>
  <si>
    <t>/world-university-rankings/amity-university-uttar-pradesh</t>
  </si>
  <si>
    <t>Communication &amp; Media Studies,Mechanical &amp; Aerospace Engineering,Civil Engineering,Art, Performing Arts &amp; Design,Biological Sciences,Other Health,Mathematics &amp; Statistics,Law,Politics &amp; International Studies (incl Development Studies),Geology, Environmental, Earth &amp; Marine Sciences,Economics &amp; Econometrics,Chemical Engineering,Architecture,Geography,General Engineering,Sociology,Accounting &amp; Finance,Business &amp; Management,Sport Science,Chemistry,History, Philosophy &amp; Theology,Psychology,Electrical &amp; Electronic Engineering,Computer Science,Physics &amp; Astronomy,Agriculture &amp; Forestry,Education,Languages, Literature &amp; Linguistics</t>
  </si>
  <si>
    <t>Amrita Vishwa Vidyapeetham</t>
  </si>
  <si>
    <t>/world-university-rankings/amrita-vishwa-vidyapeetham</t>
  </si>
  <si>
    <t>Mechanical &amp; Aerospace Engineering,Chemical Engineering,Electrical &amp; Electronic Engineering,Accounting &amp; Finance,Business &amp; Management,Economics &amp; Econometrics,Medicine &amp; Dentistry,Mathematics &amp; Statistics,History, Philosophy &amp; Theology,Biological Sciences,Geology, Environmental, Earth &amp; Marine Sciences,Languages, Literature &amp; Linguistics,Civil Engineering,General Engineering,Physics &amp; Astronomy,Computer Science,Agriculture &amp; Forestry,Chemistry,Other Health</t>
  </si>
  <si>
    <t>An-Najah National University</t>
  </si>
  <si>
    <t>/world-university-rankings/najah-national-university</t>
  </si>
  <si>
    <t>History, Philosophy &amp; Theology,Veterinary Science,Other Health,Economics &amp; Econometrics,Sociology,Sport Science,Archaeology,Geography,Business &amp; Management,Mechanical &amp; Aerospace Engineering,Medicine &amp; Dentistry,Psychology,Mathematics &amp; Statistics,General Engineering,Physics &amp; Astronomy,Agriculture &amp; Forestry,Architecture,Law,Electrical &amp; Electronic Engineering,Education,Politics &amp; International Studies (incl Development Studies),Accounting &amp; Finance,Biological Sciences,Communication &amp; Media Studies,Chemical Engineering,Geology, Environmental, Earth &amp; Marine Sciences,Computer Science,Art, Performing Arts &amp; Design,Languages, Literature &amp; Linguistics,Civil Engineering</t>
  </si>
  <si>
    <t>Arab Academy for Science, Technology and Maritime Transport</t>
  </si>
  <si>
    <t>/world-university-rankings/arab-academy-science-technology-and-maritime-transport</t>
  </si>
  <si>
    <t>Computer Science,Geology, Environmental, Earth &amp; Marine Sciences,General Engineering,Politics &amp; International Studies (incl Development Studies),History, Philosophy &amp; Theology,Chemical Engineering,Archaeology,Agriculture &amp; Forestry,Other Health,Economics &amp; Econometrics,Architecture,Communication &amp; Media Studies,Languages, Literature &amp; Linguistics,Civil Engineering,Medicine &amp; Dentistry,Mechanical &amp; Aerospace Engineering,Accounting &amp; Finance,Electrical &amp; Electronic Engineering,Law,Art, Performing Arts &amp; Design,Business &amp; Management</t>
  </si>
  <si>
    <t xml:space="preserve">Assiut University </t>
  </si>
  <si>
    <t>Assiut University</t>
  </si>
  <si>
    <t>/world-university-rankings/assiut-university</t>
  </si>
  <si>
    <t>Architecture,Chemical Engineering,Civil Engineering,Mathematics &amp; Statistics,General Engineering,Education,Languages, Literature &amp; Linguistics,Psychology,Mechanical &amp; Aerospace Engineering,Economics &amp; Econometrics,Chemistry,Communication &amp; Media Studies,Biological Sciences,Archaeology,Accounting &amp; Finance,Agriculture &amp; Forestry,History, Philosophy &amp; Theology,Medicine &amp; Dentistry,Physics &amp; Astronomy,Veterinary Science,Art, Performing Arts &amp; Design,Computer Science,Law,Politics &amp; International Studies (incl Development Studies),Business &amp; Management,Geology, Environmental, Earth &amp; Marine Sciences,Electrical &amp; Electronic Engineering,Geography,Sociology,Other Health,Sport Science</t>
  </si>
  <si>
    <t>Azerbaijan State University of Economics</t>
  </si>
  <si>
    <t>/world-university-rankings/azerbaijan-state-university-economics</t>
  </si>
  <si>
    <t>Computer Science,Economics &amp; Econometrics,General Engineering,Accounting &amp; Finance,Sociology,Business &amp; Management,Art, Performing Arts &amp; Design</t>
  </si>
  <si>
    <t>Banaras Hindu University</t>
  </si>
  <si>
    <t>/world-university-rankings/banaras-hindu-university</t>
  </si>
  <si>
    <t>Other Health,Politics &amp; International Studies (incl Development Studies),Economics &amp; Econometrics,Art, Performing Arts &amp; Design,Chemistry,Medicine &amp; Dentistry,Law,Biological Sciences,Sociology,Archaeology,Communication &amp; Media Studies,Business &amp; Management,Languages, Literature &amp; Linguistics,Physics &amp; Astronomy,Accounting &amp; Finance,Veterinary Science,Education,Agriculture &amp; Forestry,Geology, Environmental, Earth &amp; Marine Sciences,Computer Science,Geography,History, Philosophy &amp; Theology,Mathematics &amp; Statistics,Psychology</t>
  </si>
  <si>
    <t>Baylor University</t>
  </si>
  <si>
    <t>/world-university-rankings/baylor-university</t>
  </si>
  <si>
    <t>Baylor University United States US USA</t>
  </si>
  <si>
    <t>History, Philosophy &amp; Theology,Physics &amp; Astronomy,Accounting &amp; Finance,Art, Performing Arts &amp; Design,Electrical &amp; Electronic Engineering,Sociology,Biological Sciences,Business &amp; Management,General Engineering,Communication &amp; Media Studies,Mechanical &amp; Aerospace Engineering,Politics &amp; International Studies (incl Development Studies),Languages, Literature &amp; Linguistics,Chemistry,Education,Agriculture &amp; Forestry,Sport Science,Law,Computer Science,Mathematics &amp; Statistics,Economics &amp; Econometrics,Other Health,Geology, Environmental, Earth &amp; Marine Sciences,Psychology</t>
  </si>
  <si>
    <t>https://www.timeshighereducation.com/student/register-interest/shorelight?utm_medium=thewebsite&amp;utm_campaign=cta-link&amp;utm_source=rankings&amp;iid=i-36580942</t>
  </si>
  <si>
    <t xml:space="preserve">Birmingham City University </t>
  </si>
  <si>
    <t>Birmingham City University</t>
  </si>
  <si>
    <t>/world-university-rankings/birmingham-city-university</t>
  </si>
  <si>
    <t>Civil Engineering,Accounting &amp; Finance,Languages, Literature &amp; Linguistics,Sport Science,Other Health,Psychology,Economics &amp; Econometrics,Education,Biological Sciences,Communication &amp; Media Studies,Sociology,Art, Performing Arts &amp; Design,Computer Science,Electrical &amp; Electronic Engineering,Mechanical &amp; Aerospace Engineering,Business &amp; Management,Architecture,Law</t>
  </si>
  <si>
    <t>https://www.timeshighereducation.com/student/register-interest/siuk?utm_medium=thewebsite&amp;utm_campaign=cta-link&amp;utm_source=rankings&amp;iid=i-63249543</t>
  </si>
  <si>
    <t>BRAC University</t>
  </si>
  <si>
    <t>/world-university-rankings/brac-university</t>
  </si>
  <si>
    <t>Biological Sciences,Electrical &amp; Electronic Engineering,Computer Science,Politics &amp; International Studies (incl Development Studies),Physics &amp; Astronomy,Mathematics &amp; Statistics,Economics &amp; Econometrics,Education,Other Health,Business &amp; Management,Architecture,Languages, Literature &amp; Linguistics,Law,Sociology</t>
  </si>
  <si>
    <t>Canterbury Christ Church University</t>
  </si>
  <si>
    <t>/world-university-rankings/canterbury-christ-church-university</t>
  </si>
  <si>
    <t>Art, Performing Arts &amp; Design,Chemical Engineering,Education,Economics &amp; Econometrics,Accounting &amp; Finance,Veterinary Science,History, Philosophy &amp; Theology,Biological Sciences,General Engineering,Agriculture &amp; Forestry,Politics &amp; International Studies (incl Development Studies),Geography,Mechanical &amp; Aerospace Engineering,Computer Science,Medicine &amp; Dentistry,Law,Languages, Literature &amp; Linguistics,Communication &amp; Media Studies,Archaeology,Psychology,Business &amp; Management,Sport Science,Other Health,Sociology</t>
  </si>
  <si>
    <t>https://www.timeshighereducation.com/student/register-interest/siuk?utm_medium=thewebsite&amp;utm_campaign=cta-link&amp;utm_source=rankings&amp;iid=i-56524491</t>
  </si>
  <si>
    <t>Chung Yuan Christian University</t>
  </si>
  <si>
    <t>/world-university-rankings/chung-yuan-christian-university</t>
  </si>
  <si>
    <t>Economics &amp; Econometrics,Physics &amp; Astronomy,History, Philosophy &amp; Theology,Mechanical &amp; Aerospace Engineering,Languages, Literature &amp; Linguistics,Civil Engineering,Mathematics &amp; Statistics,Architecture,Psychology,Chemistry,Business &amp; Management,Art, Performing Arts &amp; Design,General Engineering,Accounting &amp; Finance,Biological Sciences,Electrical &amp; Electronic Engineering,Law,Computer Science,Education,Chemical Engineering,Geology, Environmental, Earth &amp; Marine Sciences</t>
  </si>
  <si>
    <t>Chungbuk National University</t>
  </si>
  <si>
    <t>/world-university-rankings/chungbuk-national-university</t>
  </si>
  <si>
    <t>Chungbuk National University CBNU</t>
  </si>
  <si>
    <t>Chemical Engineering,Mathematics &amp; Statistics,Business &amp; Management,Chemistry,Sociology,Psychology,Architecture,Art, Performing Arts &amp; Design,Economics &amp; Econometrics,Electrical &amp; Electronic Engineering,Agriculture &amp; Forestry,History, Philosophy &amp; Theology,Accounting &amp; Finance,Geography,Biological Sciences,Civil Engineering,Education,Sport Science,Politics &amp; International Studies (incl Development Studies),Other Health,Geology, Environmental, Earth &amp; Marine Sciences,Languages, Literature &amp; Linguistics,Law,Medicine &amp; Dentistry,Physics &amp; Astronomy,General Engineering,Computer Science,Archaeology,Veterinary Science,Mechanical &amp; Aerospace Engineering,Communication &amp; Media Studies</t>
  </si>
  <si>
    <t>EGE UNIVERSITY</t>
  </si>
  <si>
    <t>Ege University</t>
  </si>
  <si>
    <t>/world-university-rankings/ege-university</t>
  </si>
  <si>
    <t>Business &amp; Management,Chemical Engineering,Agriculture &amp; Forestry,Electrical &amp; Electronic Engineering,History, Philosophy &amp; Theology,Other Health,Mathematics &amp; Statistics,Accounting &amp; Finance,Politics &amp; International Studies (incl Development Studies),Economics &amp; Econometrics,Chemistry,Archaeology,Biological Sciences,Mechanical &amp; Aerospace Engineering,Art, Performing Arts &amp; Design,Geology, Environmental, Earth &amp; Marine Sciences,Computer Science,Sociology,Education,Communication &amp; Media Studies,General Engineering,Languages, Literature &amp; Linguistics,Sport Science,Medicine &amp; Dentistry,Psychology,Physics &amp; Astronomy,Geography,Civil Engineering</t>
  </si>
  <si>
    <t>Escuela Superior PolitÃ©cnica del Litoral (ESPOL)</t>
  </si>
  <si>
    <t>Escuela Superior PolitÃ©cnica del Litoral</t>
  </si>
  <si>
    <t>/world-university-rankings/escuela-superior-politecnica-del-litoral</t>
  </si>
  <si>
    <t>Communication &amp; Media Studies,General Engineering,Biological Sciences,Art, Performing Arts &amp; Design,Politics &amp; International Studies (incl Development Studies),Mechanical &amp; Aerospace Engineering,Civil Engineering,Accounting &amp; Finance,Mathematics &amp; Statistics,Electrical &amp; Electronic Engineering,Business &amp; Management,Economics &amp; Econometrics,Archaeology,Agriculture &amp; Forestry,Computer Science,Education,Geology, Environmental, Earth &amp; Marine Sciences,Languages, Literature &amp; Linguistics,Chemical Engineering</t>
  </si>
  <si>
    <t>George Mason University</t>
  </si>
  <si>
    <t>/world-university-rankings/george-mason-university</t>
  </si>
  <si>
    <t>Languages, Literature &amp; Linguistics,Civil Engineering,Education,Other Health,Chemistry,Business &amp; Management,General Engineering,Geology, Environmental, Earth &amp; Marine Sciences,Computer Science,Communication &amp; Media Studies,Physics &amp; Astronomy,Accounting &amp; Finance,Sport Science,Psychology,Mathematics &amp; Statistics,Law,Economics &amp; Econometrics,Art, Performing Arts &amp; Design,Mechanical &amp; Aerospace Engineering,Politics &amp; International Studies (incl Development Studies),History, Philosophy &amp; Theology,Biological Sciences,Sociology,Electrical &amp; Electronic Engineering,Geography</t>
  </si>
  <si>
    <t>https://www.timeshighereducation.com/student/into-university-partnerships?utm_medium=thewebsite&amp;utm_campaign=cta-link&amp;utm_source=rankings&amp;iid=i-27260358</t>
  </si>
  <si>
    <t>Gifu University</t>
  </si>
  <si>
    <t>/world-university-rankings/gifu-university</t>
  </si>
  <si>
    <t>Electrical &amp; Electronic Engineering,Accounting &amp; Finance,Mechanical &amp; Aerospace Engineering,Agriculture &amp; Forestry,Economics &amp; Econometrics,General Engineering,Civil Engineering,Sociology,Education,Chemical Engineering,Other Health,Veterinary Science,Medicine &amp; Dentistry,Business &amp; Management,Biological Sciences</t>
  </si>
  <si>
    <t>Glasgow Caledonian University</t>
  </si>
  <si>
    <t>/world-university-rankings/glasgow-caledonian-university</t>
  </si>
  <si>
    <t>Other Health,Economics &amp; Econometrics,Civil Engineering,Electrical &amp; Electronic Engineering,Psychology,Computer Science,Accounting &amp; Finance,Mechanical &amp; Aerospace Engineering,Sociology,Biological Sciences,General Engineering,Business &amp; Management,Law,Politics &amp; International Studies (incl Development Studies),Communication &amp; Media Studies</t>
  </si>
  <si>
    <t>https://www.timeshighereducation.com/student/into-university-partnerships?utm_medium=thewebsite&amp;utm_campaign=cta-link&amp;utm_source=rankings&amp;iid=i-01901723</t>
  </si>
  <si>
    <t>Gunma University</t>
  </si>
  <si>
    <t>/world-university-rankings/gunma-university</t>
  </si>
  <si>
    <t>Computer Science,Medicine &amp; Dentistry,General Engineering,Other Health,Sociology,Mechanical &amp; Aerospace Engineering,Politics &amp; International Studies (incl Development Studies),Electrical &amp; Electronic Engineering,Communication &amp; Media Studies,Education,Chemical Engineering,Civil Engineering</t>
  </si>
  <si>
    <t>Nanjing Normal University</t>
  </si>
  <si>
    <t>/world-university-rankings/nanjing-normal-university</t>
  </si>
  <si>
    <t>Business &amp; Management,Electrical &amp; Electronic Engineering,Politics &amp; International Studies (incl Development Studies),Languages, Literature &amp; Linguistics,Mathematics &amp; Statistics,Psychology,Chemical Engineering,Sociology,Agriculture &amp; Forestry,Geography,Biological Sciences,Law,General Engineering,Communication &amp; Media Studies,Art, Performing Arts &amp; Design,Sport Science,Education,Archaeology,Computer Science,Chemistry,Geology, Environmental, Earth &amp; Marine Sciences,Economics &amp; Econometrics,Accounting &amp; Finance,History, Philosophy &amp; Theology,Physics &amp; Astronomy</t>
  </si>
  <si>
    <t>Howard University</t>
  </si>
  <si>
    <t>/world-university-rankings/howard-university</t>
  </si>
  <si>
    <t>Geology, Environmental, Earth &amp; Marine Sciences,Other Health,General Engineering,Chemistry,Accounting &amp; Finance,Archaeology,Mechanical &amp; Aerospace Engineering,Physics &amp; Astronomy,Education,History, Philosophy &amp; Theology,Electrical &amp; Electronic Engineering,Sport Science,Chemical Engineering,Biological Sciences,Computer Science,Communication &amp; Media Studies,Psychology,Languages, Literature &amp; Linguistics,Economics &amp; Econometrics,Law,Politics &amp; International Studies (incl Development Studies),Architecture,Civil Engineering,Sociology,Business &amp; Management,Art, Performing Arts &amp; Design,Mathematics &amp; Statistics,Medicine &amp; Dentistry</t>
  </si>
  <si>
    <t>https://www.timeshighereducation.com/student/register-interest/shorelight?utm_medium=thewebsite&amp;utm_campaign=cta-link&amp;utm_source=rankings&amp;iid=i-58251672</t>
  </si>
  <si>
    <t>Hungarian University of Agriculture and Life Sciences</t>
  </si>
  <si>
    <t>/world-university-rankings/hungarian-university-agriculture-and-life-sciences</t>
  </si>
  <si>
    <t>General Engineering,Biological Sciences,Agriculture &amp; Forestry,Computer Science,Economics &amp; Econometrics,Accounting &amp; Finance,Art, Performing Arts &amp; Design,Geology, Environmental, Earth &amp; Marine Sciences,Architecture,Mechanical &amp; Aerospace Engineering,Education,Business &amp; Management</t>
  </si>
  <si>
    <t>International Christian University</t>
  </si>
  <si>
    <t>/world-university-rankings/international-christian-university</t>
  </si>
  <si>
    <t>Communication &amp; Media Studies,Chemistry,Languages, Literature &amp; Linguistics,Education,Biological Sciences,Economics &amp; Econometrics,Mathematics &amp; Statistics,Business &amp; Management,Physics &amp; Astronomy,Sociology,History, Philosophy &amp; Theology,Politics &amp; International Studies (incl Development Studies),Computer Science,Psychology,Art, Performing Arts &amp; Design,Law,Geology, Environmental, Earth &amp; Marine Sciences</t>
  </si>
  <si>
    <t>International Islamic University Islamabad (IIU)</t>
  </si>
  <si>
    <t>International Islamic University, Islamabad</t>
  </si>
  <si>
    <t>/world-university-rankings/international-islamic-university-islamabad</t>
  </si>
  <si>
    <t>Mathematics &amp; Statistics,Business &amp; Management,Computer Science,Communication &amp; Media Studies,Biological Sciences,Education,Mechanical &amp; Aerospace Engineering,Law,Languages, Literature &amp; Linguistics,Physics &amp; Astronomy,Accounting &amp; Finance,General Engineering,Politics &amp; International Studies (incl Development Studies),Civil Engineering,Psychology,History, Philosophy &amp; Theology,Chemistry,Economics &amp; Econometrics,Architecture,Electrical &amp; Electronic Engineering,Sociology,Geology, Environmental, Earth &amp; Marine Sciences</t>
  </si>
  <si>
    <t>Islamic University of Madinah</t>
  </si>
  <si>
    <t>/world-university-rankings/islamic-university-madinah</t>
  </si>
  <si>
    <t>Computer Science,Sociology,Chemical Engineering,Communication &amp; Media Studies,History, Philosophy &amp; Theology,Psychology,Electrical &amp; Electronic Engineering,Law,Civil Engineering,Languages, Literature &amp; Linguistics,Chemistry,General Engineering,Education,Mathematics &amp; Statistics,Mechanical &amp; Aerospace Engineering,Business &amp; Management,Art, Performing Arts &amp; Design,Physics &amp; Astronomy</t>
  </si>
  <si>
    <t>Jiangnan University</t>
  </si>
  <si>
    <t>/world-university-rankings/jiangnan-university</t>
  </si>
  <si>
    <t>Jiangnan University Jiangnan Jiangnan University  Wuxi China</t>
  </si>
  <si>
    <t>Mechanical &amp; Aerospace Engineering,Languages, Literature &amp; Linguistics,Chemistry,Art, Performing Arts &amp; Design,Sociology,Chemical Engineering,Other Health,Law,Business &amp; Management,Civil Engineering,Education,Electrical &amp; Electronic Engineering,Biological Sciences,Agriculture &amp; Forestry,General Engineering,Communication &amp; Media Studies,Medicine &amp; Dentistry,Accounting &amp; Finance,Politics &amp; International Studies (incl Development Studies),Economics &amp; Econometrics,Mathematics &amp; Statistics,History, Philosophy &amp; Theology,Computer Science,Geology, Environmental, Earth &amp; Marine Sciences</t>
  </si>
  <si>
    <t>Kagoshima University</t>
  </si>
  <si>
    <t>/world-university-rankings/kagoshima-university</t>
  </si>
  <si>
    <t>Medicine &amp; Dentistry,Mathematics &amp; Statistics,Education,Archaeology,Biological Sciences,Business &amp; Management,Other Health,Mechanical &amp; Aerospace Engineering,Chemistry,Economics &amp; Econometrics,History, Philosophy &amp; Theology,Veterinary Science,Law,Art, Performing Arts &amp; Design,Electrical &amp; Electronic Engineering,Geology, Environmental, Earth &amp; Marine Sciences,Accounting &amp; Finance,General Engineering,Geography,Languages, Literature &amp; Linguistics,Agriculture &amp; Forestry,Psychology,Architecture,Chemical Engineering,Politics &amp; International Studies (incl Development Studies),Physics &amp; Astronomy,Computer Science,Sociology,Civil Engineering,Communication &amp; Media Studies</t>
  </si>
  <si>
    <t xml:space="preserve">Kangwon National University </t>
  </si>
  <si>
    <t>Kangwon National University</t>
  </si>
  <si>
    <t>/world-university-rankings/kangwon-national-university</t>
  </si>
  <si>
    <t>Kangwon National University Kangwon KNU Korea</t>
  </si>
  <si>
    <t>Chemical Engineering,Sociology,General Engineering,Chemistry,Other Health,Veterinary Science,Psychology,Architecture,Physics &amp; Astronomy,Accounting &amp; Finance,Languages, Literature &amp; Linguistics,Biological Sciences,Communication &amp; Media Studies,Art, Performing Arts &amp; Design,Mechanical &amp; Aerospace Engineering,Geology, Environmental, Earth &amp; Marine Sciences,Economics &amp; Econometrics,Computer Science,Agriculture &amp; Forestry,Business &amp; Management,Electrical &amp; Electronic Engineering,Mathematics &amp; Statistics,Law,Medicine &amp; Dentistry,Sport Science,Education,History, Philosophy &amp; Theology,Civil Engineering,Politics &amp; International Studies (incl Development Studies)</t>
  </si>
  <si>
    <t>Kazakh-British Technical University</t>
  </si>
  <si>
    <t>/world-university-rankings/kazakh-british-technical-university-kbtu</t>
  </si>
  <si>
    <t>Business &amp; Management,Physics &amp; Astronomy,Accounting &amp; Finance,Chemical Engineering,Economics &amp; Econometrics,General Engineering,Chemistry,Geology, Environmental, Earth &amp; Marine Sciences,Electrical &amp; Electronic Engineering,Mathematics &amp; Statistics,Mechanical &amp; Aerospace Engineering</t>
  </si>
  <si>
    <t>Leeds Beckett University</t>
  </si>
  <si>
    <t>/world-university-rankings/leeds-beckett-university</t>
  </si>
  <si>
    <t>Leeds Beckett University Leeds  United Kingdom UK</t>
  </si>
  <si>
    <t>Psychology,Accounting &amp; Finance,History, Philosophy &amp; Theology,Communication &amp; Media Studies,Geography,General Engineering,Education,Electrical &amp; Electronic Engineering,Economics &amp; Econometrics,Biological Sciences,Art, Performing Arts &amp; Design,Sociology,Architecture,Law,Other Health,Politics &amp; International Studies (incl Development Studies),Civil Engineering,Business &amp; Management,Languages, Literature &amp; Linguistics,Sport Science,Computer Science</t>
  </si>
  <si>
    <t>https://www.timeshighereducation.com/student/register-interest/siuk?utm_medium=thewebsite&amp;utm_campaign=cta-link&amp;utm_source=rankings&amp;iid=i-96771323</t>
  </si>
  <si>
    <t>Lodz University of Technology</t>
  </si>
  <si>
    <t>/world-university-rankings/lodz-university-technology</t>
  </si>
  <si>
    <t>Chemical Engineering,Civil Engineering,Mechanical &amp; Aerospace Engineering,Business &amp; Management,Computer Science,Mathematics &amp; Statistics,General Engineering,Chemistry,Physics &amp; Astronomy,Biological Sciences,Electrical &amp; Electronic Engineering</t>
  </si>
  <si>
    <t>London Metropolitan University</t>
  </si>
  <si>
    <t>/world-university-rankings/london-metropolitan-university</t>
  </si>
  <si>
    <t>Business &amp; Management,Mathematics &amp; Statistics,Sport Science,Languages, Literature &amp; Linguistics,Sociology,Communication &amp; Media Studies,Economics &amp; Econometrics,Biological Sciences,Psychology,Art, Performing Arts &amp; Design,Computer Science,Other Health,Chemistry,Education,Architecture,Accounting &amp; Finance,Mechanical &amp; Aerospace Engineering,Politics &amp; International Studies (incl Development Studies),Law</t>
  </si>
  <si>
    <t>https://www.timeshighereducation.com/student/register-interest/siuk?utm_medium=thewebsite&amp;utm_campaign=cta-link&amp;utm_source=rankings&amp;iid=i-63247334</t>
  </si>
  <si>
    <t>Lviv Polytechnic National University</t>
  </si>
  <si>
    <t>/world-university-rankings/national-university-lviv-polytechnic</t>
  </si>
  <si>
    <t>Architecture,Geology, Environmental, Earth &amp; Marine Sciences,Electrical &amp; Electronic Engineering,General Engineering,Law,Education,Communication &amp; Media Studies,Mathematics &amp; Statistics,Economics &amp; Econometrics,Physics &amp; Astronomy,Languages, Literature &amp; Linguistics,Sociology,Computer Science,Accounting &amp; Finance,Politics &amp; International Studies (incl Development Studies),Art, Performing Arts &amp; Design,Chemical Engineering,Civil Engineering,Psychology,History, Philosophy &amp; Theology,Mechanical &amp; Aerospace Engineering,Business &amp; Management</t>
  </si>
  <si>
    <t>Marmara University</t>
  </si>
  <si>
    <t>/world-university-rankings/marmara-university</t>
  </si>
  <si>
    <t>General Engineering,Chemical Engineering,Languages, Literature &amp; Linguistics,Geography,Mechanical &amp; Aerospace Engineering,Medicine &amp; Dentistry,Business &amp; Management,Other Health,Architecture,Art, Performing Arts &amp; Design,Psychology,Electrical &amp; Electronic Engineering,Sport Science,Sociology,Economics &amp; Econometrics,Communication &amp; Media Studies,Physics &amp; Astronomy,Accounting &amp; Finance,Education,Biological Sciences,Law,Chemistry,History, Philosophy &amp; Theology,Civil Engineering,Politics &amp; International Studies (incl Development Studies),Mathematics &amp; Statistics,Geology, Environmental, Earth &amp; Marine Sciences,Computer Science</t>
  </si>
  <si>
    <t>Mississippi State University</t>
  </si>
  <si>
    <t>/world-university-rankings/mississippi-state-university</t>
  </si>
  <si>
    <t>Education,Mechanical &amp; Aerospace Engineering,Sport Science,Business &amp; Management,Geology, Environmental, Earth &amp; Marine Sciences,Chemical Engineering,Accounting &amp; Finance,Veterinary Science,Electrical &amp; Electronic Engineering,Architecture,Art, Performing Arts &amp; Design,Chemistry,Sociology,Agriculture &amp; Forestry,Other Health,Mathematics &amp; Statistics,Civil Engineering,Biological Sciences,Languages, Literature &amp; Linguistics,Psychology,General Engineering,Computer Science,Physics &amp; Astronomy,History, Philosophy &amp; Theology,Politics &amp; International Studies (incl Development Studies),Communication &amp; Media Studies,Economics &amp; Econometrics</t>
  </si>
  <si>
    <t>https://www.timeshighereducation.com/student/register-interest/shorelight?utm_medium=thewebsite&amp;utm_campaign=cta-link&amp;utm_source=rankings&amp;iid=i-54461282</t>
  </si>
  <si>
    <t>Mustansiriyah University</t>
  </si>
  <si>
    <t>/world-university-rankings/mustansiriyah-university</t>
  </si>
  <si>
    <t>Computer Science,Veterinary Science,Education,Medicine &amp; Dentistry,Agriculture &amp; Forestry,Geography,Languages, Literature &amp; Linguistics,Civil Engineering,Physics &amp; Astronomy,Psychology,Chemical Engineering,Geology, Environmental, Earth &amp; Marine Sciences,Economics &amp; Econometrics,Electrical &amp; Electronic Engineering,Law,Accounting &amp; Finance,Archaeology,Biological Sciences,Politics &amp; International Studies (incl Development Studies),History, Philosophy &amp; Theology,Mechanical &amp; Aerospace Engineering,Communication &amp; Media Studies,Other Health,Mathematics &amp; Statistics,Business &amp; Management,Art, Performing Arts &amp; Design,General Engineering,Chemistry,Architecture,Sport Science,Sociology</t>
  </si>
  <si>
    <t>Mutah University</t>
  </si>
  <si>
    <t>/world-university-rankings/mutah-university</t>
  </si>
  <si>
    <t>Art, Performing Arts &amp; Design,Sociology,Architecture,Geology, Environmental, Earth &amp; Marine Sciences,Biological Sciences,Economics &amp; Econometrics,Mechanical &amp; Aerospace Engineering,General Engineering,Chemistry,Law,Electrical &amp; Electronic Engineering,Archaeology,Mathematics &amp; Statistics,Other Health,Chemical Engineering,Geography,Physics &amp; Astronomy,Medicine &amp; Dentistry,Languages, Literature &amp; Linguistics,Education,Accounting &amp; Finance,Sport Science,Politics &amp; International Studies (incl Development Studies),Agriculture &amp; Forestry,Civil Engineering,Psychology,History, Philosophy &amp; Theology,Computer Science,Business &amp; Management</t>
  </si>
  <si>
    <t>Narxoz University</t>
  </si>
  <si>
    <t>/world-university-rankings/narxoz-university</t>
  </si>
  <si>
    <t>Computer Science,Agriculture &amp; Forestry,Mathematics &amp; Statistics,Sociology,Psychology,Business &amp; Management,Law,Accounting &amp; Finance,Politics &amp; International Studies (incl Development Studies),Economics &amp; Econometrics</t>
  </si>
  <si>
    <t>National Chung Cheng University</t>
  </si>
  <si>
    <t>/world-university-rankings/national-chung-cheng-university</t>
  </si>
  <si>
    <t>Chemistry,Psychology,Other Health,History, Philosophy &amp; Theology,Business &amp; Management,Mechanical &amp; Aerospace Engineering,Computer Science,Sociology,Sport Science,Physics &amp; Astronomy,Economics &amp; Econometrics,Politics &amp; International Studies (incl Development Studies),Geology, Environmental, Earth &amp; Marine Sciences,Education,Biological Sciences,Accounting &amp; Finance,Languages, Literature &amp; Linguistics,Mathematics &amp; Statistics,Law,Communication &amp; Media Studies,General Engineering,Electrical &amp; Electronic Engineering,Chemical Engineering</t>
  </si>
  <si>
    <t>National Technical University "Kharkiv Polytechnic Institute"</t>
  </si>
  <si>
    <t>National Technical University Kharkiv Polytechnic Institute</t>
  </si>
  <si>
    <t>/world-university-rankings/national-technical-university-kharkiv-polytechnic-institute</t>
  </si>
  <si>
    <t>Economics &amp; Econometrics,Accounting &amp; Finance,Sociology,Civil Engineering,Sport Science,Art, Performing Arts &amp; Design,Geology, Environmental, Earth &amp; Marine Sciences,Psychology,Chemical Engineering,Communication &amp; Media Studies,Business &amp; Management,Languages, Literature &amp; Linguistics,Other Health,Mechanical &amp; Aerospace Engineering,Education,Chemistry,Physics &amp; Astronomy,Medicine &amp; Dentistry,Biological Sciences,Electrical &amp; Electronic Engineering,Computer Science,Mathematics &amp; Statistics,General Engineering</t>
  </si>
  <si>
    <t>O.P. Jindal Global University</t>
  </si>
  <si>
    <t>/world-university-rankings/op-jindal-global-university</t>
  </si>
  <si>
    <t>Art, Performing Arts &amp; Design,Business &amp; Management,History, Philosophy &amp; Theology,Accounting &amp; Finance,Geology, Environmental, Earth &amp; Marine Sciences,Architecture,Economics &amp; Econometrics,Sociology,Languages, Literature &amp; Linguistics,Psychology,Communication &amp; Media Studies,Politics &amp; International Studies (incl Development Studies),Law</t>
  </si>
  <si>
    <t>Panjab University</t>
  </si>
  <si>
    <t>/world-university-rankings/panjab-university</t>
  </si>
  <si>
    <t>Other Health,Sport Science,Psychology,Languages, Literature &amp; Linguistics,Physics &amp; Astronomy,Art, Performing Arts &amp; Design,Biological Sciences,Sociology,Accounting &amp; Finance,Electrical &amp; Electronic Engineering,Politics &amp; International Studies (incl Development Studies),Business &amp; Management,Mechanical &amp; Aerospace Engineering,Geology, Environmental, Earth &amp; Marine Sciences,Economics &amp; Econometrics,General Engineering,Communication &amp; Media Studies,Medicine &amp; Dentistry,Mathematics &amp; Statistics,Education,History, Philosophy &amp; Theology,Chemical Engineering,Geography,Computer Science,Law,Archaeology,Chemistry</t>
  </si>
  <si>
    <t>Pozna? University of Technology</t>
  </si>
  <si>
    <t>Poznan University of Technology</t>
  </si>
  <si>
    <t>/world-university-rankings/poznan-university-technology</t>
  </si>
  <si>
    <t>Chemical Engineering,Mechanical &amp; Aerospace Engineering,Computer Science,Physics &amp; Astronomy,Mathematics &amp; Statistics,Architecture,Electrical &amp; Electronic Engineering,Civil Engineering,Chemistry,Art, Performing Arts &amp; Design,Business &amp; Management,General Engineering</t>
  </si>
  <si>
    <t>Rochester Institute of Technology (RIT)</t>
  </si>
  <si>
    <t>Rochester Institute of Technology</t>
  </si>
  <si>
    <t>/world-university-rankings/rochester-institute-technology</t>
  </si>
  <si>
    <t>Sport Science,Mechanical &amp; Aerospace Engineering,Biological Sciences,Sociology,Electrical &amp; Electronic Engineering,Art, Performing Arts &amp; Design,Geology, Environmental, Earth &amp; Marine Sciences,Computer Science,Politics &amp; International Studies (incl Development Studies),Chemical Engineering,Education,Communication &amp; Media Studies,History, Philosophy &amp; Theology,Agriculture &amp; Forestry,Other Health,Economics &amp; Econometrics,Mathematics &amp; Statistics,Business &amp; Management,Psychology,Civil Engineering,Physics &amp; Astronomy,Languages, Literature &amp; Linguistics,Architecture,Accounting &amp; Finance,General Engineering,Chemistry</t>
  </si>
  <si>
    <t>https://www.timeshighereducation.com/student/register-interest/shorelight?utm_medium=thewebsite&amp;utm_campaign=cta-link&amp;utm_source=rankings&amp;iid=i-68826652</t>
  </si>
  <si>
    <t>Russian Presidential Academy of National Economy and Public Administration</t>
  </si>
  <si>
    <t>/world-university-rankings/russian-presidential-academy-national-economy-and-public-administration</t>
  </si>
  <si>
    <t>Law,History, Philosophy &amp; Theology,Economics &amp; Econometrics,Psychology,Politics &amp; International Studies (incl Development Studies),Accounting &amp; Finance,Computer Science,Languages, Literature &amp; Linguistics,Sociology,Communication &amp; Media Studies,Business &amp; Management</t>
  </si>
  <si>
    <t>Saint Petersburg Electrotechnical University ETU-LETI</t>
  </si>
  <si>
    <t>St Petersburg Electrotechnical University (LETI)</t>
  </si>
  <si>
    <t>/world-university-rankings/st-petersburg-electrotechnical-university-leti</t>
  </si>
  <si>
    <t>Mechanical &amp; Aerospace Engineering,Electrical &amp; Electronic Engineering,Chemical Engineering,Computer Science,Business &amp; Management,Languages, Literature &amp; Linguistics,Communication &amp; Media Studies,General Engineering</t>
  </si>
  <si>
    <t>Saint-Petersburg Mining University</t>
  </si>
  <si>
    <t>/world-university-rankings/saint-petersburg-mining-university</t>
  </si>
  <si>
    <t>Business &amp; Management,Electrical &amp; Electronic Engineering,Civil Engineering,Geology, Environmental, Earth &amp; Marine Sciences,Accounting &amp; Finance,Mechanical &amp; Aerospace Engineering,Computer Science,Chemistry,Architecture,Economics &amp; Econometrics,Agriculture &amp; Forestry,Chemical Engineering,General Engineering</t>
  </si>
  <si>
    <t>Samara National Research University (Samara University)</t>
  </si>
  <si>
    <t>/world-university-rankings/samara-national-research-university-samara-university</t>
  </si>
  <si>
    <t>Psychology,Physics &amp; Astronomy,Mechanical &amp; Aerospace Engineering,Business &amp; Management,Education,General Engineering,Law,Economics &amp; Econometrics,Accounting &amp; Finance,Mathematics &amp; Statistics,Languages, Literature &amp; Linguistics,Communication &amp; Media Studies,Biological Sciences,Politics &amp; International Studies (incl Development Studies),History, Philosophy &amp; Theology,Sociology,Computer Science,Electrical &amp; Electronic Engineering,Chemistry</t>
  </si>
  <si>
    <t>San Diego State University</t>
  </si>
  <si>
    <t>/world-university-rankings/san-diego-state-university</t>
  </si>
  <si>
    <t>Communication &amp; Media Studies,Biological Sciences,Chemistry,Art, Performing Arts &amp; Design,Education,Mathematics &amp; Statistics,Mechanical &amp; Aerospace Engineering,Accounting &amp; Finance,General Engineering,Geology, Environmental, Earth &amp; Marine Sciences,Computer Science,History, Philosophy &amp; Theology,Business &amp; Management,Psychology,Civil Engineering,Electrical &amp; Electronic Engineering,Geography,Physics &amp; Astronomy,Economics &amp; Econometrics,Languages, Literature &amp; Linguistics,Politics &amp; International Studies (incl Development Studies),Sociology,Other Health</t>
  </si>
  <si>
    <t>https://www.timeshighereducation.com/student/register-interest/shorelight?utm_medium=thewebsite&amp;utm_campaign=cta-link&amp;utm_source=rankings&amp;iid=i-78657722</t>
  </si>
  <si>
    <t>Sheffield Hallam University</t>
  </si>
  <si>
    <t>/world-university-rankings/sheffield-hallam-university</t>
  </si>
  <si>
    <t>Computer Science,Biological Sciences,Languages, Literature &amp; Linguistics,Chemical Engineering,Chemistry,Mechanical &amp; Aerospace Engineering,Communication &amp; Media Studies,Sport Science,Mathematics &amp; Statistics,Business &amp; Management,Architecture,Politics &amp; International Studies (incl Development Studies),Art, Performing Arts &amp; Design,Education,Physics &amp; Astronomy,History, Philosophy &amp; Theology,Law,Sociology,Accounting &amp; Finance,Psychology,Geography,Electrical &amp; Electronic Engineering,Geology, Environmental, Earth &amp; Marine Sciences,Economics &amp; Econometrics,Other Health</t>
  </si>
  <si>
    <t>https://www.timeshighereducation.com/student/register-interest/siuk?utm_medium=thewebsite&amp;utm_campaign=cta-link&amp;utm_source=rankings&amp;iid=i-64588463</t>
  </si>
  <si>
    <t xml:space="preserve">Shinshu University </t>
  </si>
  <si>
    <t>Shinshu University</t>
  </si>
  <si>
    <t>/world-university-rankings/shinshu-university</t>
  </si>
  <si>
    <t>Shinshu University Shindai Shin shu</t>
  </si>
  <si>
    <t>Electrical &amp; Electronic Engineering,Other Health,Law,Art, Performing Arts &amp; Design,Medicine &amp; Dentistry,Education,History, Philosophy &amp; Theology,Biological Sciences,Mechanical &amp; Aerospace Engineering,Chemistry,Chemical Engineering,Mathematics &amp; Statistics,Civil Engineering,Geology, Environmental, Earth &amp; Marine Sciences,General Engineering,Accounting &amp; Finance,Languages, Literature &amp; Linguistics,Agriculture &amp; Forestry,Business &amp; Management,Architecture,Economics &amp; Econometrics,Physics &amp; Astronomy</t>
  </si>
  <si>
    <t>Silesian University of Technology</t>
  </si>
  <si>
    <t>/world-university-rankings/silesian-university-technology</t>
  </si>
  <si>
    <t>Architecture,Chemical Engineering,Languages, Literature &amp; Linguistics,Business &amp; Management,Mathematics &amp; Statistics,Mechanical &amp; Aerospace Engineering,Computer Science,Chemistry,General Engineering,Electrical &amp; Electronic Engineering,Civil Engineering</t>
  </si>
  <si>
    <t>Slovak University of Agriculture in Nitra</t>
  </si>
  <si>
    <t>/world-university-rankings/slovak-university-agriculture-nitra</t>
  </si>
  <si>
    <t>Biological Sciences,Business &amp; Management,Art, Performing Arts &amp; Design,Politics &amp; International Studies (incl Development Studies),Languages, Literature &amp; Linguistics,Geology, Environmental, Earth &amp; Marine Sciences,Agriculture &amp; Forestry,Chemistry,Economics &amp; Econometrics,Architecture,Communication &amp; Media Studies,Electrical &amp; Electronic Engineering,Sociology,General Engineering,Psychology,Civil Engineering,Accounting &amp; Finance,Computer Science,Education,Law</t>
  </si>
  <si>
    <t>Slovak University of Technology in Bratislava</t>
  </si>
  <si>
    <t>/world-university-rankings/slovak-university-technology-bratislava</t>
  </si>
  <si>
    <t>Electrical &amp; Electronic Engineering,Mechanical &amp; Aerospace Engineering,Mathematics &amp; Statistics,Chemistry,Biological Sciences,Geology, Environmental, Earth &amp; Marine Sciences,Civil Engineering,Computer Science,Politics &amp; International Studies (incl Development Studies),Economics &amp; Econometrics,Physics &amp; Astronomy,General Engineering,Art, Performing Arts &amp; Design,Architecture,Chemical Engineering,Business &amp; Management</t>
  </si>
  <si>
    <t>Sohar University</t>
  </si>
  <si>
    <t>/world-university-rankings/sohar-university</t>
  </si>
  <si>
    <t>Mechanical &amp; Aerospace Engineering,Education,Chemical Engineering,Computer Science,Civil Engineering,Law,Languages, Literature &amp; Linguistics,Electrical &amp; Electronic Engineering,Accounting &amp; Finance,Business &amp; Management,Economics &amp; Econometrics</t>
  </si>
  <si>
    <t>Soonchunhyang University</t>
  </si>
  <si>
    <t>/world-university-rankings/soonchunhyang-university</t>
  </si>
  <si>
    <t>Mechanical &amp; Aerospace Engineering,Sociology,Languages, Literature &amp; Linguistics,Politics &amp; International Studies (incl Development Studies),Computer Science,Chemistry,Psychology,Other Health,Physics &amp; Astronomy,Accounting &amp; Finance,Chemical Engineering,Education,Medicine &amp; Dentistry,Mathematics &amp; Statistics,Architecture,Sport Science,Economics &amp; Econometrics,Art, Performing Arts &amp; Design,Biological Sciences,Law,General Engineering,Communication &amp; Media Studies,Electrical &amp; Electronic Engineering,Business &amp; Management</t>
  </si>
  <si>
    <t>SRM INSTITUTE OF SCIENCE AND TECHNOLOGY</t>
  </si>
  <si>
    <t>SRM Institute of Science and Technology</t>
  </si>
  <si>
    <t>/world-university-rankings/srm-institute-science-and-technology</t>
  </si>
  <si>
    <t>SRM Institute of Science and Technology SRM Institute of Science and Technology SRMIST SRM University</t>
  </si>
  <si>
    <t>Mathematics &amp; Statistics,Psychology,Electrical &amp; Electronic Engineering,Agriculture &amp; Forestry,Physics &amp; Astronomy,History, Philosophy &amp; Theology,Geology, Environmental, Earth &amp; Marine Sciences,Other Health,Economics &amp; Econometrics,Computer Science,Civil Engineering,Sport Science,Languages, Literature &amp; Linguistics,Communication &amp; Media Studies,Medicine &amp; Dentistry,Education,Biological Sciences,Accounting &amp; Finance,Law,Chemistry,Chemical Engineering,Architecture,Politics &amp; International Studies (incl Development Studies),Mechanical &amp; Aerospace Engineering,Business &amp; Management</t>
  </si>
  <si>
    <t>Sumy State University</t>
  </si>
  <si>
    <t>/world-university-rankings/sumy-state-university</t>
  </si>
  <si>
    <t>Electrical &amp; Electronic Engineering,Mathematics &amp; Statistics,Chemical Engineering,Education,Civil Engineering,Sociology,Economics &amp; Econometrics,Other Health,Communication &amp; Media Studies,Accounting &amp; Finance,Mechanical &amp; Aerospace Engineering,Chemistry,General Engineering,Politics &amp; International Studies (incl Development Studies),Psychology,Medicine &amp; Dentistry,Geology, Environmental, Earth &amp; Marine Sciences,Languages, Literature &amp; Linguistics,Sport Science,Law,Computer Science,Biological Sciences,Business &amp; Management,History, Philosophy &amp; Theology,Physics &amp; Astronomy</t>
  </si>
  <si>
    <t>SzÃ©chenyi IstvÃ¡n University</t>
  </si>
  <si>
    <t>/world-university-rankings/szechenyi-istvan-university</t>
  </si>
  <si>
    <t>Architecture,Law,Business &amp; Management,Other Health,Sport Science,Electrical &amp; Electronic Engineering,Accounting &amp; Finance,General Engineering,Education,Civil Engineering,Agriculture &amp; Forestry,Art, Performing Arts &amp; Design,Economics &amp; Econometrics,Mechanical &amp; Aerospace Engineering,Politics &amp; International Studies (incl Development Studies),Sociology,Computer Science</t>
  </si>
  <si>
    <t>Taibah University</t>
  </si>
  <si>
    <t>/world-university-rankings/taibah-university</t>
  </si>
  <si>
    <t>Medicine &amp; Dentistry,Civil Engineering,Accounting &amp; Finance,Mechanical &amp; Aerospace Engineering,Languages, Literature &amp; Linguistics,Communication &amp; Media Studies,Mathematics &amp; Statistics,Geology, Environmental, Earth &amp; Marine Sciences,Architecture,Business &amp; Management,Law,Art, Performing Arts &amp; Design,Chemical Engineering,Education,History, Philosophy &amp; Theology,Sport Science,Computer Science,Geography,Physics &amp; Astronomy,Economics &amp; Econometrics,Other Health,Psychology,Chemistry,Electrical &amp; Electronic Engineering,Biological Sciences</t>
  </si>
  <si>
    <t xml:space="preserve">Tallinn University </t>
  </si>
  <si>
    <t>Tallinn University</t>
  </si>
  <si>
    <t>/world-university-rankings/tallinn-university</t>
  </si>
  <si>
    <t>Mathematics &amp; Statistics,Education,Chemistry,Biological Sciences,Psychology,Languages, Literature &amp; Linguistics,Sociology,Physics &amp; Astronomy,Computer Science,Geography,History, Philosophy &amp; Theology,Geology, Environmental, Earth &amp; Marine Sciences,Sport Science,Business &amp; Management,Art, Performing Arts &amp; Design,Politics &amp; International Studies (incl Development Studies),Other Health,Communication &amp; Media Studies,Law</t>
  </si>
  <si>
    <t>Technical University of Kosice</t>
  </si>
  <si>
    <t>Technical University of KoÅ¡ice</t>
  </si>
  <si>
    <t>/world-university-rankings/technical-university-kosice</t>
  </si>
  <si>
    <t>Mechanical &amp; Aerospace Engineering,General Engineering,Art, Performing Arts &amp; Design,Geology, Environmental, Earth &amp; Marine Sciences,Civil Engineering,Accounting &amp; Finance,Architecture,Economics &amp; Econometrics,Electrical &amp; Electronic Engineering,Business &amp; Management,Computer Science</t>
  </si>
  <si>
    <t>TecnolÃ³gico de Costa Rica -TEC</t>
  </si>
  <si>
    <t>CR</t>
  </si>
  <si>
    <t>Costa Rica</t>
  </si>
  <si>
    <t>TecnolÃ³gico de Costa Rica</t>
  </si>
  <si>
    <t>/world-university-rankings/tecnologico-de-costa-rica</t>
  </si>
  <si>
    <t>Accounting &amp; Finance,Architecture,General Engineering,Business &amp; Management,Civil Engineering,Education,Electrical &amp; Electronic Engineering,Mechanical &amp; Aerospace Engineering,Computer Science,Agriculture &amp; Forestry</t>
  </si>
  <si>
    <t>Telkom University</t>
  </si>
  <si>
    <t>/world-university-rankings/telkom-university</t>
  </si>
  <si>
    <t>General Engineering,Art, Performing Arts &amp; Design,Computer Science,Electrical &amp; Electronic Engineering,Communication &amp; Media Studies,Business &amp; Management,Mechanical &amp; Aerospace Engineering,Accounting &amp; Finance,Architecture</t>
  </si>
  <si>
    <t>The Hashemite University</t>
  </si>
  <si>
    <t>/world-university-rankings/hashemite-university</t>
  </si>
  <si>
    <t>Economics &amp; Econometrics,Agriculture &amp; Forestry,Other Health,Languages, Literature &amp; Linguistics,Chemistry,Computer Science,General Engineering,Mathematics &amp; Statistics,Architecture,Politics &amp; International Studies (incl Development Studies),Civil Engineering,Physics &amp; Astronomy,Geology, Environmental, Earth &amp; Marine Sciences,Electrical &amp; Electronic Engineering,Archaeology,Accounting &amp; Finance,Business &amp; Management,Mechanical &amp; Aerospace Engineering,Biological Sciences,Medicine &amp; Dentistry,Education,Sport Science</t>
  </si>
  <si>
    <t>The University of Northampton</t>
  </si>
  <si>
    <t>University of Northampton</t>
  </si>
  <si>
    <t>/world-university-rankings/university-northampton</t>
  </si>
  <si>
    <t>Politics &amp; International Studies (incl Development Studies),Geography,Law,Accounting &amp; Finance,Sociology,Computer Science,Art, Performing Arts &amp; Design,Biological Sciences,Economics &amp; Econometrics,Sport Science,Education,Electrical &amp; Electronic Engineering,Communication &amp; Media Studies,General Engineering,Languages, Literature &amp; Linguistics,Psychology,Architecture,Mechanical &amp; Aerospace Engineering,Other Health,Business &amp; Management,History, Philosophy &amp; Theology,Geology, Environmental, Earth &amp; Marine Sciences</t>
  </si>
  <si>
    <t>https://www.timeshighereducation.com/student/register-interest/siuk?utm_medium=thewebsite&amp;utm_campaign=cta-link&amp;utm_source=rankings&amp;iid=i-99853401</t>
  </si>
  <si>
    <t>The University of Texas at Arlington</t>
  </si>
  <si>
    <t>University of Texas at Arlington</t>
  </si>
  <si>
    <t>/world-university-rankings/university-texas-arlington</t>
  </si>
  <si>
    <t>Art, Performing Arts &amp; Design,Chemistry,Economics &amp; Econometrics,Agriculture &amp; Forestry,Sociology,Other Health,Sport Science,Accounting &amp; Finance,Electrical &amp; Electronic Engineering,Geology, Environmental, Earth &amp; Marine Sciences,Computer Science,Biological Sciences,Psychology,Civil Engineering,Politics &amp; International Studies (incl Development Studies),Mechanical &amp; Aerospace Engineering,Business &amp; Management,History, Philosophy &amp; Theology,Physics &amp; Astronomy,Languages, Literature &amp; Linguistics,General Engineering,Communication &amp; Media Studies,Architecture,Mathematics &amp; Statistics,Education</t>
  </si>
  <si>
    <t>https://www.timeshighereducation.com/student/register-interest/shorelight?utm_medium=thewebsite&amp;utm_campaign=cta-link&amp;utm_source=rankings&amp;iid=i-03548902</t>
  </si>
  <si>
    <t>Tokushima University</t>
  </si>
  <si>
    <t>/world-university-rankings/university-tokushima</t>
  </si>
  <si>
    <t>Mechanical &amp; Aerospace Engineering,General Engineering,Civil Engineering,Agriculture &amp; Forestry,Medicine &amp; Dentistry,Languages, Literature &amp; Linguistics,History, Philosophy &amp; Theology,Biological Sciences,Chemical Engineering,Other Health,Art, Performing Arts &amp; Design,Electrical &amp; Electronic Engineering</t>
  </si>
  <si>
    <t>Tokyo Metropolitan University</t>
  </si>
  <si>
    <t>/world-university-rankings/tokyo-metropolitan-university</t>
  </si>
  <si>
    <t>Economics &amp; Econometrics,Communication &amp; Media Studies,Psychology,Medicine &amp; Dentistry,Other Health,Business &amp; Management,Geography,Mathematics &amp; Statistics,Chemistry,Sport Science,Archaeology,Chemical Engineering,Architecture,Mechanical &amp; Aerospace Engineering,Education,Biological Sciences,Electrical &amp; Electronic Engineering,Law,Geology, Environmental, Earth &amp; Marine Sciences,Computer Science,Politics &amp; International Studies (incl Development Studies),Civil Engineering,Languages, Literature &amp; Linguistics,Accounting &amp; Finance,Physics &amp; Astronomy,General Engineering,Sociology,Art, Performing Arts &amp; Design,History, Philosophy &amp; Theology,Agriculture &amp; Forestry</t>
  </si>
  <si>
    <t>Universidad AutÃ³noma de Nuevo LeÃ³n</t>
  </si>
  <si>
    <t>Universidad AutÃ³noma de Nuevo LeÃ³n (UANL)</t>
  </si>
  <si>
    <t>/world-university-rankings/universidad-autonoma-de-nuevo-leon-uanl</t>
  </si>
  <si>
    <t>Architecture,Biological Sciences,Politics &amp; International Studies (incl Development Studies),Economics &amp; Econometrics,Languages, Literature &amp; Linguistics,Civil Engineering,Sociology,History, Philosophy &amp; Theology,Agriculture &amp; Forestry,Communication &amp; Media Studies,Other Health,Veterinary Science,Education,Electrical &amp; Electronic Engineering,Physics &amp; Astronomy,Business &amp; Management,Art, Performing Arts &amp; Design,Chemical Engineering,Geography,Computer Science,Mathematics &amp; Statistics,Psychology,General Engineering,Chemistry,Accounting &amp; Finance,Medicine &amp; Dentistry,Sport Science,Law,Mechanical &amp; Aerospace Engineering,Geology, Environmental, Earth &amp; Marine Sciences</t>
  </si>
  <si>
    <t>Universidad AutÃ³noma del Estado de MÃ©xico (UAEMex)</t>
  </si>
  <si>
    <t>Universidad AutÃ³noma del Estado de Mexico (UAEMex)</t>
  </si>
  <si>
    <t>/world-university-rankings/universidad-autonoma-del-estado-de-mexico-uaemex</t>
  </si>
  <si>
    <t>Civil Engineering,Electrical &amp; Electronic Engineering,Sport Science,Chemistry,Geography,Agriculture &amp; Forestry,Other Health,Psychology,History, Philosophy &amp; Theology,Archaeology,Sociology,Physics &amp; Astronomy,Veterinary Science,Business &amp; Management,Mechanical &amp; Aerospace Engineering,Communication &amp; Media Studies,Biological Sciences,Politics &amp; International Studies (incl Development Studies),Education,Architecture,Economics &amp; Econometrics,Art, Performing Arts &amp; Design,Law,Mathematics &amp; Statistics,Medicine &amp; Dentistry,Accounting &amp; Finance,Geology, Environmental, Earth &amp; Marine Sciences,Chemical Engineering,Languages, Literature &amp; Linguistics,General Engineering,Computer Science</t>
  </si>
  <si>
    <t>Universidad del PacÃ­fico</t>
  </si>
  <si>
    <t>/world-university-rankings/universidad-del-pacifico</t>
  </si>
  <si>
    <t>History, Philosophy &amp; Theology,Business &amp; Management,Law,Art, Performing Arts &amp; Design,Sociology,Accounting &amp; Finance,Computer Science,Economics &amp; Econometrics,Politics &amp; International Studies (incl Development Studies)</t>
  </si>
  <si>
    <t>Universidad del Valle</t>
  </si>
  <si>
    <t>/world-university-rankings/universidad-del-valle</t>
  </si>
  <si>
    <t>History, Philosophy &amp; Theology,Mechanical &amp; Aerospace Engineering,Communication &amp; Media Studies,Sport Science,Politics &amp; International Studies (incl Development Studies),Other Health,Mathematics &amp; Statistics,Accounting &amp; Finance,Architecture,Chemical Engineering,Geography,Medicine &amp; Dentistry,Biological Sciences,Sociology,Computer Science,Agriculture &amp; Forestry,Business &amp; Management,General Engineering,Chemistry,Economics &amp; Econometrics,Languages, Literature &amp; Linguistics,Physics &amp; Astronomy,Psychology,Art, Performing Arts &amp; Design,Electrical &amp; Electronic Engineering,Geology, Environmental, Earth &amp; Marine Sciences,Civil Engineering,Education</t>
  </si>
  <si>
    <t>Universidad Nacional de la AsunciÃ³n</t>
  </si>
  <si>
    <t>PY</t>
  </si>
  <si>
    <t>Paraguay</t>
  </si>
  <si>
    <t>Universidad Nacional de AsunciÃ³n</t>
  </si>
  <si>
    <t>/world-university-rankings/universidad-nacional-de-asuncion</t>
  </si>
  <si>
    <t>Sociology,Architecture,Psychology,Other Health,Economics &amp; Econometrics,General Engineering,Chemistry,Medicine &amp; Dentistry,Accounting &amp; Finance,Mathematics &amp; Statistics,Chemical Engineering,Communication &amp; Media Studies,Education,Physics &amp; Astronomy,Politics &amp; International Studies (incl Development Studies),Business &amp; Management,Geology, Environmental, Earth &amp; Marine Sciences,Electrical &amp; Electronic Engineering,Art, Performing Arts &amp; Design,Veterinary Science,Mechanical &amp; Aerospace Engineering,Geography,Agriculture &amp; Forestry,Law,Civil Engineering,History, Philosophy &amp; Theology,Computer Science,Languages, Literature &amp; Linguistics,Biological Sciences</t>
  </si>
  <si>
    <t>Universidad Peruana Cayetano Heredia (UPCH)</t>
  </si>
  <si>
    <t>Universidad Peruana Cayetano Heredia</t>
  </si>
  <si>
    <t>/world-university-rankings/universidad-peruana-cayetano-heredia</t>
  </si>
  <si>
    <t>Sport Science,Other Health,Veterinary Science,Computer Science,Geology, Environmental, Earth &amp; Marine Sciences,Chemistry,Mathematics &amp; Statistics,Medicine &amp; Dentistry,Education,Psychology,Biological Sciences</t>
  </si>
  <si>
    <t>Universidade Federal do ParanÃ¡ - UFPR</t>
  </si>
  <si>
    <t>Universidade Federal do ParanÃ¡ (UFPR)</t>
  </si>
  <si>
    <t>/world-university-rankings/universidade-federal-do-parana-ufpr</t>
  </si>
  <si>
    <t>Education,Physics &amp; Astronomy,Chemistry,Medicine &amp; Dentistry,Electrical &amp; Electronic Engineering,Geography,Biological Sciences,Mathematics &amp; Statistics,Accounting &amp; Finance,Psychology,Mechanical &amp; Aerospace Engineering,Agriculture &amp; Forestry,Veterinary Science,Languages, Literature &amp; Linguistics,Sociology,Communication &amp; Media Studies,Economics &amp; Econometrics,Computer Science,Geology, Environmental, Earth &amp; Marine Sciences,General Engineering,Architecture,Sport Science,Chemical Engineering,History, Philosophy &amp; Theology,Law,Business &amp; Management,Civil Engineering,Art, Performing Arts &amp; Design,Other Health</t>
  </si>
  <si>
    <t>Universitas Sebelas Maret</t>
  </si>
  <si>
    <t>/world-university-rankings/universitas-sebelas-maret</t>
  </si>
  <si>
    <t>Electrical &amp; Electronic Engineering,Politics &amp; International Studies (incl Development Studies),Medicine &amp; Dentistry,Sport Science,Business &amp; Management,History, Philosophy &amp; Theology,Agriculture &amp; Forestry,Communication &amp; Media Studies,Accounting &amp; Finance,Architecture,Biological Sciences,Law,Mechanical &amp; Aerospace Engineering,Geography,General Engineering,Physics &amp; Astronomy,Other Health,Mathematics &amp; Statistics,Education,Computer Science,Chemistry,Psychology,Languages, Literature &amp; Linguistics,Chemical Engineering,Geology, Environmental, Earth &amp; Marine Sciences,Economics &amp; Econometrics,Art, Performing Arts &amp; Design,Civil Engineering,Sociology</t>
  </si>
  <si>
    <t>UniversitÃ© de Poitiers</t>
  </si>
  <si>
    <t>/world-university-rankings/universite-de-poitiers</t>
  </si>
  <si>
    <t>Art, Performing Arts &amp; Design,Medicine &amp; Dentistry,History, Philosophy &amp; Theology,Languages, Literature &amp; Linguistics,Physics &amp; Astronomy,Economics &amp; Econometrics,Business &amp; Management,General Engineering,Biological Sciences,Other Health,Sport Science,Law,Geology, Environmental, Earth &amp; Marine Sciences,Electrical &amp; Electronic Engineering,Mechanical &amp; Aerospace Engineering,Psychology,Communication &amp; Media Studies,Computer Science,Politics &amp; International Studies (incl Development Studies),Veterinary Science,Sociology,Education,Geography,Archaeology,Civil Engineering,Chemical Engineering,Accounting &amp; Finance,Chemistry,Mathematics &amp; Statistics</t>
  </si>
  <si>
    <t>Universiti Malaysia Sabah (UMS)</t>
  </si>
  <si>
    <t>/world-university-rankings/universiti-malaysia-sabah-ums</t>
  </si>
  <si>
    <t>Art, Performing Arts &amp; Design,Agriculture &amp; Forestry,Sociology,Medicine &amp; Dentistry,Communication &amp; Media Studies,Mechanical &amp; Aerospace Engineering,Veterinary Science,Geography,Civil Engineering,Sport Science,Education,Languages, Literature &amp; Linguistics,Biological Sciences,Psychology,Electrical &amp; Electronic Engineering,Geology, Environmental, Earth &amp; Marine Sciences,Economics &amp; Econometrics,History, Philosophy &amp; Theology,Politics &amp; International Studies (incl Development Studies),Business &amp; Management,General Engineering,Chemistry,Other Health,Chemical Engineering,Mathematics &amp; Statistics,Accounting &amp; Finance,Computer Science,Physics &amp; Astronomy</t>
  </si>
  <si>
    <t>Universiti Malaysia Sarawak (UNIMAS)</t>
  </si>
  <si>
    <t>/world-university-rankings/universiti-malaysia-sarawak-unimas</t>
  </si>
  <si>
    <t>Art, Performing Arts &amp; Design,Civil Engineering,Psychology,Languages, Literature &amp; Linguistics,Chemistry,Electrical &amp; Electronic Engineering,Sociology,Other Health,Biological Sciences,Economics &amp; Econometrics,Agriculture &amp; Forestry,Business &amp; Management,Computer Science,Politics &amp; International Studies (incl Development Studies),Chemical Engineering,Architecture,Communication &amp; Media Studies,Medicine &amp; Dentistry,Geology, Environmental, Earth &amp; Marine Sciences,Accounting &amp; Finance,Mechanical &amp; Aerospace Engineering,Geography</t>
  </si>
  <si>
    <t>Universiti Malaysia Terengganu (UMT)</t>
  </si>
  <si>
    <t>/world-university-rankings/universiti-malaysia-terengganu-umt</t>
  </si>
  <si>
    <t>Physics &amp; Astronomy,Chemistry,Biological Sciences,Accounting &amp; Finance,Business &amp; Management,Agriculture &amp; Forestry,Geology, Environmental, Earth &amp; Marine Sciences,Chemical Engineering,Computer Science,Economics &amp; Econometrics,Politics &amp; International Studies (incl Development Studies),Mathematics &amp; Statistics,Communication &amp; Media Studies</t>
  </si>
  <si>
    <t>Universiti Tun Hussein Onn University of Malaysia (UTHM)</t>
  </si>
  <si>
    <t>Universiti Tun Hussein Onn Malaysia (UTHM)</t>
  </si>
  <si>
    <t>/world-university-rankings/universiti-tun-hussein-onn-malaysia-uthm</t>
  </si>
  <si>
    <t>Geography,Chemistry,Chemical Engineering,Mathematics &amp; Statistics,Education,Civil Engineering,Agriculture &amp; Forestry,Computer Science,Business &amp; Management,Sociology,Mechanical &amp; Aerospace Engineering,Geology, Environmental, Earth &amp; Marine Sciences,Electrical &amp; Electronic Engineering,Biological Sciences,Architecture,Physics &amp; Astronomy,General Engineering</t>
  </si>
  <si>
    <t>University of Derby</t>
  </si>
  <si>
    <t>/world-university-rankings/university-derby</t>
  </si>
  <si>
    <t>Psychology,Other Health,Civil Engineering,Accounting &amp; Finance,Biological Sciences,General Engineering,Economics &amp; Econometrics,Computer Science,Sociology,Communication &amp; Media Studies,Law,Mechanical &amp; Aerospace Engineering,History, Philosophy &amp; Theology,Education,Mathematics &amp; Statistics,Electrical &amp; Electronic Engineering,Architecture,Languages, Literature &amp; Linguistics,Business &amp; Management,Politics &amp; International Studies (incl Development Studies),Art, Performing Arts &amp; Design,Sport Science</t>
  </si>
  <si>
    <t>https://www.timeshighereducation.com/student/register-interest/siuk?utm_medium=thewebsite&amp;utm_campaign=cta-link&amp;utm_source=rankings&amp;iid=i-72672023</t>
  </si>
  <si>
    <t>University of Deusto</t>
  </si>
  <si>
    <t>/world-university-rankings/university-deusto</t>
  </si>
  <si>
    <t>History, Philosophy &amp; Theology,Languages, Literature &amp; Linguistics,Electrical &amp; Electronic Engineering,Psychology,Mechanical &amp; Aerospace Engineering,Computer Science,Politics &amp; International Studies (incl Development Studies),Economics &amp; Econometrics,Communication &amp; Media Studies,Accounting &amp; Finance,Medicine &amp; Dentistry,Law,Other Health,Education,Sport Science,Business &amp; Management,General Engineering</t>
  </si>
  <si>
    <t>University of Ibadan</t>
  </si>
  <si>
    <t>NG</t>
  </si>
  <si>
    <t>Nigeria</t>
  </si>
  <si>
    <t>/world-university-rankings/university-ibadan</t>
  </si>
  <si>
    <t>History, Philosophy &amp; Theology,Agriculture &amp; Forestry,Other Health,Biological Sciences,Law,Architecture,Civil Engineering,Chemistry,Electrical &amp; Electronic Engineering,Politics &amp; International Studies (incl Development Studies),Business &amp; Management,Mechanical &amp; Aerospace Engineering,Sociology,Economics &amp; Econometrics,Computer Science,Physics &amp; Astronomy,Accounting &amp; Finance,Art, Performing Arts &amp; Design,General Engineering,Communication &amp; Media Studies,Archaeology,Sport Science,Geography,Languages, Literature &amp; Linguistics,Chemical Engineering,Mathematics &amp; Statistics,Medicine &amp; Dentistry,Veterinary Science,Education,Geology, Environmental, Earth &amp; Marine Sciences,Psychology</t>
  </si>
  <si>
    <t>University of Ioannina</t>
  </si>
  <si>
    <t>/world-university-rankings/university-ioannina</t>
  </si>
  <si>
    <t>History, Philosophy &amp; Theology,Chemical Engineering,Medicine &amp; Dentistry,Accounting &amp; Finance,Computer Science,Education,Art, Performing Arts &amp; Design,Agriculture &amp; Forestry,Languages, Literature &amp; Linguistics,Biological Sciences,Economics &amp; Econometrics,Archaeology,Physics &amp; Astronomy,Architecture,Mathematics &amp; Statistics,Electrical &amp; Electronic Engineering,Business &amp; Management,General Engineering,Psychology,Other Health,Chemistry</t>
  </si>
  <si>
    <t>University of Karachi</t>
  </si>
  <si>
    <t>/world-university-rankings/university-karachi</t>
  </si>
  <si>
    <t>Accounting &amp; Finance,Agriculture &amp; Forestry,Law,Politics &amp; International Studies (incl Development Studies),Physics &amp; Astronomy,Other Health,Mathematics &amp; Statistics,Chemical Engineering,Communication &amp; Media Studies,Computer Science,Education,Sociology,Business &amp; Management,Sport Science,Languages, Literature &amp; Linguistics,Geology, Environmental, Earth &amp; Marine Sciences,Biological Sciences,Psychology,Architecture,History, Philosophy &amp; Theology,Geography,Veterinary Science,Economics &amp; Econometrics,Chemistry</t>
  </si>
  <si>
    <t>University of Lagos</t>
  </si>
  <si>
    <t>/world-university-rankings/university-lagos</t>
  </si>
  <si>
    <t>Education,Computer Science,Sport Science,Medicine &amp; Dentistry,Biological Sciences,Geology, Environmental, Earth &amp; Marine Sciences,Sociology,Law,Other Health,Art, Performing Arts &amp; Design,Civil Engineering,History, Philosophy &amp; Theology,Chemical Engineering,Accounting &amp; Finance,Geography,Architecture,Mathematics &amp; Statistics,Physics &amp; Astronomy,Psychology,General Engineering,Business &amp; Management,Chemistry,Electrical &amp; Electronic Engineering,Economics &amp; Econometrics,Politics &amp; International Studies (incl Development Studies),Communication &amp; Media Studies,Languages, Literature &amp; Linguistics,Mechanical &amp; Aerospace Engineering</t>
  </si>
  <si>
    <t>University of North Carolina at Charlotte</t>
  </si>
  <si>
    <t>/world-university-rankings/university-north-carolina-charlotte</t>
  </si>
  <si>
    <t>Sociology,History, Philosophy &amp; Theology,Electrical &amp; Electronic Engineering,Geology, Environmental, Earth &amp; Marine Sciences,Politics &amp; International Studies (incl Development Studies),Mathematics &amp; Statistics,Other Health,General Engineering,Business &amp; Management,Art, Performing Arts &amp; Design,Education,Communication &amp; Media Studies,Civil Engineering,Psychology,Geography,Chemistry,Architecture,Biological Sciences,Languages, Literature &amp; Linguistics,Mechanical &amp; Aerospace Engineering,Computer Science,Accounting &amp; Finance,Physics &amp; Astronomy,Economics &amp; Econometrics,Sport Science</t>
  </si>
  <si>
    <t>https://www.timeshighereducation.com/student/register-interest/shorelight?utm_medium=thewebsite&amp;utm_campaign=cta-link&amp;utm_source=rankings&amp;iid=i-81322783</t>
  </si>
  <si>
    <t>University of Novi Sad</t>
  </si>
  <si>
    <t>/world-university-rankings/university-novi-sad</t>
  </si>
  <si>
    <t>Mathematics &amp; Statistics,Chemical Engineering,Other Health,Agriculture &amp; Forestry,Electrical &amp; Electronic Engineering,Law,History, Philosophy &amp; Theology,Geography,Biological Sciences,Languages, Literature &amp; Linguistics,Communication &amp; Media Studies,Education,Chemistry,Accounting &amp; Finance,Medicine &amp; Dentistry,Architecture,Civil Engineering,Sport Science,Business &amp; Management,General Engineering,Art, Performing Arts &amp; Design,Computer Science,Veterinary Science,Psychology,Sociology,Economics &amp; Econometrics,Mechanical &amp; Aerospace Engineering,Physics &amp; Astronomy</t>
  </si>
  <si>
    <t xml:space="preserve">University of Rhode Island </t>
  </si>
  <si>
    <t>University of Rhode Island</t>
  </si>
  <si>
    <t>/world-university-rankings/university-rhode-island</t>
  </si>
  <si>
    <t>Art, Performing Arts &amp; Design,Mechanical &amp; Aerospace Engineering,Education,Archaeology,General Engineering,Chemical Engineering,Medicine &amp; Dentistry,Other Health,Chemistry,Sport Science,Electrical &amp; Electronic Engineering,Geology, Environmental, Earth &amp; Marine Sciences,Veterinary Science,Civil Engineering,Business &amp; Management,Geography,Languages, Literature &amp; Linguistics,Agriculture &amp; Forestry,Psychology,History, Philosophy &amp; Theology,Sociology,Architecture,Communication &amp; Media Studies,Computer Science,Economics &amp; Econometrics,Biological Sciences,Politics &amp; International Studies (incl Development Studies),Physics &amp; Astronomy,Mathematics &amp; Statistics,Accounting &amp; Finance</t>
  </si>
  <si>
    <t>https://www.timeshighereducation.com/student/register-interest/shorelight?utm_medium=thewebsite&amp;utm_campaign=cta-link&amp;utm_source=rankings&amp;iid=i-12493713</t>
  </si>
  <si>
    <t xml:space="preserve">University of Sarajevo </t>
  </si>
  <si>
    <t>BA</t>
  </si>
  <si>
    <t>Bosnia and Herzegovina</t>
  </si>
  <si>
    <t>University of Sarajevo</t>
  </si>
  <si>
    <t>/world-university-rankings/university-sarajevo</t>
  </si>
  <si>
    <t>Languages, Literature &amp; Linguistics,Agriculture &amp; Forestry,Chemistry,Civil Engineering,Geography,Computer Science,Geology, Environmental, Earth &amp; Marine Sciences,Medicine &amp; Dentistry,Veterinary Science,Sociology,Business &amp; Management,Other Health,Mathematics &amp; Statistics,Accounting &amp; Finance,Art, Performing Arts &amp; Design,Sport Science,Politics &amp; International Studies (incl Development Studies),Archaeology,Mechanical &amp; Aerospace Engineering,Education,Architecture,Biological Sciences,Law,History, Philosophy &amp; Theology,Physics &amp; Astronomy,Psychology,Electrical &amp; Electronic Engineering,Communication &amp; Media Studies,Economics &amp; Econometrics</t>
  </si>
  <si>
    <t xml:space="preserve">University of Seoul </t>
  </si>
  <si>
    <t>University of Seoul</t>
  </si>
  <si>
    <t>/world-university-rankings/university-seoul</t>
  </si>
  <si>
    <t>Mechanical &amp; Aerospace Engineering,Education,Computer Science,Chemistry,General Engineering,Geology, Environmental, Earth &amp; Marine Sciences,Art, Performing Arts &amp; Design,Biological Sciences,Business &amp; Management,History, Philosophy &amp; Theology,Law,Architecture,Physics &amp; Astronomy,Economics &amp; Econometrics,Civil Engineering,Politics &amp; International Studies (incl Development Studies),Languages, Literature &amp; Linguistics,Sport Science,Chemical Engineering,Sociology,Electrical &amp; Electronic Engineering,Mathematics &amp; Statistics</t>
  </si>
  <si>
    <t>University of Tabuk</t>
  </si>
  <si>
    <t>/world-university-rankings/university-tabuk</t>
  </si>
  <si>
    <t>Civil Engineering,Accounting &amp; Finance,Mechanical &amp; Aerospace Engineering,Business &amp; Management,Art, Performing Arts &amp; Design,Chemical Engineering,Psychology,Languages, Literature &amp; Linguistics,Chemistry,Economics &amp; Econometrics,History, Philosophy &amp; Theology,Biological Sciences,Veterinary Science,Computer Science,Physics &amp; Astronomy,Agriculture &amp; Forestry,Medicine &amp; Dentistry,Mathematics &amp; Statistics,Other Health,Geology, Environmental, Earth &amp; Marine Sciences,General Engineering,Law,Electrical &amp; Electronic Engineering,Education</t>
  </si>
  <si>
    <t>University of Texas at San Antonio</t>
  </si>
  <si>
    <t>The University of Texas at San Antonio</t>
  </si>
  <si>
    <t>/world-university-rankings/university-texas-san-antonio</t>
  </si>
  <si>
    <t>Chemical Engineering,Sociology,Other Health,Physics &amp; Astronomy,Education,Computer Science,Communication &amp; Media Studies,Architecture,Civil Engineering,Chemistry,Languages, Literature &amp; Linguistics,Agriculture &amp; Forestry,Law,Medicine &amp; Dentistry,Mathematics &amp; Statistics,Economics &amp; Econometrics,History, Philosophy &amp; Theology,Mechanical &amp; Aerospace Engineering,Geography,General Engineering,Sport Science,Psychology,Biological Sciences,Politics &amp; International Studies (incl Development Studies),Accounting &amp; Finance,Art, Performing Arts &amp; Design,Electrical &amp; Electronic Engineering,Geology, Environmental, Earth &amp; Marine Sciences,Business &amp; Management</t>
  </si>
  <si>
    <t>https://www.timeshighereducation.com/student/register-interest/shorelight?utm_medium=thewebsite&amp;utm_campaign=cta-link&amp;utm_source=rankings&amp;iid=i-33715825</t>
  </si>
  <si>
    <t xml:space="preserve">University of Texas El Paso </t>
  </si>
  <si>
    <t>University of Texas at El Paso</t>
  </si>
  <si>
    <t>/world-university-rankings/university-texas-el-paso</t>
  </si>
  <si>
    <t>Biological Sciences,Business &amp; Management,Agriculture &amp; Forestry,Sport Science,Art, Performing Arts &amp; Design,Mechanical &amp; Aerospace Engineering,Sociology,Electrical &amp; Electronic Engineering,Politics &amp; International Studies (incl Development Studies),Civil Engineering,Education,Computer Science,Physics &amp; Astronomy,Geography,Other Health,Chemistry,Economics &amp; Econometrics,Languages, Literature &amp; Linguistics,Mathematics &amp; Statistics,General Engineering,Geology, Environmental, Earth &amp; Marine Sciences,Psychology,History, Philosophy &amp; Theology,Communication &amp; Media Studies,Accounting &amp; Finance</t>
  </si>
  <si>
    <t>https://www.timeshighereducation.com/student/register-interest/shorelight?utm_medium=thewebsite&amp;utm_campaign=cta-link&amp;utm_source=rankings&amp;iid=i-04696203</t>
  </si>
  <si>
    <t>University of the Free State</t>
  </si>
  <si>
    <t>/world-university-rankings/university-free-state-0</t>
  </si>
  <si>
    <t>History, Philosophy &amp; Theology,Languages, Literature &amp; Linguistics,Medicine &amp; Dentistry,Law,Sociology,Psychology,Computer Science,Biological Sciences,Chemical Engineering,Business &amp; Management,Physics &amp; Astronomy,Education,Mathematics &amp; Statistics,Architecture,Accounting &amp; Finance,Civil Engineering,Politics &amp; International Studies (incl Development Studies),General Engineering,Mechanical &amp; Aerospace Engineering,Communication &amp; Media Studies,Agriculture &amp; Forestry,Chemistry,Electrical &amp; Electronic Engineering,Other Health,Economics &amp; Econometrics,Art, Performing Arts &amp; Design,Geography,Geology, Environmental, Earth &amp; Marine Sciences,Sport Science</t>
  </si>
  <si>
    <t xml:space="preserve">University of the Sunshine Coast </t>
  </si>
  <si>
    <t>University of the Sunshine Coast</t>
  </si>
  <si>
    <t>/world-university-rankings/university-sunshine-coast</t>
  </si>
  <si>
    <t>University of the Sunshine Coast USC</t>
  </si>
  <si>
    <t>Art, Performing Arts &amp; Design,Other Health,Mathematics &amp; Statistics,Business &amp; Management,General Engineering,Geography,Medicine &amp; Dentistry,Veterinary Science,Law,Languages, Literature &amp; Linguistics,Mechanical &amp; Aerospace Engineering,Psychology,Computer Science,Sociology,Biological Sciences,Geology, Environmental, Earth &amp; Marine Sciences,Civil Engineering,Communication &amp; Media Studies,Agriculture &amp; Forestry,Politics &amp; International Studies (incl Development Studies),Economics &amp; Econometrics,History, Philosophy &amp; Theology,Sport Science,Accounting &amp; Finance,Electrical &amp; Electronic Engineering,Education</t>
  </si>
  <si>
    <t>University of Toledo</t>
  </si>
  <si>
    <t>/world-university-rankings/university-toledo</t>
  </si>
  <si>
    <t>Electrical &amp; Electronic Engineering,Politics &amp; International Studies (incl Development Studies),Medicine &amp; Dentistry,Civil Engineering,Geography,Languages, Literature &amp; Linguistics,Chemical Engineering,Business &amp; Management,History, Philosophy &amp; Theology,Biological Sciences,Education,General Engineering,Communication &amp; Media Studies,Computer Science,Geology, Environmental, Earth &amp; Marine Sciences,Economics &amp; Econometrics,Mechanical &amp; Aerospace Engineering,Sociology,Chemistry,Law,Other Health,Mathematics &amp; Statistics,Accounting &amp; Finance,Art, Performing Arts &amp; Design,Physics &amp; Astronomy,Psychology</t>
  </si>
  <si>
    <t>https://www.timeshighereducation.com/student/register-interest/shorelight?utm_medium=thewebsite&amp;utm_campaign=cta-link&amp;utm_source=rankings&amp;iid=i-16356362</t>
  </si>
  <si>
    <t>University of Tulsa</t>
  </si>
  <si>
    <t>The University of Tulsa</t>
  </si>
  <si>
    <t>/world-university-rankings/university-tulsa</t>
  </si>
  <si>
    <t>Communication &amp; Media Studies,Accounting &amp; Finance,Chemical Engineering,Politics &amp; International Studies (incl Development Studies),Art, Performing Arts &amp; Design,Geology, Environmental, Earth &amp; Marine Sciences,Civil Engineering,Sociology,Other Health,Sport Science,Economics &amp; Econometrics,Mechanical &amp; Aerospace Engineering,Law,Psychology,Computer Science,Mathematics &amp; Statistics,General Engineering,Biological Sciences,Education,Electrical &amp; Electronic Engineering,Chemistry,History, Philosophy &amp; Theology,Physics &amp; Astronomy,Business &amp; Management</t>
  </si>
  <si>
    <t>https://www.timeshighereducation.com/student/register-interest/shorelight?utm_medium=thewebsite&amp;utm_campaign=cta-link&amp;utm_source=rankings&amp;iid=i-38579964</t>
  </si>
  <si>
    <t>University of Warmia and Mazury in Olsztyn</t>
  </si>
  <si>
    <t>/world-university-rankings/university-warmia-and-mazury-olsztyn</t>
  </si>
  <si>
    <t>Veterinary Science,Electrical &amp; Electronic Engineering,Art, Performing Arts &amp; Design,Politics &amp; International Studies (incl Development Studies),Education,Mechanical &amp; Aerospace Engineering,Geology, Environmental, Earth &amp; Marine Sciences,Agriculture &amp; Forestry,Biological Sciences,General Engineering,Computer Science,Other Health,Physics &amp; Astronomy,History, Philosophy &amp; Theology,Communication &amp; Media Studies,Sport Science,Medicine &amp; Dentistry,Business &amp; Management,Architecture,Law,Economics &amp; Econometrics,Mathematics &amp; Statistics,Chemistry,Psychology,Languages, Literature &amp; Linguistics,Sociology,Accounting &amp; Finance</t>
  </si>
  <si>
    <t>University of Wolverhampton</t>
  </si>
  <si>
    <t>/world-university-rankings/university-wolverhampton</t>
  </si>
  <si>
    <t>Biological Sciences,Law,Computer Science,Sport Science,Business &amp; Management,Civil Engineering,Politics &amp; International Studies (incl Development Studies),General Engineering,Physics &amp; Astronomy,Psychology,Languages, Literature &amp; Linguistics,Mechanical &amp; Aerospace Engineering,Chemistry,Economics &amp; Econometrics,History, Philosophy &amp; Theology,Veterinary Science,Education,Electrical &amp; Electronic Engineering,Sociology,Architecture,Mathematics &amp; Statistics,Accounting &amp; Finance,Art, Performing Arts &amp; Design,Chemical Engineering,Geography,Other Health,Communication &amp; Media Studies</t>
  </si>
  <si>
    <t>https://www.timeshighereducation.com/student/register-interest/siuk?utm_medium=thewebsite&amp;utm_campaign=cta-link&amp;utm_source=rankings&amp;iid=i-43161403</t>
  </si>
  <si>
    <t>University of Wyoming</t>
  </si>
  <si>
    <t>/world-university-rankings/university-wyoming</t>
  </si>
  <si>
    <t>Electrical &amp; Electronic Engineering,Geology, Environmental, Earth &amp; Marine Sciences,Other Health,Sociology,History, Philosophy &amp; Theology,Mathematics &amp; Statistics,Psychology,Civil Engineering,Chemistry,Mechanical &amp; Aerospace Engineering,Communication &amp; Media Studies,Computer Science,Physics &amp; Astronomy,Education,Art, Performing Arts &amp; Design,Biological Sciences,Law,Accounting &amp; Finance,Medicine &amp; Dentistry,Sport Science,Business &amp; Management,Languages, Literature &amp; Linguistics,Chemical Engineering,Politics &amp; International Studies (incl Development Studies),Economics &amp; Econometrics,Agriculture &amp; Forestry,Geography</t>
  </si>
  <si>
    <t>https://www.timeshighereducation.com/student/register-interest/shorelight?utm_medium=thewebsite&amp;utm_campaign=cta-link&amp;utm_source=rankings&amp;iid=i-13001174</t>
  </si>
  <si>
    <t>University of Å½ilina</t>
  </si>
  <si>
    <t>/world-university-rankings/university-zilina</t>
  </si>
  <si>
    <t>Computer Science,Business &amp; Management,Civil Engineering,Electrical &amp; Electronic Engineering,General Engineering,Education,Mechanical &amp; Aerospace Engineering,Languages, Literature &amp; Linguistics,Politics &amp; International Studies (incl Development Studies),Communication &amp; Media Studies,Economics &amp; Econometrics,Accounting &amp; Finance,Geology, Environmental, Earth &amp; Marine Sciences</t>
  </si>
  <si>
    <t>VSB - Technical University of Ostrava</t>
  </si>
  <si>
    <t>/world-university-rankings/vsb-technical-university-ostrava</t>
  </si>
  <si>
    <t>Mechanical &amp; Aerospace Engineering,Accounting &amp; Finance,Civil Engineering,Architecture,Physics &amp; Astronomy,Chemical Engineering,Mathematics &amp; Statistics,Economics &amp; Econometrics,General Engineering,Computer Science,Chemistry,Electrical &amp; Electronic Engineering,Business &amp; Management,Geology, Environmental, Earth &amp; Marine Sciences</t>
  </si>
  <si>
    <t>West Virginia University</t>
  </si>
  <si>
    <t>/world-university-rankings/west-virginia-university</t>
  </si>
  <si>
    <t>Other Health,General Engineering,Accounting &amp; Finance,Geography,Computer Science,Civil Engineering,Agriculture &amp; Forestry,Mathematics &amp; Statistics,History, Philosophy &amp; Theology,Biological Sciences,Languages, Literature &amp; Linguistics,Law,Electrical &amp; Electronic Engineering,Medicine &amp; Dentistry,Communication &amp; Media Studies,Chemistry,Art, Performing Arts &amp; Design,Chemical Engineering,Economics &amp; Econometrics,Politics &amp; International Studies (incl Development Studies),Business &amp; Management,Physics &amp; Astronomy,Mechanical &amp; Aerospace Engineering,Sociology,Sport Science,Psychology,Geology, Environmental, Earth &amp; Marine Sciences,Education,Architecture</t>
  </si>
  <si>
    <t>https://www.timeshighereducation.com/student/register-interest/shorelight?utm_medium=thewebsite&amp;utm_campaign=cta-link&amp;utm_source=rankings&amp;iid=i-78874701</t>
  </si>
  <si>
    <t>Xi'an Jiaotong Liverpool University</t>
  </si>
  <si>
    <t>Xiâ€™an Jiaotong-Liverpool University</t>
  </si>
  <si>
    <t>/world-university-rankings/xian-jiaotong-liverpool-university</t>
  </si>
  <si>
    <t>Xiâ€™an Jiaotong-Liverpool University Xian Jiaotong Liverpool XJTLU</t>
  </si>
  <si>
    <t>Architecture,Politics &amp; International Studies (incl Development Studies),Art, Performing Arts &amp; Design,Business &amp; Management,Computer Science,Chemistry,Civil Engineering,Accounting &amp; Finance,Electrical &amp; Electronic Engineering,Communication &amp; Media Studies,Agriculture &amp; Forestry,Sociology,Economics &amp; Econometrics,Biological Sciences,Education,General Engineering,Languages, Literature &amp; Linguistics,Mathematics &amp; Statistics</t>
  </si>
  <si>
    <t>Yokohama National University</t>
  </si>
  <si>
    <t>/world-university-rankings/yokohama-national-university</t>
  </si>
  <si>
    <t>Electrical &amp; Electronic Engineering,Languages, Literature &amp; Linguistics,General Engineering,Geology, Environmental, Earth &amp; Marine Sciences,Sport Science,Biological Sciences,Economics &amp; Econometrics,Mathematics &amp; Statistics,Business &amp; Management,Agriculture &amp; Forestry,Art, Performing Arts &amp; Design,History, Philosophy &amp; Theology,Accounting &amp; Finance,Law,Computer Science,Communication &amp; Media Studies,Education,Physics &amp; Astronomy,Mechanical &amp; Aerospace Engineering,Civil Engineering,Psychology,Chemistry,Sociology,Architecture,Geography,Chemical Engineering,Politics &amp; International Studies (incl Development Studies)</t>
  </si>
  <si>
    <t>Al-Balqa Applied University</t>
  </si>
  <si>
    <t>/world-university-rankings/al-balqa-applied-university</t>
  </si>
  <si>
    <t>Accounting &amp; Finance,Medicine &amp; Dentistry,Business &amp; Management,Law,Chemical Engineering,Physics &amp; Astronomy,Biological Sciences,Chemistry,General Engineering,Electrical &amp; Electronic Engineering,Mathematics &amp; Statistics,Computer Science,Education,Languages, Literature &amp; Linguistics,Mechanical &amp; Aerospace Engineering,Psychology,Sociology,Other Health,Civil Engineering,Agriculture &amp; Forestry,Architecture,Economics &amp; Econometrics</t>
  </si>
  <si>
    <t>Alexandru Ioan Cuza University</t>
  </si>
  <si>
    <t>/world-university-rankings/alexandru-ioan-cuza-university</t>
  </si>
  <si>
    <t>Economics &amp; Econometrics,Psychology,Languages, Literature &amp; Linguistics,Geography,Chemistry,Communication &amp; Media Studies,Politics &amp; International Studies (incl Development Studies),Accounting &amp; Finance,Archaeology,Biological Sciences,Sociology,Geology, Environmental, Earth &amp; Marine Sciences,Computer Science,Education,Mathematics &amp; Statistics,Business &amp; Management,Law,Physics &amp; Astronomy,History, Philosophy &amp; Theology,Sport Science</t>
  </si>
  <si>
    <t>Anadolu University</t>
  </si>
  <si>
    <t>/world-university-rankings/anadolu-university</t>
  </si>
  <si>
    <t>Sociology,Languages, Literature &amp; Linguistics,Law,Business &amp; Management,Archaeology,Chemistry,History, Philosophy &amp; Theology,Education,Economics &amp; Econometrics,Biological Sciences,Accounting &amp; Finance,Politics &amp; International Studies (incl Development Studies),Other Health,Psychology,Art, Performing Arts &amp; Design,Communication &amp; Media Studies</t>
  </si>
  <si>
    <t>Aoyama Gakuin University</t>
  </si>
  <si>
    <t>/world-university-rankings/aoyama-gakuin-university</t>
  </si>
  <si>
    <t>Chemical Engineering,Biological Sciences,Physics &amp; Astronomy,Sport Science,General Engineering,Computer Science,Geography,Education,Mechanical &amp; Aerospace Engineering,History, Philosophy &amp; Theology,Economics &amp; Econometrics,Communication &amp; Media Studies,Psychology,Art, Performing Arts &amp; Design,Mathematics &amp; Statistics,Chemistry,Politics &amp; International Studies (incl Development Studies),Sociology,Law,Geology, Environmental, Earth &amp; Marine Sciences,Electrical &amp; Electronic Engineering,Archaeology,Business &amp; Management,Accounting &amp; Finance,Languages, Literature &amp; Linguistics</t>
  </si>
  <si>
    <t xml:space="preserve">Bahauddin Zakariya University </t>
  </si>
  <si>
    <t>Bahauddin Zakariya University</t>
  </si>
  <si>
    <t>/world-university-rankings/bahauddin-zakariya-university</t>
  </si>
  <si>
    <t>Architecture,Law,Communication &amp; Media Studies,Politics &amp; International Studies (incl Development Studies),Mathematics &amp; Statistics,Sociology,Computer Science,History, Philosophy &amp; Theology,Other Health,Art, Performing Arts &amp; Design,Veterinary Science,Physics &amp; Astronomy,Chemistry,Civil Engineering,Geography,Electrical &amp; Electronic Engineering,Geology, Environmental, Earth &amp; Marine Sciences,Languages, Literature &amp; Linguistics,Mechanical &amp; Aerospace Engineering,Psychology,Agriculture &amp; Forestry,Biological Sciences,Economics &amp; Econometrics,Education,Business &amp; Management,Sport Science,Accounting &amp; Finance</t>
  </si>
  <si>
    <t>Belarusian State University of Informatics and Radioelectronics</t>
  </si>
  <si>
    <t>/world-university-rankings/belarusian-state-university-informatics-and-radioelectronics</t>
  </si>
  <si>
    <t>Economics &amp; Econometrics,Chemistry,Electrical &amp; Electronic Engineering,Mathematics &amp; Statistics,Computer Science,Chemical Engineering,Physics &amp; Astronomy,Business &amp; Management,Mechanical &amp; Aerospace Engineering</t>
  </si>
  <si>
    <t>BenemÃ©rita Universidad AutÃ³noma de Puebla</t>
  </si>
  <si>
    <t>/world-university-rankings/benemerita-universidad-autonoma-de-puebla</t>
  </si>
  <si>
    <t>Medicine &amp; Dentistry,Biological Sciences,Languages, Literature &amp; Linguistics,Veterinary Science,Electrical &amp; Electronic Engineering,Mathematics &amp; Statistics,Business &amp; Management,Art, Performing Arts &amp; Design,Mechanical &amp; Aerospace Engineering,Chemistry,Architecture,Chemical Engineering,Sociology,Economics &amp; Econometrics,History, Philosophy &amp; Theology,Sport Science,Psychology,Other Health,Agriculture &amp; Forestry,Communication &amp; Media Studies,General Engineering,Physics &amp; Astronomy,Accounting &amp; Finance,Civil Engineering,Law,Computer Science,Geology, Environmental, Earth &amp; Marine Sciences,Politics &amp; International Studies (incl Development Studies),Education</t>
  </si>
  <si>
    <t>British University in Egypt</t>
  </si>
  <si>
    <t>The British University in Egypt</t>
  </si>
  <si>
    <t>/world-university-rankings/british-university-egypt</t>
  </si>
  <si>
    <t>Mechanical &amp; Aerospace Engineering,Art, Performing Arts &amp; Design,Law,General Engineering,Electrical &amp; Electronic Engineering,Business &amp; Management,Chemical Engineering,Architecture,Economics &amp; Econometrics,Civil Engineering,Computer Science,Politics &amp; International Studies (incl Development Studies),Medicine &amp; Dentistry,Psychology,Languages, Literature &amp; Linguistics,Accounting &amp; Finance,Communication &amp; Media Studies</t>
  </si>
  <si>
    <t>Central Michigan University</t>
  </si>
  <si>
    <t>/world-university-rankings/central-michigan-university</t>
  </si>
  <si>
    <t>Mechanical &amp; Aerospace Engineering,Sociology,Economics &amp; Econometrics,Computer Science,Sport Science,Politics &amp; International Studies (incl Development Studies),Communication &amp; Media Studies,General Engineering,Medicine &amp; Dentistry,Other Health,Chemical Engineering,Psychology,Art, Performing Arts &amp; Design,Mathematics &amp; Statistics,Law,Geography,Education,Chemistry,Physics &amp; Astronomy,History, Philosophy &amp; Theology,Geology, Environmental, Earth &amp; Marine Sciences,Electrical &amp; Electronic Engineering,Biological Sciences,Languages, Literature &amp; Linguistics,Business &amp; Management,Accounting &amp; Finance,Agriculture &amp; Forestry</t>
  </si>
  <si>
    <t>https://www.timeshighereducation.com/student/register-interest/shorelight?utm_medium=thewebsite&amp;utm_campaign=cta-link&amp;utm_source=rankings&amp;iid=i-78180591</t>
  </si>
  <si>
    <t>Chaoyang University of Technology</t>
  </si>
  <si>
    <t>/world-university-rankings/chaoyang-university-technology</t>
  </si>
  <si>
    <t>Mechanical &amp; Aerospace Engineering,Languages, Literature &amp; Linguistics,Education,Psychology,Business &amp; Management,Chemical Engineering,Accounting &amp; Finance,Architecture,Geology, Environmental, Earth &amp; Marine Sciences,Economics &amp; Econometrics,Art, Performing Arts &amp; Design,General Engineering,Other Health,Sport Science,Communication &amp; Media Studies,Chemistry,Civil Engineering,Computer Science,Mathematics &amp; Statistics,Sociology</t>
  </si>
  <si>
    <t>Chitkara University</t>
  </si>
  <si>
    <t>/world-university-rankings/chitkara-university</t>
  </si>
  <si>
    <t>Economics &amp; Econometrics,Communication &amp; Media Studies,Education,Computer Science,Business &amp; Management,Accounting &amp; Finance,Civil Engineering,Art, Performing Arts &amp; Design,Architecture,Electrical &amp; Electronic Engineering</t>
  </si>
  <si>
    <t>Cukurova University</t>
  </si>
  <si>
    <t>/world-university-rankings/cukurova-university</t>
  </si>
  <si>
    <t>Civil Engineering,Geology, Environmental, Earth &amp; Marine Sciences,Business &amp; Management,Languages, Literature &amp; Linguistics,Agriculture &amp; Forestry,Economics &amp; Econometrics,Medicine &amp; Dentistry,Communication &amp; Media Studies,Architecture,Mechanical &amp; Aerospace Engineering,Accounting &amp; Finance,Archaeology,Biological Sciences,Chemistry,History, Philosophy &amp; Theology,Politics &amp; International Studies (incl Development Studies),Art, Performing Arts &amp; Design,Electrical &amp; Electronic Engineering,Physics &amp; Astronomy,Other Health,Veterinary Science,Law,General Engineering,Mathematics &amp; Statistics,Psychology,Computer Science,Sport Science,Education</t>
  </si>
  <si>
    <t>Daffodil International University</t>
  </si>
  <si>
    <t>Daffodil International University (DIU)</t>
  </si>
  <si>
    <t>/world-university-rankings/daffodil-international-university-diu</t>
  </si>
  <si>
    <t>Business &amp; Management,Geology, Environmental, Earth &amp; Marine Sciences,Sport Science,Chemical Engineering,Agriculture &amp; Forestry,Electrical &amp; Electronic Engineering,Communication &amp; Media Studies,Economics &amp; Econometrics,Civil Engineering,Computer Science,Politics &amp; International Studies (incl Development Studies),Architecture,Accounting &amp; Finance,Biological Sciences,Languages, Literature &amp; Linguistics,Medicine &amp; Dentistry,Law</t>
  </si>
  <si>
    <t>Doshisha University</t>
  </si>
  <si>
    <t>/world-university-rankings/doshisha-university</t>
  </si>
  <si>
    <t>General Engineering,Mechanical &amp; Aerospace Engineering,Mathematics &amp; Statistics,Accounting &amp; Finance,Communication &amp; Media Studies,Chemistry,Geology, Environmental, Earth &amp; Marine Sciences,Sociology,Art, Performing Arts &amp; Design,Computer Science,Politics &amp; International Studies (incl Development Studies),Economics &amp; Econometrics,Chemical Engineering,Law,Education,Psychology,Electrical &amp; Electronic Engineering,Archaeology,Sport Science,History, Philosophy &amp; Theology,Languages, Literature &amp; Linguistics,Biological Sciences,Business &amp; Management</t>
  </si>
  <si>
    <t>Escuela PolitÃ©cnica Nacional</t>
  </si>
  <si>
    <t>/world-university-rankings/escuela-politecnica-nacional</t>
  </si>
  <si>
    <t>Electrical &amp; Electronic Engineering,Geology, Environmental, Earth &amp; Marine Sciences,Mathematics &amp; Statistics,Civil Engineering,Business &amp; Management,General Engineering,Agriculture &amp; Forestry,Physics &amp; Astronomy,Computer Science,Economics &amp; Econometrics,Chemical Engineering</t>
  </si>
  <si>
    <t>Feng Chia University</t>
  </si>
  <si>
    <t>/world-university-rankings/feng-chia-university</t>
  </si>
  <si>
    <t>History, Philosophy &amp; Theology,Geology, Environmental, Earth &amp; Marine Sciences,Sociology,General Engineering,Law,Computer Science,Chemical Engineering,Civil Engineering,Geography,Physics &amp; Astronomy,Accounting &amp; Finance,Electrical &amp; Electronic Engineering,Politics &amp; International Studies (incl Development Studies),Chemistry,Languages, Literature &amp; Linguistics,Mechanical &amp; Aerospace Engineering,Business &amp; Management,Art, Performing Arts &amp; Design,Mathematics &amp; Statistics,Architecture,Communication &amp; Media Studies,Economics &amp; Econometrics</t>
  </si>
  <si>
    <t>Fu Jen Catholic University</t>
  </si>
  <si>
    <t>/world-university-rankings/fu-jen-catholic-university</t>
  </si>
  <si>
    <t>Chemical Engineering,Computer Science,Art, Performing Arts &amp; Design,Civil Engineering,Sociology,Economics &amp; Econometrics,History, Philosophy &amp; Theology,Physics &amp; Astronomy,Business &amp; Management,Geology, Environmental, Earth &amp; Marine Sciences,Mechanical &amp; Aerospace Engineering,Languages, Literature &amp; Linguistics,Communication &amp; Media Studies,Politics &amp; International Studies (incl Development Studies),Mathematics &amp; Statistics,Archaeology,Electrical &amp; Electronic Engineering,Psychology,Accounting &amp; Finance,Agriculture &amp; Forestry,Architecture,Chemistry,Law,Sport Science,Medicine &amp; Dentistry,General Engineering,Other Health,Education,Geography,Biological Sciences</t>
  </si>
  <si>
    <t>German University in Cairo</t>
  </si>
  <si>
    <t>/world-university-rankings/german-university-cairo</t>
  </si>
  <si>
    <t>Biological Sciences,Civil Engineering,Mechanical &amp; Aerospace Engineering,Business &amp; Management,Communication &amp; Media Studies,Computer Science,General Engineering,Architecture,Economics &amp; Econometrics,Electrical &amp; Electronic Engineering,Accounting &amp; Finance,Other Health,Art, Performing Arts &amp; Design,Law</t>
  </si>
  <si>
    <t>Harper Adams University</t>
  </si>
  <si>
    <t>/world-university-rankings/harper-adams-university</t>
  </si>
  <si>
    <t>Geology, Environmental, Earth &amp; Marine Sciences,Biological Sciences,Mechanical &amp; Aerospace Engineering,Agriculture &amp; Forestry,Business &amp; Management,Veterinary Science</t>
  </si>
  <si>
    <t>https://www.timeshighereducation.com/student/register-interest/siuk?utm_medium=thewebsite&amp;utm_campaign=cta-link&amp;utm_source=rankings&amp;iid=i-04112153</t>
  </si>
  <si>
    <t xml:space="preserve">Helwan University </t>
  </si>
  <si>
    <t>Helwan University</t>
  </si>
  <si>
    <t>/world-university-rankings/helwan-university</t>
  </si>
  <si>
    <t>Electrical &amp; Electronic Engineering,Accounting &amp; Finance,Law,Sport Science,Mechanical &amp; Aerospace Engineering,Mathematics &amp; Statistics,Biological Sciences,Sociology,Geology, Environmental, Earth &amp; Marine Sciences,Art, Performing Arts &amp; Design,Business &amp; Management,Chemistry,Agriculture &amp; Forestry,Economics &amp; Econometrics,Medicine &amp; Dentistry,Civil Engineering,Education,History, Philosophy &amp; Theology,Architecture,Other Health,Communication &amp; Media Studies,Psychology,Politics &amp; International Studies (incl Development Studies),Physics &amp; Astronomy,Archaeology,Geography,Languages, Literature &amp; Linguistics,Computer Science,General Engineering,Chemical Engineering</t>
  </si>
  <si>
    <t>Hue University</t>
  </si>
  <si>
    <t>/world-university-rankings/hue-university</t>
  </si>
  <si>
    <t>Chemical Engineering,Law,Economics &amp; Econometrics,Veterinary Science,Education,Medicine &amp; Dentistry</t>
  </si>
  <si>
    <t xml:space="preserve">Istanbul Aydin University  </t>
  </si>
  <si>
    <t>Istanbul AydÄ±n University</t>
  </si>
  <si>
    <t>/world-university-rankings/istanbul-aydin-university</t>
  </si>
  <si>
    <t>Education,Economics &amp; Econometrics,Electrical &amp; Electronic Engineering,Physics &amp; Astronomy,History, Philosophy &amp; Theology,Medicine &amp; Dentistry,Accounting &amp; Finance,Business &amp; Management,Languages, Literature &amp; Linguistics,Art, Performing Arts &amp; Design,Civil Engineering,Computer Science,Other Health,Sociology,Mathematics &amp; Statistics,Law,General Engineering,Communication &amp; Media Studies,Psychology,Architecture,Politics &amp; International Studies (incl Development Studies),Sport Science</t>
  </si>
  <si>
    <t>Ivan Franko National University of Lviv</t>
  </si>
  <si>
    <t>/world-university-rankings/ivan-franko-national-university-lviv</t>
  </si>
  <si>
    <t>Electrical &amp; Electronic Engineering,Politics &amp; International Studies (incl Development Studies),Art, Performing Arts &amp; Design,Chemistry,Business &amp; Management,Archaeology,Communication &amp; Media Studies,History, Philosophy &amp; Theology,Psychology,Languages, Literature &amp; Linguistics,Geology, Environmental, Earth &amp; Marine Sciences,Economics &amp; Econometrics,Biological Sciences,Law,Physics &amp; Astronomy,Sociology,Computer Science,Geography,Chemical Engineering,Education,Mathematics &amp; Statistics,Accounting &amp; Finance</t>
  </si>
  <si>
    <t>Jahangirnagar University</t>
  </si>
  <si>
    <t>/world-university-rankings/jahangirnagar-university</t>
  </si>
  <si>
    <t>Physics &amp; Astronomy,Politics &amp; International Studies (incl Development Studies),Law,Communication &amp; Media Studies,Languages, Literature &amp; Linguistics,Chemistry,Computer Science,Geography,Other Health,Economics &amp; Econometrics,Geology, Environmental, Earth &amp; Marine Sciences,Archaeology,History, Philosophy &amp; Theology,Business &amp; Management,Sociology,Biological Sciences,Mathematics &amp; Statistics,Art, Performing Arts &amp; Design,Accounting &amp; Finance</t>
  </si>
  <si>
    <t>Jamia Hamdard</t>
  </si>
  <si>
    <t>Jamia Hamdard University</t>
  </si>
  <si>
    <t>/world-university-rankings/jamia-hamdard-university</t>
  </si>
  <si>
    <t>Medicine &amp; Dentistry,Other Health,Business &amp; Management,Politics &amp; International Studies (incl Development Studies),Chemistry,Computer Science,Biological Sciences</t>
  </si>
  <si>
    <t xml:space="preserve">Jeju National University </t>
  </si>
  <si>
    <t>Jeju National University</t>
  </si>
  <si>
    <t>/world-university-rankings/jeju-national-university</t>
  </si>
  <si>
    <t>Jeju National University JNU Cheju Je ju NU</t>
  </si>
  <si>
    <t>Languages, Literature &amp; Linguistics,Mathematics &amp; Statistics,Accounting &amp; Finance,Computer Science,Communication &amp; Media Studies,Chemical Engineering,Chemistry,Business &amp; Management,Veterinary Science,History, Philosophy &amp; Theology,Physics &amp; Astronomy,Art, Performing Arts &amp; Design,Sport Science,Civil Engineering,Geology, Environmental, Earth &amp; Marine Sciences,Education,Mechanical &amp; Aerospace Engineering,Biological Sciences,Economics &amp; Econometrics,Architecture,Agriculture &amp; Forestry,Sociology,Other Health,Politics &amp; International Studies (incl Development Studies)</t>
  </si>
  <si>
    <t>Kazan National Research Technological University</t>
  </si>
  <si>
    <t>/world-university-rankings/kazan-national-research-technological-university</t>
  </si>
  <si>
    <t>General Engineering,Chemical Engineering,Business &amp; Management</t>
  </si>
  <si>
    <t xml:space="preserve">Kharkiv National University of Radio Electronics </t>
  </si>
  <si>
    <t>Kharkiv National University of Radio Electronics</t>
  </si>
  <si>
    <t>/world-university-rankings/kharkiv-national-university-radio-electronics</t>
  </si>
  <si>
    <t>Business &amp; Management,Art, Performing Arts &amp; Design,Mathematics &amp; Statistics,Computer Science,Electrical &amp; Electronic Engineering,Economics &amp; Econometrics,Mechanical &amp; Aerospace Engineering,Physics &amp; Astronomy</t>
  </si>
  <si>
    <t>Khulna University</t>
  </si>
  <si>
    <t>/world-university-rankings/khulna-university</t>
  </si>
  <si>
    <t>Architecture,Law,Agriculture &amp; Forestry,Art, Performing Arts &amp; Design,Sociology,Biological Sciences,Economics &amp; Econometrics,Electrical &amp; Electronic Engineering,Chemistry,Mathematics &amp; Statistics,Education,History, Philosophy &amp; Theology,Physics &amp; Astronomy,Business &amp; Management,Computer Science,Communication &amp; Media Studies,Politics &amp; International Studies (incl Development Studies),Languages, Literature &amp; Linguistics,Geology, Environmental, Earth &amp; Marine Sciences</t>
  </si>
  <si>
    <t>Khulna University of Engineering and Technology</t>
  </si>
  <si>
    <t>Khulna University of Engineering and Technology (KUET)</t>
  </si>
  <si>
    <t>/world-university-rankings/khulna-university-engineering-and-technology-kuet</t>
  </si>
  <si>
    <t>Mechanical &amp; Aerospace Engineering,Civil Engineering,Architecture,Chemical Engineering,Electrical &amp; Electronic Engineering</t>
  </si>
  <si>
    <t>King Mongkut\'s Institute of Technology Ladkrabang</t>
  </si>
  <si>
    <t>King Mongkutâ€™s Institute of Technology Ladkrabang</t>
  </si>
  <si>
    <t>/world-university-rankings/king-mongkuts-institute-technology-ladkrabang</t>
  </si>
  <si>
    <t>Chemistry,Medicine &amp; Dentistry,Computer Science,Biological Sciences,Architecture,Civil Engineering,Languages, Literature &amp; Linguistics,Business &amp; Management,Electrical &amp; Electronic Engineering,Agriculture &amp; Forestry,General Engineering,Economics &amp; Econometrics,Education,Physics &amp; Astronomy,Mechanical &amp; Aerospace Engineering,Mathematics &amp; Statistics,Chemical Engineering,Art, Performing Arts &amp; Design</t>
  </si>
  <si>
    <t>King Mongkut's University of Technology North Bangkok</t>
  </si>
  <si>
    <t>/world-university-rankings/king-mongkuts-university-technology-north-bangkok</t>
  </si>
  <si>
    <t>Business &amp; Management,Chemical Engineering,Art, Performing Arts &amp; Design,Civil Engineering,Communication &amp; Media Studies,Geology, Environmental, Earth &amp; Marine Sciences,Education,General Engineering,Economics &amp; Econometrics,Politics &amp; International Studies (incl Development Studies),Physics &amp; Astronomy,Mathematics &amp; Statistics,Sociology,Electrical &amp; Electronic Engineering,Accounting &amp; Finance,Architecture,Chemistry,Mechanical &amp; Aerospace Engineering,Languages, Literature &amp; Linguistics</t>
  </si>
  <si>
    <t xml:space="preserve">Kookmin University </t>
  </si>
  <si>
    <t>Kookmin University</t>
  </si>
  <si>
    <t>/world-university-rankings/kookmin-university</t>
  </si>
  <si>
    <t>History, Philosophy &amp; Theology,Physics &amp; Astronomy,Biological Sciences,Mathematics &amp; Statistics,Languages, Literature &amp; Linguistics,Accounting &amp; Finance,Architecture,Agriculture &amp; Forestry,Computer Science,Electrical &amp; Electronic Engineering,Chemical Engineering,Economics &amp; Econometrics,Chemistry,Communication &amp; Media Studies,Mechanical &amp; Aerospace Engineering,Business &amp; Management,Psychology,Education,Art, Performing Arts &amp; Design,Law,General Engineering,Civil Engineering,Politics &amp; International Studies (incl Development Studies),Sport Science,Sociology,Archaeology</t>
  </si>
  <si>
    <t>Kwame Nkrumah University of Science and Technology</t>
  </si>
  <si>
    <t>/world-university-rankings/kwame-nkrumah-university-science-and-technology</t>
  </si>
  <si>
    <t>History, Philosophy &amp; Theology,Electrical &amp; Electronic Engineering,Veterinary Science,Art, Performing Arts &amp; Design,Sociology,Architecture,Mechanical &amp; Aerospace Engineering,Sport Science,Computer Science,Business &amp; Management,Mathematics &amp; Statistics,Accounting &amp; Finance,Chemistry,Medicine &amp; Dentistry,Agriculture &amp; Forestry,Physics &amp; Astronomy,Civil Engineering,Geography,General Engineering,Politics &amp; International Studies (incl Development Studies),Languages, Literature &amp; Linguistics,Geology, Environmental, Earth &amp; Marine Sciences,Economics &amp; Econometrics,Communication &amp; Media Studies,Other Health,Biological Sciences,Law,Chemical Engineering,Education</t>
  </si>
  <si>
    <t>Kyoto Institute of Technology</t>
  </si>
  <si>
    <t>/world-university-rankings/kyoto-institute-technology</t>
  </si>
  <si>
    <t>Art, Performing Arts &amp; Design,Architecture,Mechanical &amp; Aerospace Engineering,Biological Sciences,Electrical &amp; Electronic Engineering,Computer Science,Chemistry,Chemical Engineering,General Engineering</t>
  </si>
  <si>
    <t>Marquette University</t>
  </si>
  <si>
    <t>/world-university-rankings/marquette-university</t>
  </si>
  <si>
    <t>Art, Performing Arts &amp; Design,Mathematics &amp; Statistics,Geology, Environmental, Earth &amp; Marine Sciences,Politics &amp; International Studies (incl Development Studies),Sociology,Electrical &amp; Electronic Engineering,Chemistry,Business &amp; Management,Mechanical &amp; Aerospace Engineering,Psychology,Physics &amp; Astronomy,Sport Science,Economics &amp; Econometrics,Law,Biological Sciences,Civil Engineering,Chemical Engineering,Computer Science,Other Health,Communication &amp; Media Studies,Medicine &amp; Dentistry,Education,General Engineering,Accounting &amp; Finance,History, Philosophy &amp; Theology,Languages, Literature &amp; Linguistics</t>
  </si>
  <si>
    <t>https://www.timeshighereducation.com/student/register-interest/shorelight?utm_medium=thewebsite&amp;utm_campaign=cta-link&amp;utm_source=rankings&amp;iid=i-90993311</t>
  </si>
  <si>
    <t>Meiji University</t>
  </si>
  <si>
    <t>/world-university-rankings/meiji-university</t>
  </si>
  <si>
    <t>Architecture,Languages, Literature &amp; Linguistics,Chemical Engineering,Sociology,Mathematics &amp; Statistics,General Engineering,Economics &amp; Econometrics,Psychology,History, Philosophy &amp; Theology,Accounting &amp; Finance,Chemistry,Archaeology,Civil Engineering,Agriculture &amp; Forestry,Mechanical &amp; Aerospace Engineering,Business &amp; Management,Law,Physics &amp; Astronomy,Electrical &amp; Electronic Engineering,Communication &amp; Media Studies,Computer Science,Politics &amp; International Studies (incl Development Studies),Art, Performing Arts &amp; Design,Biological Sciences,Geography</t>
  </si>
  <si>
    <t>Mendeleev University of Chemical Technology</t>
  </si>
  <si>
    <t>/world-university-rankings/mendeleev-university-chemical-technology</t>
  </si>
  <si>
    <t>Chemical Engineering,Agriculture &amp; Forestry,Chemistry</t>
  </si>
  <si>
    <t>Miami University</t>
  </si>
  <si>
    <t>Nagoya Institute of Technology (NIT)</t>
  </si>
  <si>
    <t>Nagoya Institute of Technology</t>
  </si>
  <si>
    <t>/world-university-rankings/nagoya-institute-technology</t>
  </si>
  <si>
    <t>General Engineering,Communication &amp; Media Studies,Chemistry,Computer Science,Civil Engineering,Geology, Environmental, Earth &amp; Marine Sciences,Mechanical &amp; Aerospace Engineering,Biological Sciences,Business &amp; Management,Architecture,Physics &amp; Astronomy,Sport Science,Chemical Engineering,Electrical &amp; Electronic Engineering,Mathematics &amp; Statistics</t>
  </si>
  <si>
    <t>National Dong Hwa University</t>
  </si>
  <si>
    <t>/world-university-rankings/national-dong-hwa-university</t>
  </si>
  <si>
    <t>National Dong Hwa University NDHU</t>
  </si>
  <si>
    <t>Mathematics &amp; Statistics,Business &amp; Management,Physics &amp; Astronomy,Chemistry,Geography,Art, Performing Arts &amp; Design,Languages, Literature &amp; Linguistics,Geology, Environmental, Earth &amp; Marine Sciences,Computer Science,Law,Psychology,Economics &amp; Econometrics,General Engineering,Communication &amp; Media Studies,Politics &amp; International Studies (incl Development Studies),Accounting &amp; Finance,Education,Sociology,Biological Sciences,Sport Science,Agriculture &amp; Forestry,Electrical &amp; Electronic Engineering,History, Philosophy &amp; Theology</t>
  </si>
  <si>
    <t>National Taipei University</t>
  </si>
  <si>
    <t>/world-university-rankings/national-taipei-university</t>
  </si>
  <si>
    <t>Mathematics &amp; Statistics,Business &amp; Management,Law,Languages, Literature &amp; Linguistics,Accounting &amp; Finance,Economics &amp; Econometrics,History, Philosophy &amp; Theology,Communication &amp; Media Studies,Archaeology,Geography,Sociology,Politics &amp; International Studies (incl Development Studies),Computer Science,Architecture,Art, Performing Arts &amp; Design</t>
  </si>
  <si>
    <t>National Taiwan Ocean University</t>
  </si>
  <si>
    <t>/world-university-rankings/national-taiwan-ocean-university</t>
  </si>
  <si>
    <t>Civil Engineering,Communication &amp; Media Studies,Sociology,Chemistry,Biological Sciences,Veterinary Science,Electrical &amp; Electronic Engineering,Law,Medicine &amp; Dentistry,Sport Science,Computer Science,Other Health,Architecture,Mechanical &amp; Aerospace Engineering,Economics &amp; Econometrics,Psychology,Politics &amp; International Studies (incl Development Studies),Mathematics &amp; Statistics,Languages, Literature &amp; Linguistics,Physics &amp; Astronomy,General Engineering,Archaeology,Education,Geography,Agriculture &amp; Forestry,Business &amp; Management,Geology, Environmental, Earth &amp; Marine Sciences,Chemical Engineering,Art, Performing Arts &amp; Design,History, Philosophy &amp; Theology,Accounting &amp; Finance</t>
  </si>
  <si>
    <t>Novosibirsk State Technical University</t>
  </si>
  <si>
    <t>/world-university-rankings/novosibirsk-state-technical-university</t>
  </si>
  <si>
    <t>Mechanical &amp; Aerospace Engineering,Chemical Engineering,Languages, Literature &amp; Linguistics,General Engineering,Physics &amp; Astronomy,Electrical &amp; Electronic Engineering,Politics &amp; International Studies (incl Development Studies),Accounting &amp; Finance,Communication &amp; Media Studies,Sociology,Psychology,Mathematics &amp; Statistics,Computer Science,Business &amp; Management,Economics &amp; Econometrics,Chemistry</t>
  </si>
  <si>
    <t>Ã“buda University</t>
  </si>
  <si>
    <t>/world-university-rankings/obuda-university</t>
  </si>
  <si>
    <t>Mechanical &amp; Aerospace Engineering,Geology, Environmental, Earth &amp; Marine Sciences,Education,Civil Engineering,Computer Science,Architecture,Business &amp; Management,Electrical &amp; Electronic Engineering,Mathematics &amp; Statistics</t>
  </si>
  <si>
    <t>Odessa I.I. Mechnikov National University</t>
  </si>
  <si>
    <t>Odesa I.I. Mechnikov National University</t>
  </si>
  <si>
    <t>/world-university-rankings/odessa-iimechnikov-national-university-0</t>
  </si>
  <si>
    <t>Biological Sciences,Education,Computer Science,Psychology,Mathematics &amp; Statistics,Law,History, Philosophy &amp; Theology,Politics &amp; International Studies (incl Development Studies),Archaeology,Sociology,Chemistry,Accounting &amp; Finance,Communication &amp; Media Studies,Physics &amp; Astronomy,Business &amp; Management,Languages, Literature &amp; Linguistics,Geography,Geology, Environmental, Earth &amp; Marine Sciences,Economics &amp; Econometrics</t>
  </si>
  <si>
    <t>OSMANIA UNIVERSITY</t>
  </si>
  <si>
    <t>Osmania University</t>
  </si>
  <si>
    <t>/world-university-rankings/osmania-university</t>
  </si>
  <si>
    <t>Geography,Politics &amp; International Studies (incl Development Studies),Chemistry,General Engineering,Chemical Engineering,History, Philosophy &amp; Theology,Law,Biological Sciences,Sport Science,Languages, Literature &amp; Linguistics,Business &amp; Management,Education,Civil Engineering,Geology, Environmental, Earth &amp; Marine Sciences,Communication &amp; Media Studies,Accounting &amp; Finance,Computer Science,Economics &amp; Econometrics,Mechanical &amp; Aerospace Engineering,Sociology,Electrical &amp; Electronic Engineering,Mathematics &amp; Statistics,Psychology,Physics &amp; Astronomy</t>
  </si>
  <si>
    <t>Pondicherry University</t>
  </si>
  <si>
    <t>/world-university-rankings/pondicherry-university</t>
  </si>
  <si>
    <t>Geology, Environmental, Earth &amp; Marine Sciences,Sport Science,Communication &amp; Media Studies,Business &amp; Management,Agriculture &amp; Forestry,Archaeology,Economics &amp; Econometrics,Biological Sciences,Chemistry,Geography,Electrical &amp; Electronic Engineering,Sociology,General Engineering,Art, Performing Arts &amp; Design,Computer Science,Veterinary Science,Psychology,History, Philosophy &amp; Theology,Law,Education,Civil Engineering,Physics &amp; Astronomy,Languages, Literature &amp; Linguistics,Politics &amp; International Studies (incl Development Studies),Architecture,Accounting &amp; Finance,Mathematics &amp; Statistics</t>
  </si>
  <si>
    <t>Portland State University</t>
  </si>
  <si>
    <t>/world-university-rankings/portland-state-university</t>
  </si>
  <si>
    <t>Other Health,Computer Science,Chemistry,Psychology,Archaeology,Sport Science,Education,Art, Performing Arts &amp; Design,Mechanical &amp; Aerospace Engineering,Communication &amp; Media Studies,General Engineering,Physics &amp; Astronomy,Accounting &amp; Finance,Languages, Literature &amp; Linguistics,Chemical Engineering,Sociology,History, Philosophy &amp; Theology,Agriculture &amp; Forestry,Politics &amp; International Studies (incl Development Studies),Medicine &amp; Dentistry,Biological Sciences,Business &amp; Management,Architecture,Electrical &amp; Electronic Engineering,Mathematics &amp; Statistics,Civil Engineering,Geography,Economics &amp; Econometrics,Geology, Environmental, Earth &amp; Marine Sciences</t>
  </si>
  <si>
    <t>https://www.timeshighereducation.com/student/register-interest/shorelight?utm_medium=thewebsite&amp;utm_campaign=cta-link&amp;utm_source=rankings&amp;iid=i-38682556</t>
  </si>
  <si>
    <t xml:space="preserve">Pukyong National University </t>
  </si>
  <si>
    <t>Pukyong National University</t>
  </si>
  <si>
    <t>/world-university-rankings/pukyong-national-university</t>
  </si>
  <si>
    <t>Computer Science,Mathematics &amp; Statistics,Accounting &amp; Finance,Other Health,Geology, Environmental, Earth &amp; Marine Sciences,Education,Civil Engineering,Sociology,History, Philosophy &amp; Theology,Agriculture &amp; Forestry,Business &amp; Management,Electrical &amp; Electronic Engineering,Communication &amp; Media Studies,Architecture,Chemistry,Languages, Literature &amp; Linguistics,Biological Sciences,Economics &amp; Econometrics,Art, Performing Arts &amp; Design,Chemical Engineering,Law,Mechanical &amp; Aerospace Engineering,Politics &amp; International Studies (incl Development Studies),General Engineering,Physics &amp; Astronomy,Psychology</t>
  </si>
  <si>
    <t>Rajshahi University</t>
  </si>
  <si>
    <t>University of Rajshahi</t>
  </si>
  <si>
    <t>/world-university-rankings/university-rajshahi</t>
  </si>
  <si>
    <t>History, Philosophy &amp; Theology,Art, Performing Arts &amp; Design,Electrical &amp; Electronic Engineering,Geography,Geology, Environmental, Earth &amp; Marine Sciences,Chemistry,Chemical Engineering,Psychology,Sociology,Economics &amp; Econometrics,Agriculture &amp; Forestry,Law,Computer Science,Physics &amp; Astronomy,Mathematics &amp; Statistics,Sport Science,Business &amp; Management,Education,Veterinary Science,Politics &amp; International Studies (incl Development Studies),Languages, Literature &amp; Linguistics,Communication &amp; Media Studies,General Engineering,Accounting &amp; Finance,Biological Sciences</t>
  </si>
  <si>
    <t>Rikkyo University</t>
  </si>
  <si>
    <t>/world-university-rankings/rikkyo-university</t>
  </si>
  <si>
    <t>Chemistry,Accounting &amp; Finance,Computer Science,Law,Archaeology,Economics &amp; Econometrics,Mathematics &amp; Statistics,Education,Physics &amp; Astronomy,Business &amp; Management,History, Philosophy &amp; Theology,Geography,Art, Performing Arts &amp; Design,Communication &amp; Media Studies,Other Health,Biological Sciences,Sociology,Languages, Literature &amp; Linguistics,Politics &amp; International Studies (incl Development Studies),Sport Science,Psychology</t>
  </si>
  <si>
    <t>Saitama University</t>
  </si>
  <si>
    <t>/world-university-rankings/saitama-university</t>
  </si>
  <si>
    <t>Electrical &amp; Electronic Engineering,Computer Science,Psychology,General Engineering,Mathematics &amp; Statistics,Sociology,Accounting &amp; Finance,Physics &amp; Astronomy,Chemical Engineering,Education,Archaeology,Art, Performing Arts &amp; Design,Biological Sciences,Law,Geography,Business &amp; Management,Economics &amp; Econometrics,Civil Engineering,Politics &amp; International Studies (incl Development Studies),History, Philosophy &amp; Theology,Languages, Literature &amp; Linguistics,Geology, Environmental, Earth &amp; Marine Sciences,Mechanical &amp; Aerospace Engineering,Communication &amp; Media Studies,Chemistry</t>
  </si>
  <si>
    <t>Seoul National University of Science and Technology</t>
  </si>
  <si>
    <t>National University of Sciences and Technology</t>
  </si>
  <si>
    <t>/world-university-rankings/national-university-sciences-and-technology</t>
  </si>
  <si>
    <t>Mechanical &amp; Aerospace Engineering,Sociology,Civil Engineering,Accounting &amp; Finance,Psychology,Other Health,Architecture,Chemistry,Physics &amp; Astronomy,Computer Science,Law,Politics &amp; International Studies (incl Development Studies),Mathematics &amp; Statistics,Business &amp; Management,Electrical &amp; Electronic Engineering,Communication &amp; Media Studies,Art, Performing Arts &amp; Design,Agriculture &amp; Forestry,Economics &amp; Econometrics,Geography,Chemical Engineering,Biological Sciences,Geology, Environmental, Earth &amp; Marine Sciences,General Engineering,Sport Science,Education</t>
  </si>
  <si>
    <t>Shahjalal University of Science and Technology</t>
  </si>
  <si>
    <t>/world-university-rankings/shahjalal-university-science-and-technology</t>
  </si>
  <si>
    <t>Chemical Engineering,Sociology,History, Philosophy &amp; Theology,Biological Sciences,Architecture,Geology, Environmental, Earth &amp; Marine Sciences,Computer Science,Geography,Civil Engineering,Economics &amp; Econometrics,Languages, Literature &amp; Linguistics,Mathematics &amp; Statistics,Electrical &amp; Electronic Engineering,Politics &amp; International Studies (incl Development Studies),Agriculture &amp; Forestry,Physics &amp; Astronomy,General Engineering,Chemistry,Mechanical &amp; Aerospace Engineering,Business &amp; Management</t>
  </si>
  <si>
    <t>Suez Canal University</t>
  </si>
  <si>
    <t>/world-university-rankings/suez-canal-university</t>
  </si>
  <si>
    <t>Electrical &amp; Electronic Engineering,Communication &amp; Media Studies,Medicine &amp; Dentistry,Sport Science,Education,Art, Performing Arts &amp; Design,Civil Engineering,Agriculture &amp; Forestry,Sociology,Architecture,Physics &amp; Astronomy,Archaeology,Biological Sciences,Psychology,Mechanical &amp; Aerospace Engineering,Politics &amp; International Studies (incl Development Studies),General Engineering,Mathematics &amp; Statistics,Business &amp; Management,History, Philosophy &amp; Theology,Chemical Engineering,Chemistry,Geography,Languages, Literature &amp; Linguistics,Computer Science,Geology, Environmental, Earth &amp; Marine Sciences,Accounting &amp; Finance,Other Health,Veterinary Science,Economics &amp; Econometrics</t>
  </si>
  <si>
    <t>Suleyman Demirel University</t>
  </si>
  <si>
    <t>/world-university-rankings/suleyman-demirel-university-0</t>
  </si>
  <si>
    <t>Computer Science,Economics &amp; Econometrics,Languages, Literature &amp; Linguistics,Politics &amp; International Studies (incl Development Studies),Business &amp; Management,Mathematics &amp; Statistics,Education,Law,History, Philosophy &amp; Theology,Communication &amp; Media Studies,Accounting &amp; Finance</t>
  </si>
  <si>
    <t xml:space="preserve">Suranaree University of Technology </t>
  </si>
  <si>
    <t>Suranaree University of Technology</t>
  </si>
  <si>
    <t>/world-university-rankings/suranaree-university-technology</t>
  </si>
  <si>
    <t>Suranaree University of Technology Suranaree University of Technology Thiland SUT</t>
  </si>
  <si>
    <t>Chemistry,Other Health,Sport Science,Mechanical &amp; Aerospace Engineering,Business &amp; Management,Languages, Literature &amp; Linguistics,Agriculture &amp; Forestry,Mathematics &amp; Statistics,General Engineering,Biological Sciences,Physics &amp; Astronomy,Electrical &amp; Electronic Engineering,Geology, Environmental, Earth &amp; Marine Sciences,Medicine &amp; Dentistry,Chemical Engineering,Civil Engineering,Communication &amp; Media Studies</t>
  </si>
  <si>
    <t>Tamkang University</t>
  </si>
  <si>
    <t>/world-university-rankings/tamkang-university</t>
  </si>
  <si>
    <t>Mathematics &amp; Statistics,Languages, Literature &amp; Linguistics,Economics &amp; Econometrics,Politics &amp; International Studies (incl Development Studies),Other Health,History, Philosophy &amp; Theology,Communication &amp; Media Studies,Geology, Environmental, Earth &amp; Marine Sciences,Physics &amp; Astronomy,Architecture,Chemical Engineering,General Engineering,Education,Mechanical &amp; Aerospace Engineering,Business &amp; Management,Sociology,Psychology,Civil Engineering,Computer Science,Electrical &amp; Electronic Engineering,Accounting &amp; Finance,Chemistry</t>
  </si>
  <si>
    <t xml:space="preserve">Tanta University </t>
  </si>
  <si>
    <t>Tanta University</t>
  </si>
  <si>
    <t>/world-university-rankings/tanta-university</t>
  </si>
  <si>
    <t>Agriculture &amp; Forestry,Politics &amp; International Studies (incl Development Studies),Art, Performing Arts &amp; Design,General Engineering,Physics &amp; Astronomy,Business &amp; Management,Other Health,Sport Science,Education,History, Philosophy &amp; Theology,Mechanical &amp; Aerospace Engineering,Geology, Environmental, Earth &amp; Marine Sciences,Accounting &amp; Finance,Civil Engineering,Communication &amp; Media Studies,Medicine &amp; Dentistry,Veterinary Science,Law,Architecture,Chemical Engineering,Sociology,Computer Science,Mathematics &amp; Statistics,Psychology,Archaeology,Biological Sciences,Geography,Languages, Literature &amp; Linguistics,Electrical &amp; Electronic Engineering,Chemistry,Economics &amp; Econometrics</t>
  </si>
  <si>
    <t>Technical University of Cluj-Napoca</t>
  </si>
  <si>
    <t>/world-university-rankings/technical-university-cluj-napoca</t>
  </si>
  <si>
    <t>Chemistry,Architecture,Civil Engineering,Languages, Literature &amp; Linguistics,Computer Science,Mechanical &amp; Aerospace Engineering,Geology, Environmental, Earth &amp; Marine Sciences,Communication &amp; Media Studies,Education,General Engineering,Mathematics &amp; Statistics,Business &amp; Management,Biological Sciences,Electrical &amp; Electronic Engineering,History, Philosophy &amp; Theology,Economics &amp; Econometrics,Physics &amp; Astronomy</t>
  </si>
  <si>
    <t>Technical University of Liberec</t>
  </si>
  <si>
    <t>/world-university-rankings/technical-university-liberec</t>
  </si>
  <si>
    <t>Art, Performing Arts &amp; Design,Civil Engineering,Mathematics &amp; Statistics,Electrical &amp; Electronic Engineering,Languages, Literature &amp; Linguistics,Mechanical &amp; Aerospace Engineering,General Engineering,Education,History, Philosophy &amp; Theology,Economics &amp; Econometrics,Computer Science,Chemistry,Other Health,Business &amp; Management,Chemical Engineering,Architecture,Physics &amp; Astronomy</t>
  </si>
  <si>
    <t>The "Gheorghe Asachi" Technical University of Iasi</t>
  </si>
  <si>
    <t>Gheorghe Asachi Technical University of IaÅŸi</t>
  </si>
  <si>
    <t>/world-university-rankings/gheorghe-asachi-technical-university-iasi-0</t>
  </si>
  <si>
    <t>Mechanical &amp; Aerospace Engineering,Chemical Engineering,Civil Engineering,Electrical &amp; Electronic Engineering,Architecture,General Engineering</t>
  </si>
  <si>
    <t>The Herzen State Pedagogical University of Russia</t>
  </si>
  <si>
    <t>Herzen State Pedagogical University of Russia</t>
  </si>
  <si>
    <t>/world-university-rankings/herzen-state-pedagogical-university-russia</t>
  </si>
  <si>
    <t>Languages, Literature &amp; Linguistics,Geology, Environmental, Earth &amp; Marine Sciences,Education,Geography,Politics &amp; International Studies (incl Development Studies),Communication &amp; Media Studies,Economics &amp; Econometrics,Art, Performing Arts &amp; Design,Physics &amp; Astronomy,Psychology,Business &amp; Management,History, Philosophy &amp; Theology,Law,Computer Science,Biological Sciences,Sociology,Chemistry,Other Health,Mathematics &amp; Statistics</t>
  </si>
  <si>
    <t>Tokai University</t>
  </si>
  <si>
    <t>/world-university-rankings/tokai-university</t>
  </si>
  <si>
    <t>Chemical Engineering,Architecture,Biological Sciences,Law,Art, Performing Arts &amp; Design,Politics &amp; International Studies (incl Development Studies),Other Health,Sport Science,Economics &amp; Econometrics,Electrical &amp; Electronic Engineering,Communication &amp; Media Studies,Psychology,History, Philosophy &amp; Theology,Medicine &amp; Dentistry,Physics &amp; Astronomy,Accounting &amp; Finance,Languages, Literature &amp; Linguistics,Mechanical &amp; Aerospace Engineering,Chemistry,Business &amp; Management,Archaeology,Agriculture &amp; Forestry,Geography,Computer Science,Mathematics &amp; Statistics,Civil Engineering,Veterinary Science,Sociology,General Engineering,Geology, Environmental, Earth &amp; Marine Sciences,Education</t>
  </si>
  <si>
    <t>Tomas Bata University in Zlin</t>
  </si>
  <si>
    <t>Tomas Bata University in ZlÃ­n</t>
  </si>
  <si>
    <t>/world-university-rankings/tomas-bata-university-zlin</t>
  </si>
  <si>
    <t>Computer Science,Communication &amp; Media Studies,Economics &amp; Econometrics,Mechanical &amp; Aerospace Engineering,Education,Agriculture &amp; Forestry,Other Health,Geology, Environmental, Earth &amp; Marine Sciences,Accounting &amp; Finance,Chemistry,General Engineering,Business &amp; Management,Electrical &amp; Electronic Engineering,Languages, Literature &amp; Linguistics,Chemical Engineering,Art, Performing Arts &amp; Design</t>
  </si>
  <si>
    <t>Toraighyrov University</t>
  </si>
  <si>
    <t>/world-university-rankings/toraighyrov-university</t>
  </si>
  <si>
    <t>Art, Performing Arts &amp; Design,Chemical Engineering,Politics &amp; International Studies (incl Development Studies),Economics &amp; Econometrics,Architecture,Mathematics &amp; Statistics,Accounting &amp; Finance,General Engineering,Law,Electrical &amp; Electronic Engineering,Chemistry,Mechanical &amp; Aerospace Engineering,Computer Science,Sociology,Psychology,Biological Sciences,Physics &amp; Astronomy,Business &amp; Management,Languages, Literature &amp; Linguistics,Agriculture &amp; Forestry,Education,Civil Engineering,Geography,Archaeology,Geology, Environmental, Earth &amp; Marine Sciences,History, Philosophy &amp; Theology,Veterinary Science,Communication &amp; Media Studies</t>
  </si>
  <si>
    <t>Transilvania University of Brasov</t>
  </si>
  <si>
    <t>Transilvania University of BraÈ™ov</t>
  </si>
  <si>
    <t>/world-university-rankings/transilvania-university-brasov</t>
  </si>
  <si>
    <t>Computer Science,Mathematics &amp; Statistics,Art, Performing Arts &amp; Design,Communication &amp; Media Studies,Electrical &amp; Electronic Engineering,Accounting &amp; Finance,General Engineering,Languages, Literature &amp; Linguistics,Law,Sociology,Medicine &amp; Dentistry,Sport Science,Mechanical &amp; Aerospace Engineering,Agriculture &amp; Forestry,Business &amp; Management,Civil Engineering,Education,Psychology</t>
  </si>
  <si>
    <t>Tunghai University</t>
  </si>
  <si>
    <t>/world-university-rankings/tunghai-university</t>
  </si>
  <si>
    <t>Law,Art, Performing Arts &amp; Design,Architecture,Computer Science,Chemistry,Mechanical &amp; Aerospace Engineering,Geology, Environmental, Earth &amp; Marine Sciences,Chemical Engineering,Politics &amp; International Studies (incl Development Studies),History, Philosophy &amp; Theology,Biological Sciences,Languages, Literature &amp; Linguistics,Mathematics &amp; Statistics,Sociology,Electrical &amp; Electronic Engineering,Accounting &amp; Finance,Business &amp; Management,Education,Physics &amp; Astronomy,Sport Science,Economics &amp; Econometrics</t>
  </si>
  <si>
    <t>Universidad AutÃ³noma del Estado de Hidalgo (UAEH)</t>
  </si>
  <si>
    <t>Universidad AutÃ³noma del Estado de Hidalgo</t>
  </si>
  <si>
    <t>/world-university-rankings/universidad-autonoma-del-estado-de-hidalgo</t>
  </si>
  <si>
    <t>Other Health,Chemistry,Medicine &amp; Dentistry,Veterinary Science,Psychology,Computer Science,Mathematics &amp; Statistics,Accounting &amp; Finance,Languages, Literature &amp; Linguistics,Biological Sciences,Business &amp; Management,Mechanical &amp; Aerospace Engineering,Physics &amp; Astronomy,Education,History, Philosophy &amp; Theology,Chemical Engineering,Sociology,Architecture,Civil Engineering,Law,General Engineering,Communication &amp; Media Studies,Art, Performing Arts &amp; Design,Agriculture &amp; Forestry,Politics &amp; International Studies (incl Development Studies),Economics &amp; Econometrics,Electrical &amp; Electronic Engineering,Geology, Environmental, Earth &amp; Marine Sciences</t>
  </si>
  <si>
    <t>Universidad Industrial de Santander - UIS</t>
  </si>
  <si>
    <t>Universidad Industrial de Santander (UIS)</t>
  </si>
  <si>
    <t>/world-university-rankings/universidad-industrial-de-santander-uis</t>
  </si>
  <si>
    <t>Medicine &amp; Dentistry,Veterinary Science,Chemical Engineering,Economics &amp; Econometrics,Art, Performing Arts &amp; Design,Civil Engineering,Law,Languages, Literature &amp; Linguistics,Biological Sciences,Education,Mechanical &amp; Aerospace Engineering,Sociology,History, Philosophy &amp; Theology,Mathematics &amp; Statistics,Other Health,Chemistry,General Engineering,Physics &amp; Astronomy,Agriculture &amp; Forestry,Electrical &amp; Electronic Engineering,Geology, Environmental, Earth &amp; Marine Sciences</t>
  </si>
  <si>
    <t>Universidad Nacional del Litoral</t>
  </si>
  <si>
    <t>AR</t>
  </si>
  <si>
    <t>Argentina</t>
  </si>
  <si>
    <t>/world-university-rankings/universidad-nacional-del-litoral</t>
  </si>
  <si>
    <t>History, Philosophy &amp; Theology,Geography,Architecture,Geology, Environmental, Earth &amp; Marine Sciences,Accounting &amp; Finance,Economics &amp; Econometrics,Communication &amp; Media Studies,Agriculture &amp; Forestry,Physics &amp; Astronomy,Medicine &amp; Dentistry,Politics &amp; International Studies (incl Development Studies),Business &amp; Management,General Engineering,Mathematics &amp; Statistics,Biological Sciences,Art, Performing Arts &amp; Design,Other Health,Chemical Engineering,Sociology,Computer Science,Law,Veterinary Science,Education,Chemistry,Sport Science,Languages, Literature &amp; Linguistics</t>
  </si>
  <si>
    <t>Universidad Peruana de Ciencias Aplicadas</t>
  </si>
  <si>
    <t>Universidad Peruana de Ciencias Aplicadas (UPC)</t>
  </si>
  <si>
    <t>/world-university-rankings/universidad-peruana-de-ciencias-aplicadas-upc</t>
  </si>
  <si>
    <t>Medicine &amp; Dentistry,Law,Computer Science,Education,Civil Engineering,Electrical &amp; Electronic Engineering,Other Health,Politics &amp; International Studies (incl Development Studies),Biological Sciences,Business &amp; Management,Architecture,Veterinary Science,Art, Performing Arts &amp; Design,Communication &amp; Media Studies,Accounting &amp; Finance,General Engineering,Psychology,Sport Science,Economics &amp; Econometrics</t>
  </si>
  <si>
    <t>Universidade do Estado do Rio de Janeiro (UERJ)</t>
  </si>
  <si>
    <t>/world-university-rankings/universidade-do-estado-do-rio-de-janeiro-uerj</t>
  </si>
  <si>
    <t>Languages, Literature &amp; Linguistics,Chemical Engineering,Geography,History, Philosophy &amp; Theology,Biological Sciences,Law,Art, Performing Arts &amp; Design,Civil Engineering,Sociology,Other Health,Mathematics &amp; Statistics,General Engineering,Communication &amp; Media Studies,Accounting &amp; Finance,Computer Science,Chemistry,Business &amp; Management,Archaeology,Sport Science,Education,Electrical &amp; Electronic Engineering,Mechanical &amp; Aerospace Engineering,Politics &amp; International Studies (incl Development Studies),Architecture,Physics &amp; Astronomy,Psychology,Medicine &amp; Dentistry,Geology, Environmental, Earth &amp; Marine Sciences,Economics &amp; Econometrics</t>
  </si>
  <si>
    <t>Universidade Federal da Bahia</t>
  </si>
  <si>
    <t>/world-university-rankings/universidade-federal-da-bahia</t>
  </si>
  <si>
    <t>Physics &amp; Astronomy,History, Philosophy &amp; Theology,Other Health,Sociology,Mathematics &amp; Statistics,Archaeology,Computer Science,Mechanical &amp; Aerospace Engineering,General Engineering,Sport Science,Electrical &amp; Electronic Engineering,Economics &amp; Econometrics,Communication &amp; Media Studies,Art, Performing Arts &amp; Design,Education,Veterinary Science,Medicine &amp; Dentistry,Politics &amp; International Studies (incl Development Studies),Geology, Environmental, Earth &amp; Marine Sciences,Chemical Engineering,Psychology,Geography,Languages, Literature &amp; Linguistics,Chemistry,Law,Accounting &amp; Finance,Biological Sciences,Civil Engineering,Business &amp; Management,Architecture</t>
  </si>
  <si>
    <t>Universidade Federal de Juiz de Fora- (UFJF)</t>
  </si>
  <si>
    <t>Universidade Federal de Juiz de Fora</t>
  </si>
  <si>
    <t>/world-university-rankings/universidade-federal-de-juiz-de-fora</t>
  </si>
  <si>
    <t>Chemistry,General Engineering,Psychology,Accounting &amp; Finance,Sociology,Medicine &amp; Dentistry,Veterinary Science,Law,Languages, Literature &amp; Linguistics,Mechanical &amp; Aerospace Engineering,Mathematics &amp; Statistics,Electrical &amp; Electronic Engineering,Business &amp; Management,History, Philosophy &amp; Theology,Physics &amp; Astronomy,Communication &amp; Media Studies,Biological Sciences,Education,Sport Science,Other Health,Civil Engineering,Geography,Art, Performing Arts &amp; Design,Computer Science,Architecture,Economics &amp; Econometrics</t>
  </si>
  <si>
    <t>Universidade Federal de Santa Maria</t>
  </si>
  <si>
    <t>Universidade Federal do CearÃ¡ (UFC)</t>
  </si>
  <si>
    <t>/world-university-rankings/universidade-federal-do-ceara-ufc</t>
  </si>
  <si>
    <t>Civil Engineering,Politics &amp; International Studies (incl Development Studies),Mechanical &amp; Aerospace Engineering,Communication &amp; Media Studies,General Engineering,Chemistry,Psychology,Architecture,Biological Sciences,Law,History, Philosophy &amp; Theology,Agriculture &amp; Forestry,Mathematics &amp; Statistics,Accounting &amp; Finance,Art, Performing Arts &amp; Design,Computer Science,Veterinary Science,Sociology,Languages, Literature &amp; Linguistics,Other Health,Geology, Environmental, Earth &amp; Marine Sciences,Economics &amp; Econometrics,Electrical &amp; Electronic Engineering,Physics &amp; Astronomy,Education,Business &amp; Management,Medicine &amp; Dentistry,Sport Science,Chemical Engineering,Geography</t>
  </si>
  <si>
    <t>Universidade Federal do Rio Grande Do Norte</t>
  </si>
  <si>
    <t>Universitas Muhammadiyah Yogyakarta</t>
  </si>
  <si>
    <t>/world-university-rankings/universitas-muhammadiyah-yogyakarta</t>
  </si>
  <si>
    <t>Civil Engineering,Other Health,Business &amp; Management,Electrical &amp; Electronic Engineering,Communication &amp; Media Studies,Medicine &amp; Dentistry,Accounting &amp; Finance,Law,Agriculture &amp; Forestry,Languages, Literature &amp; Linguistics,Education,Psychology,Politics &amp; International Studies (incl Development Studies),Economics &amp; Econometrics,Computer Science,Mechanical &amp; Aerospace Engineering</t>
  </si>
  <si>
    <t>Universitas Pendidikan Indonesia</t>
  </si>
  <si>
    <t>/world-university-rankings/universitas-pendidikan-indonesia</t>
  </si>
  <si>
    <t>Mechanical &amp; Aerospace Engineering,Sociology,Languages, Literature &amp; Linguistics,Communication &amp; Media Studies,Mathematics &amp; Statistics,Economics &amp; Econometrics,Art, Performing Arts &amp; Design,Sport Science,Psychology,Other Health,Geology, Environmental, Earth &amp; Marine Sciences,Electrical &amp; Electronic Engineering,Chemistry,History, Philosophy &amp; Theology,Civil Engineering,Education,Computer Science,Physics &amp; Astronomy,Accounting &amp; Finance,Architecture,Agriculture &amp; Forestry,Business &amp; Management,Biological Sciences,Geography</t>
  </si>
  <si>
    <t>Universitas Sumatera Utara</t>
  </si>
  <si>
    <t>/world-university-rankings/universitas-sumatera-utara</t>
  </si>
  <si>
    <t>Sociology,General Engineering,Languages, Literature &amp; Linguistics,Art, Performing Arts &amp; Design,Medicine &amp; Dentistry,Physics &amp; Astronomy,Business &amp; Management,Chemical Engineering,Other Health,Civil Engineering,Accounting &amp; Finance,Communication &amp; Media Studies,Economics &amp; Econometrics,History, Philosophy &amp; Theology,Agriculture &amp; Forestry,Architecture,Politics &amp; International Studies (incl Development Studies),Chemistry,Computer Science,Law,Biological Sciences,Electrical &amp; Electronic Engineering,Mathematics &amp; Statistics,Mechanical &amp; Aerospace Engineering,Psychology</t>
  </si>
  <si>
    <t>Universiti Malaysia Perlis</t>
  </si>
  <si>
    <t>/world-university-rankings/universiti-malaysia-perlis</t>
  </si>
  <si>
    <t>Chemical Engineering,Mathematics &amp; Statistics,Business &amp; Management,Civil Engineering,Electrical &amp; Electronic Engineering,General Engineering,Accounting &amp; Finance,Economics &amp; Econometrics,Languages, Literature &amp; Linguistics,Mechanical &amp; Aerospace Engineering,Communication &amp; Media Studies</t>
  </si>
  <si>
    <t>Universiti Teknikal Malaysia Melaka</t>
  </si>
  <si>
    <t>/world-university-rankings/universiti-teknikal-malaysia-melaka</t>
  </si>
  <si>
    <t>Business &amp; Management,Electrical &amp; Electronic Engineering,Computer Science,Mechanical &amp; Aerospace Engineering</t>
  </si>
  <si>
    <t>University of Babylon</t>
  </si>
  <si>
    <t>/world-university-rankings/university-babylon</t>
  </si>
  <si>
    <t>Chemistry,Economics &amp; Econometrics,Accounting &amp; Finance,Medicine &amp; Dentistry,Physics &amp; Astronomy,Mechanical &amp; Aerospace Engineering,Veterinary Science,Sport Science,Other Health,Computer Science,Agriculture &amp; Forestry,Business &amp; Management,Psychology,Mathematics &amp; Statistics,History, Philosophy &amp; Theology,Chemical Engineering,Law,Archaeology,Education,Art, Performing Arts &amp; Design,Languages, Literature &amp; Linguistics,Civil Engineering,Communication &amp; Media Studies,Sociology,Geology, Environmental, Earth &amp; Marine Sciences,Biological Sciences,Electrical &amp; Electronic Engineering,General Engineering,Geography</t>
  </si>
  <si>
    <t>University of Basrah</t>
  </si>
  <si>
    <t>/world-university-rankings/university-basrah</t>
  </si>
  <si>
    <t>Mechanical &amp; Aerospace Engineering,Mathematics &amp; Statistics,Law,Languages, Literature &amp; Linguistics,Electrical &amp; Electronic Engineering,Geology, Environmental, Earth &amp; Marine Sciences,Economics &amp; Econometrics,Biological Sciences,Sociology,Architecture,Agriculture &amp; Forestry,Education,History, Philosophy &amp; Theology,Civil Engineering,Business &amp; Management,Art, Performing Arts &amp; Design,Physics &amp; Astronomy,Psychology,Medicine &amp; Dentistry,Chemical Engineering,Communication &amp; Media Studies,General Engineering,Other Health,Chemistry,Politics &amp; International Studies (incl Development Studies),Computer Science,Sport Science,Accounting &amp; Finance,Veterinary Science,Geography</t>
  </si>
  <si>
    <t>University of Kragujevac</t>
  </si>
  <si>
    <t>/world-university-rankings/university-kragujevac-0</t>
  </si>
  <si>
    <t>Economics &amp; Econometrics,General Engineering,Mechanical &amp; Aerospace Engineering,Chemistry,Biological Sciences,Education,Architecture,Sport Science,Physics &amp; Astronomy,Civil Engineering,Electrical &amp; Electronic Engineering,Business &amp; Management,Mathematics &amp; Statistics,Other Health,Languages, Literature &amp; Linguistics,Accounting &amp; Finance,Agriculture &amp; Forestry,Law,Art, Performing Arts &amp; Design,Psychology,Computer Science,Medicine &amp; Dentistry</t>
  </si>
  <si>
    <t>University of Kufa</t>
  </si>
  <si>
    <t>/world-university-rankings/university-kufa</t>
  </si>
  <si>
    <t>History, Philosophy &amp; Theology,Chemical Engineering,Politics &amp; International Studies (incl Development Studies),Languages, Literature &amp; Linguistics,Agriculture &amp; Forestry,Physics &amp; Astronomy,Business &amp; Management,Other Health,Sport Science,Law,Art, Performing Arts &amp; Design,Civil Engineering,Geology, Environmental, Earth &amp; Marine Sciences,Mechanical &amp; Aerospace Engineering,Chemistry,Accounting &amp; Finance,Architecture,Veterinary Science,Psychology,Electrical &amp; Electronic Engineering,Sociology,Economics &amp; Econometrics,Medicine &amp; Dentistry,Mathematics &amp; Statistics,Education,Computer Science,Communication &amp; Media Studies,Archaeology,Biological Sciences,Geography</t>
  </si>
  <si>
    <t>University of Memphis</t>
  </si>
  <si>
    <t>/world-university-rankings/university-memphis</t>
  </si>
  <si>
    <t>Art, Performing Arts &amp; Design,Languages, Literature &amp; Linguistics,Other Health,Sociology,Law,Communication &amp; Media Studies,Business &amp; Management,Sport Science,Psychology,General Engineering,Computer Science,Architecture,Mathematics &amp; Statistics,Chemistry,Accounting &amp; Finance,History, Philosophy &amp; Theology,Physics &amp; Astronomy,Geology, Environmental, Earth &amp; Marine Sciences,Politics &amp; International Studies (incl Development Studies),Education,Chemical Engineering,Biological Sciences,Medicine &amp; Dentistry,Economics &amp; Econometrics,Mechanical &amp; Aerospace Engineering,Agriculture &amp; Forestry,Archaeology,Electrical &amp; Electronic Engineering,Geography,Veterinary Science,Civil Engineering</t>
  </si>
  <si>
    <t>https://www.timeshighereducation.com/student/register-interest/shorelight?utm_medium=thewebsite&amp;utm_campaign=cta-link&amp;utm_source=rankings&amp;iid=i-86982282</t>
  </si>
  <si>
    <t xml:space="preserve">University of Miskolc </t>
  </si>
  <si>
    <t>University of Miskolc</t>
  </si>
  <si>
    <t>/world-university-rankings/university-miskolc</t>
  </si>
  <si>
    <t>Electrical &amp; Electronic Engineering,Education,General Engineering,Politics &amp; International Studies (incl Development Studies),Mechanical &amp; Aerospace Engineering,Chemistry,Law,Mathematics &amp; Statistics,Economics &amp; Econometrics,Geology, Environmental, Earth &amp; Marine Sciences,Business &amp; Management,History, Philosophy &amp; Theology,Chemical Engineering,Accounting &amp; Finance,Other Health,Sociology,Languages, Literature &amp; Linguistics,Physics &amp; Astronomy,Computer Science,Geography</t>
  </si>
  <si>
    <t>University of Ostrava</t>
  </si>
  <si>
    <t>/world-university-rankings/university-ostrava</t>
  </si>
  <si>
    <t>Agriculture &amp; Forestry,Mathematics &amp; Statistics,Computer Science,Politics &amp; International Studies (incl Development Studies),Medicine &amp; Dentistry,Biological Sciences,Communication &amp; Media Studies,Geology, Environmental, Earth &amp; Marine Sciences,Physics &amp; Astronomy,Other Health,Art, Performing Arts &amp; Design,Geography,Psychology,History, Philosophy &amp; Theology,Sociology,Education,Chemistry,Sport Science,Languages, Literature &amp; Linguistics</t>
  </si>
  <si>
    <t>University of Pannonia</t>
  </si>
  <si>
    <t>/world-university-rankings/university-pannonia</t>
  </si>
  <si>
    <t>Computer Science,Geology, Environmental, Earth &amp; Marine Sciences,Mechanical &amp; Aerospace Engineering,Psychology,Chemical Engineering,Economics &amp; Econometrics,Politics &amp; International Studies (incl Development Studies),Communication &amp; Media Studies,Electrical &amp; Electronic Engineering,Business &amp; Management,Chemistry,Sport Science,General Engineering,Accounting &amp; Finance,Languages, Literature &amp; Linguistics,Education</t>
  </si>
  <si>
    <t>University of Pardubice</t>
  </si>
  <si>
    <t>/world-university-rankings/university-pardubice</t>
  </si>
  <si>
    <t>General Engineering,Geology, Environmental, Earth &amp; Marine Sciences,Mechanical &amp; Aerospace Engineering,Accounting &amp; Finance,Other Health,Mathematics &amp; Statistics,Electrical &amp; Electronic Engineering,Chemistry,History, Philosophy &amp; Theology,Physics &amp; Astronomy,Archaeology,Sport Science,Languages, Literature &amp; Linguistics,Chemical Engineering,Education,Computer Science,Sociology,Art, Performing Arts &amp; Design,Biological Sciences,Business &amp; Management,Civil Engineering,Economics &amp; Econometrics</t>
  </si>
  <si>
    <t xml:space="preserve">University of Peradeniya </t>
  </si>
  <si>
    <t>University of Peradeniya</t>
  </si>
  <si>
    <t>/world-university-rankings/university-peradeniya</t>
  </si>
  <si>
    <t>Medicine &amp; Dentistry,Communication &amp; Media Studies,Economics &amp; Econometrics,History, Philosophy &amp; Theology,Agriculture &amp; Forestry,Education,Computer Science,Mechanical &amp; Aerospace Engineering,Physics &amp; Astronomy,Psychology,Biological Sciences,Politics &amp; International Studies (incl Development Studies),Other Health,Mathematics &amp; Statistics,Business &amp; Management,General Engineering,Chemistry,Accounting &amp; Finance,Languages, Literature &amp; Linguistics,Civil Engineering,Geology, Environmental, Earth &amp; Marine Sciences,Art, Performing Arts &amp; Design,Chemical Engineering,Law,Archaeology,Electrical &amp; Electronic Engineering,Geography,Veterinary Science,Sociology</t>
  </si>
  <si>
    <t>University of Primorska</t>
  </si>
  <si>
    <t>/world-university-rankings/university-primorska</t>
  </si>
  <si>
    <t>Sport Science,Computer Science,Geography,Archaeology,Politics &amp; International Studies (incl Development Studies),Languages, Literature &amp; Linguistics,Biological Sciences,Agriculture &amp; Forestry,Education,Other Health,Art, Performing Arts &amp; Design,Mathematics &amp; Statistics,Civil Engineering,Business &amp; Management,Psychology,Geology, Environmental, Earth &amp; Marine Sciences,History, Philosophy &amp; Theology,Communication &amp; Media Studies</t>
  </si>
  <si>
    <t>University of Rijeka</t>
  </si>
  <si>
    <t>/world-university-rankings/university-rijeka</t>
  </si>
  <si>
    <t>Mechanical &amp; Aerospace Engineering,Accounting &amp; Finance,Mathematics &amp; Statistics,Medicine &amp; Dentistry,Education,Computer Science,Other Health,Law,Civil Engineering,Art, Performing Arts &amp; Design,Electrical &amp; Electronic Engineering,Physics &amp; Astronomy,Languages, Literature &amp; Linguistics,Biological Sciences,Business &amp; Management,Architecture,Economics &amp; Econometrics,History, Philosophy &amp; Theology,Psychology</t>
  </si>
  <si>
    <t>University of Silesia in Katowice</t>
  </si>
  <si>
    <t>/world-university-rankings/university-silesia-katowice</t>
  </si>
  <si>
    <t>History, Philosophy &amp; Theology,Geography,Politics &amp; International Studies (incl Development Studies),Mathematics &amp; Statistics,Computer Science,Education,Art, Performing Arts &amp; Design,Law,Biological Sciences,Sociology,Communication &amp; Media Studies,Geology, Environmental, Earth &amp; Marine Sciences,Psychology,Chemistry,Languages, Literature &amp; Linguistics,Physics &amp; Astronomy</t>
  </si>
  <si>
    <t>University of Split</t>
  </si>
  <si>
    <t>/world-university-rankings/university-split</t>
  </si>
  <si>
    <t>Architecture,Sport Science,General Engineering,Economics &amp; Econometrics,Other Health,Chemistry,Education,Business &amp; Management,Law,Electrical &amp; Electronic Engineering,Chemical Engineering,Medicine &amp; Dentistry,Computer Science,Civil Engineering,Sociology,Politics &amp; International Studies (incl Development Studies),Communication &amp; Media Studies,Accounting &amp; Finance,Psychology,Agriculture &amp; Forestry,Languages, Literature &amp; Linguistics,Mathematics &amp; Statistics,Mechanical &amp; Aerospace Engineering,Art, Performing Arts &amp; Design,History, Philosophy &amp; Theology,Physics &amp; Astronomy,Biological Sciences</t>
  </si>
  <si>
    <t>University of Sri Jayewardenepura</t>
  </si>
  <si>
    <t>/world-university-rankings/university-sri-jayewardenepura</t>
  </si>
  <si>
    <t>Languages, Literature &amp; Linguistics,Agriculture &amp; Forestry,Law,History, Philosophy &amp; Theology,Mathematics &amp; Statistics,Business &amp; Management,Medicine &amp; Dentistry,Chemistry,Psychology,Archaeology,General Engineering,Communication &amp; Media Studies,Economics &amp; Econometrics,Other Health,Biological Sciences,Architecture,Art, Performing Arts &amp; Design,Chemical Engineering,Sociology,Civil Engineering,Politics &amp; International Studies (incl Development Studies),Computer Science,Physics &amp; Astronomy,Geography,Electrical &amp; Electronic Engineering,Sport Science,Accounting &amp; Finance,Mechanical &amp; Aerospace Engineering,Geology, Environmental, Earth &amp; Marine Sciences</t>
  </si>
  <si>
    <t xml:space="preserve">University of West Bohemia </t>
  </si>
  <si>
    <t>University of West Bohemia</t>
  </si>
  <si>
    <t>/world-university-rankings/university-west-bohemia</t>
  </si>
  <si>
    <t>Architecture,Sociology,General Engineering,Biological Sciences,Accounting &amp; Finance,Languages, Literature &amp; Linguistics,Sport Science,Economics &amp; Econometrics,Other Health,Geology, Environmental, Earth &amp; Marine Sciences,Business &amp; Management,Electrical &amp; Electronic Engineering,Politics &amp; International Studies (incl Development Studies),Civil Engineering,Law,Art, Performing Arts &amp; Design,Mechanical &amp; Aerospace Engineering,Communication &amp; Media Studies,Computer Science,Mathematics &amp; Statistics,Geography,History, Philosophy &amp; Theology,Chemistry,Psychology,Archaeology,Physics &amp; Astronomy,Education</t>
  </si>
  <si>
    <t>University POLITEHNICA of Bucharest</t>
  </si>
  <si>
    <t>Polytechnic University of Bucharest</t>
  </si>
  <si>
    <t>/world-university-rankings/polytechnic-university-bucharest</t>
  </si>
  <si>
    <t>Mathematics &amp; Statistics,Civil Engineering,Chemical Engineering,Electrical &amp; Electronic Engineering,General Engineering,Mechanical &amp; Aerospace Engineering,Computer Science,Physics &amp; Astronomy</t>
  </si>
  <si>
    <t>Voronezh State University</t>
  </si>
  <si>
    <t>/world-university-rankings/voronezh-state-university</t>
  </si>
  <si>
    <t>Other Health,Sociology,Archaeology,Politics &amp; International Studies (incl Development Studies),Economics &amp; Econometrics,Mathematics &amp; Statistics,Education,Biological Sciences,Psychology,Chemical Engineering,Law,History, Philosophy &amp; Theology,Chemistry,Business &amp; Management,Languages, Literature &amp; Linguistics,Geology, Environmental, Earth &amp; Marine Sciences,Electrical &amp; Electronic Engineering,Geography,Physics &amp; Astronomy,Accounting &amp; Finance,Computer Science,Communication &amp; Media Studies</t>
  </si>
  <si>
    <t>Western Michigan University</t>
  </si>
  <si>
    <t>/world-university-rankings/western-michigan-university</t>
  </si>
  <si>
    <t>Civil Engineering,Politics &amp; International Studies (incl Development Studies),Law,Computer Science,Communication &amp; Media Studies,Mathematics &amp; Statistics,Business &amp; Management,Electrical &amp; Electronic Engineering,Geology, Environmental, Earth &amp; Marine Sciences,Architecture,Chemical Engineering,Accounting &amp; Finance,Art, Performing Arts &amp; Design,Sport Science,Sociology,History, Philosophy &amp; Theology,Agriculture &amp; Forestry,Geography,General Engineering,Physics &amp; Astronomy,Psychology,Languages, Literature &amp; Linguistics,Mechanical &amp; Aerospace Engineering,Chemistry,Economics &amp; Econometrics,Other Health,Biological Sciences,Education</t>
  </si>
  <si>
    <t>https://www.timeshighereducation.com/student/register-interest/shorelight?utm_medium=thewebsite&amp;utm_campaign=cta-link&amp;utm_source=rankings&amp;iid=i-23288541</t>
  </si>
  <si>
    <t xml:space="preserve">Yamaguchi University </t>
  </si>
  <si>
    <t>Yamaguchi University</t>
  </si>
  <si>
    <t>/world-university-rankings/yamaguchi-university</t>
  </si>
  <si>
    <t>Geology, Environmental, Earth &amp; Marine Sciences,Chemistry,Medicine &amp; Dentistry,Politics &amp; International Studies (incl Development Studies),Art, Performing Arts &amp; Design,Civil Engineering,Archaeology,Business &amp; Management,Other Health,Mechanical &amp; Aerospace Engineering,History, Philosophy &amp; Theology,Sociology,Physics &amp; Astronomy,Mathematics &amp; Statistics,Education,Economics &amp; Econometrics,Languages, Literature &amp; Linguistics,Electrical &amp; Electronic Engineering,Law,Accounting &amp; Finance,Biological Sciences,Psychology,Geography,Communication &amp; Media Studies,Veterinary Science,Sport Science,Chemical Engineering,General Engineering,Agriculture &amp; Forestry,Computer Science</t>
  </si>
  <si>
    <t>Yogyakarta State University</t>
  </si>
  <si>
    <t>/world-university-rankings/yogyakarta-state-university</t>
  </si>
  <si>
    <t>Mathematics &amp; Statistics,General Engineering,Communication &amp; Media Studies,Geography,Computer Science,Chemistry,History, Philosophy &amp; Theology,Accounting &amp; Finance,Electrical &amp; Electronic Engineering,Psychology,Biological Sciences,Sociology,Geology, Environmental, Earth &amp; Marine Sciences,Law,Business &amp; Management,Sport Science,Economics &amp; Econometrics,Art, Performing Arts &amp; Design,Physics &amp; Astronomy,Education,Architecture,Civil Engineering,Politics &amp; International Studies (incl Development Studies),Mechanical &amp; Aerospace Engineering,Languages, Literature &amp; Linguistics</t>
  </si>
  <si>
    <t>Yuan Ze University</t>
  </si>
  <si>
    <t>/world-university-rankings/yuan-ze-university</t>
  </si>
  <si>
    <t>Art, Performing Arts &amp; Design,Biological Sciences,General Engineering,Languages, Literature &amp; Linguistics,Business &amp; Management,Computer Science,Accounting &amp; Finance,Mechanical &amp; Aerospace Engineering,Other Health,Sociology,Communication &amp; Media Studies,Chemical Engineering,Electrical &amp; Electronic Engineering</t>
  </si>
  <si>
    <t>Zagazig University</t>
  </si>
  <si>
    <t>/world-university-rankings/zagazig-university</t>
  </si>
  <si>
    <t>Languages, Literature &amp; Linguistics,General Engineering,Communication &amp; Media Studies,Accounting &amp; Finance,Archaeology,Chemical Engineering,Politics &amp; International Studies (incl Development Studies),Architecture,Biological Sciences,Geography,Medicine &amp; Dentistry,Sport Science,Psychology,Art, Performing Arts &amp; Design,Electrical &amp; Electronic Engineering,Physics &amp; Astronomy,Economics &amp; Econometrics,Computer Science,Veterinary Science,Law,Mechanical &amp; Aerospace Engineering,Chemistry,Business &amp; Management,History, Philosophy &amp; Theology,Agriculture &amp; Forestry,Sociology,Other Health,Mathematics &amp; Statistics,Education,Civil Engineering,Geology, Environmental, Earth &amp; Marine Sciences</t>
  </si>
  <si>
    <t xml:space="preserve"> Don State Technical University</t>
  </si>
  <si>
    <t>Don State Technical University</t>
  </si>
  <si>
    <t>/world-university-rankings/don-state-technical-university</t>
  </si>
  <si>
    <t>Languages, Literature &amp; Linguistics,Art, Performing Arts &amp; Design,Agriculture &amp; Forestry,Communication &amp; Media Studies,Biological Sciences,Education,History, Philosophy &amp; Theology,Sport Science,Electrical &amp; Electronic Engineering,Geology, Environmental, Earth &amp; Marine Sciences,Computer Science,Chemistry,Economics &amp; Econometrics,Civil Engineering,Sociology,Architecture,Veterinary Science,Business &amp; Management,General Engineering,Physics &amp; Astronomy,Psychology,Mechanical &amp; Aerospace Engineering,Mathematics &amp; Statistics,Accounting &amp; Finance,Chemical Engineering,Law</t>
  </si>
  <si>
    <t>Humboldt State University</t>
  </si>
  <si>
    <t>/world-university-rankings/humboldt-state-university</t>
  </si>
  <si>
    <t>Mechanical &amp; Aerospace Engineering,Politics &amp; International Studies (incl Development Studies),Art, Performing Arts &amp; Design,Civil Engineering,Geography,Biological Sciences,Sociology,Electrical &amp; Electronic Engineering,Geology, Environmental, Earth &amp; Marine Sciences,General Engineering,Communication &amp; Media Studies,Computer Science,Sport Science,Education,Other Health,Chemistry,Business &amp; Management,Agriculture &amp; Forestry,Law,History, Philosophy &amp; Theology,Mathematics &amp; Statistics,Psychology,Languages, Literature &amp; Linguistics,Physics &amp; Astronomy,Economics &amp; Econometrics</t>
  </si>
  <si>
    <t>https://www.timeshighereducation.com/student/register-interest/shorelight?utm_medium=thewebsite&amp;utm_campaign=cta-link&amp;utm_source=rankings&amp;iid=i-19035283</t>
  </si>
  <si>
    <t>Irkutsk State University</t>
  </si>
  <si>
    <t>/world-university-rankings/irkutsk-state-university</t>
  </si>
  <si>
    <t>Physics &amp; Astronomy,Languages, Literature &amp; Linguistics,Mathematics &amp; Statistics,Politics &amp; International Studies (incl Development Studies),Business &amp; Management,Chemical Engineering,Geography,Archaeology,Geology, Environmental, Earth &amp; Marine Sciences,Computer Science,Education,Biological Sciences,Economics &amp; Econometrics,Law,Communication &amp; Media Studies,History, Philosophy &amp; Theology,Psychology,Art, Performing Arts &amp; Design,Sociology,Chemistry</t>
  </si>
  <si>
    <t>Kwansei Gakuin University</t>
  </si>
  <si>
    <t>/world-university-rankings/kwansei-gakuin-university</t>
  </si>
  <si>
    <t>Law,Economics &amp; Econometrics,Architecture,Physics &amp; Astronomy,General Engineering,Geology, Environmental, Earth &amp; Marine Sciences,Sport Science,Mechanical &amp; Aerospace Engineering,Education,History, Philosophy &amp; Theology,Computer Science,Accounting &amp; Finance,Chemical Engineering,Art, Performing Arts &amp; Design,Mathematics &amp; Statistics,Biological Sciences,Geography,Psychology,Communication &amp; Media Studies,Agriculture &amp; Forestry,Politics &amp; International Studies (incl Development Studies),Languages, Literature &amp; Linguistics,Sociology,Civil Engineering,Electrical &amp; Electronic Engineering,Chemistry,Business &amp; Management</t>
  </si>
  <si>
    <t>Lucian Blaga University of Sibiu</t>
  </si>
  <si>
    <t>/world-university-rankings/lucian-blaga-university-sibiu-0</t>
  </si>
  <si>
    <t>Sociology,Other Health,Computer Science,Psychology,Physics &amp; Astronomy,Art, Performing Arts &amp; Design,Business &amp; Management,Communication &amp; Media Studies,Agriculture &amp; Forestry,Languages, Literature &amp; Linguistics,Mechanical &amp; Aerospace Engineering,Mathematics &amp; Statistics,Biological Sciences,Politics &amp; International Studies (incl Development Studies),Law,Medicine &amp; Dentistry,Economics &amp; Econometrics,Sport Science,Accounting &amp; Finance,General Engineering,Electrical &amp; Electronic Engineering,Education,Civil Engineering,History, Philosophy &amp; Theology</t>
  </si>
  <si>
    <t>MIREA - Russian Technological University</t>
  </si>
  <si>
    <t>/world-university-rankings/mirea-russian-technological-university</t>
  </si>
  <si>
    <t>Art, Performing Arts &amp; Design,Mathematics &amp; Statistics,Accounting &amp; Finance,Computer Science,Geology, Environmental, Earth &amp; Marine Sciences,Chemical Engineering,General Engineering,Chemistry,Physics &amp; Astronomy,Electrical &amp; Electronic Engineering,Business &amp; Management,Biological Sciences,Other Health,Sociology,Mechanical &amp; Aerospace Engineering,Economics &amp; Econometrics,History, Philosophy &amp; Theology,Law</t>
  </si>
  <si>
    <t>Naresuan University</t>
  </si>
  <si>
    <t>/world-university-rankings/naresuan-university</t>
  </si>
  <si>
    <t>Other Health,General Engineering,Business &amp; Management,Electrical &amp; Electronic Engineering,Economics &amp; Econometrics,Computer Science,Civil Engineering,Chemistry,Accounting &amp; Finance,Sport Science,Mechanical &amp; Aerospace Engineering,Geography,Architecture,History, Philosophy &amp; Theology,Sociology,Veterinary Science,Geology, Environmental, Earth &amp; Marine Sciences,Mathematics &amp; Statistics,Chemical Engineering,Physics &amp; Astronomy,Agriculture &amp; Forestry,Law,Psychology,Communication &amp; Media Studies,Education,Politics &amp; International Studies (incl Development Studies),Medicine &amp; Dentistry,Languages, Literature &amp; Linguistics,Biological Sciences,Art, Performing Arts &amp; Design</t>
  </si>
  <si>
    <t>National University of Life and Environmental Sciences of Ukraine</t>
  </si>
  <si>
    <t>/world-university-rankings/national-university-life-and-environmental-sciences-ukraine</t>
  </si>
  <si>
    <t>Chemical Engineering,Business &amp; Management,History, Philosophy &amp; Theology,Biological Sciences,Other Health,Veterinary Science,Accounting &amp; Finance,Languages, Literature &amp; Linguistics,Politics &amp; International Studies (incl Development Studies),Economics &amp; Econometrics,Architecture,Sport Science,Agriculture &amp; Forestry,Education,Civil Engineering,Law,Computer Science,Geology, Environmental, Earth &amp; Marine Sciences,Communication &amp; Media Studies,Mechanical &amp; Aerospace Engineering,Psychology</t>
  </si>
  <si>
    <t>Nova Southeastern University</t>
  </si>
  <si>
    <t>/world-university-rankings/nova-southeastern-university</t>
  </si>
  <si>
    <t>Politics &amp; International Studies (incl Development Studies),Sociology,Chemistry,Other Health,History, Philosophy &amp; Theology,General Engineering,Geology, Environmental, Earth &amp; Marine Sciences,Geography,Law,Accounting &amp; Finance,Economics &amp; Econometrics,Computer Science,Physics &amp; Astronomy,Medicine &amp; Dentistry,Mathematics &amp; Statistics,Business &amp; Management,Sport Science,Communication &amp; Media Studies,Languages, Literature &amp; Linguistics,Psychology,Art, Performing Arts &amp; Design,Biological Sciences,Education</t>
  </si>
  <si>
    <t>https://www.timeshighereducation.com/student/register-interest/shorelight?utm_medium=thewebsite&amp;utm_campaign=cta-link&amp;utm_source=rankings&amp;iid=i-69434011</t>
  </si>
  <si>
    <t>PontifÃ­cia Universidade CatÃ³lica do ParanÃ¡</t>
  </si>
  <si>
    <t>/world-university-rankings/pontificia-universidade-catolica-do-parana</t>
  </si>
  <si>
    <t>Agriculture &amp; Forestry,Architecture,Physics &amp; Astronomy,Biological Sciences,Computer Science,Economics &amp; Econometrics,Education,Electrical &amp; Electronic Engineering,Civil Engineering,Sociology,Mechanical &amp; Aerospace Engineering,Chemical Engineering,Communication &amp; Media Studies,Mathematics &amp; Statistics,General Engineering,Other Health,Psychology,Accounting &amp; Finance,Medicine &amp; Dentistry,Veterinary Science,Sport Science,Chemistry,Law,Business &amp; Management,Languages, Literature &amp; Linguistics,Art, Performing Arts &amp; Design,History, Philosophy &amp; Theology</t>
  </si>
  <si>
    <t>Russian State Agrarian University - Moscow Timiryazev Agricultural Academy</t>
  </si>
  <si>
    <t>Russian State Agrarian University â€“ Moscow Timiryazev Agricultural Academy</t>
  </si>
  <si>
    <t>/world-university-rankings/russian-state-agrarian-university-moscow-timiryazev-agricultural-academy</t>
  </si>
  <si>
    <t>Economics &amp; Econometrics,General Engineering,Civil Engineering,Agriculture &amp; Forestry,Accounting &amp; Finance,Biological Sciences,Computer Science,Geology, Environmental, Earth &amp; Marine Sciences,Veterinary Science,Business &amp; Management,Education</t>
  </si>
  <si>
    <t xml:space="preserve">Russian State University for the Humanities </t>
  </si>
  <si>
    <t>Russian State University for the Humanities</t>
  </si>
  <si>
    <t>/world-university-rankings/russian-state-university-humanities-rsuh</t>
  </si>
  <si>
    <t>Mathematics &amp; Statistics,Law,Communication &amp; Media Studies,Politics &amp; International Studies (incl Development Studies),Art, Performing Arts &amp; Design,Accounting &amp; Finance,Computer Science,Archaeology,Sociology,Languages, Literature &amp; Linguistics,Economics &amp; Econometrics,Psychology,Education,History, Philosophy &amp; Theology,Business &amp; Management</t>
  </si>
  <si>
    <t>Sakarya University</t>
  </si>
  <si>
    <t>/world-university-rankings/sakarya-university</t>
  </si>
  <si>
    <t>Business &amp; Management,Languages, Literature &amp; Linguistics,Mathematics &amp; Statistics,Mechanical &amp; Aerospace Engineering,History, Philosophy &amp; Theology,Computer Science,Law,Sociology,Psychology,Physics &amp; Astronomy,Biological Sciences,Electrical &amp; Electronic Engineering,Civil Engineering,Politics &amp; International Studies (incl Development Studies),Architecture,Economics &amp; Econometrics,Education,Geography,Art, Performing Arts &amp; Design,Accounting &amp; Finance,Communication &amp; Media Studies,Medicine &amp; Dentistry,Chemistry</t>
  </si>
  <si>
    <t>Shibaura Institute of Technology</t>
  </si>
  <si>
    <t>/world-university-rankings/shibaura-institute-technology</t>
  </si>
  <si>
    <t>Shibaura Institute of Technology SHIBAURA Science Engineering</t>
  </si>
  <si>
    <t>Physics &amp; Astronomy,Geology, Environmental, Earth &amp; Marine Sciences,Architecture,Civil Engineering,Biological Sciences,Chemistry,General Engineering,Electrical &amp; Electronic Engineering,Chemical Engineering,Sport Science,Mathematics &amp; Statistics,Computer Science,Art, Performing Arts &amp; Design,Mechanical &amp; Aerospace Engineering</t>
  </si>
  <si>
    <t>Silpakorn University</t>
  </si>
  <si>
    <t>/world-university-rankings/silpakorn-university</t>
  </si>
  <si>
    <t>Psychology,Archaeology,Biological Sciences,Architecture,Chemical Engineering,Business &amp; Management,Geography,Agriculture &amp; Forestry,Politics &amp; International Studies (incl Development Studies),Sport Science,Languages, Literature &amp; Linguistics,Chemistry,Education,Computer Science,General Engineering,Communication &amp; Media Studies,Other Health,Art, Performing Arts &amp; Design,Mathematics &amp; Statistics,History, Philosophy &amp; Theology,Veterinary Science,Electrical &amp; Electronic Engineering,Economics &amp; Econometrics,Accounting &amp; Finance,Geology, Environmental, Earth &amp; Marine Sciences,Physics &amp; Astronomy,Mechanical &amp; Aerospace Engineering,Sociology</t>
  </si>
  <si>
    <t>Soochow University (Taiwan)</t>
  </si>
  <si>
    <t>Soochow University, Taiwan</t>
  </si>
  <si>
    <t>/world-university-rankings/soochow-university-taiwan</t>
  </si>
  <si>
    <t>Sociology,Computer Science,Law,Biological Sciences,Psychology,History, Philosophy &amp; Theology,Accounting &amp; Finance,Languages, Literature &amp; Linguistics,Business &amp; Management,Physics &amp; Astronomy,Politics &amp; International Studies (incl Development Studies),Mathematics &amp; Statistics,Economics &amp; Econometrics,Chemistry</t>
  </si>
  <si>
    <t>Soongsil University</t>
  </si>
  <si>
    <t>/world-university-rankings/soongsil-university</t>
  </si>
  <si>
    <t>Languages, Literature &amp; Linguistics,Mathematics &amp; Statistics,Accounting &amp; Finance,Biological Sciences,Law,Architecture,General Engineering,Psychology,History, Philosophy &amp; Theology,Physics &amp; Astronomy,Economics &amp; Econometrics,Computer Science,Communication &amp; Media Studies,Chemical Engineering,Politics &amp; International Studies (incl Development Studies),Electrical &amp; Electronic Engineering,Business &amp; Management,Art, Performing Arts &amp; Design,Chemistry,Sociology,Mechanical &amp; Aerospace Engineering,Education,Geology, Environmental, Earth &amp; Marine Sciences</t>
  </si>
  <si>
    <t>State University of Malang</t>
  </si>
  <si>
    <t>/world-university-rankings/state-university-malang</t>
  </si>
  <si>
    <t>History, Philosophy &amp; Theology,Physics &amp; Astronomy,Computer Science,Education,Electrical &amp; Electronic Engineering,Geography,Sport Science,Accounting &amp; Finance,General Engineering,Communication &amp; Media Studies,Art, Performing Arts &amp; Design,Mechanical &amp; Aerospace Engineering,Chemistry,Other Health,Biological Sciences,Economics &amp; Econometrics,Languages, Literature &amp; Linguistics,Mathematics &amp; Statistics,Business &amp; Management,Medicine &amp; Dentistry,Psychology,Civil Engineering,Sociology</t>
  </si>
  <si>
    <t>Stefan cel Mare University of Suceava</t>
  </si>
  <si>
    <t>Åžtefan cel Mare University of Suceava</t>
  </si>
  <si>
    <t>/world-university-rankings/stefan-cel-mare-university-suceava</t>
  </si>
  <si>
    <t>Sport Science,Law,Mathematics &amp; Statistics,Economics &amp; Econometrics,Languages, Literature &amp; Linguistics,Communication &amp; Media Studies,Geology, Environmental, Earth &amp; Marine Sciences,History, Philosophy &amp; Theology,Politics &amp; International Studies (incl Development Studies),Medicine &amp; Dentistry,Geography,Biological Sciences,Business &amp; Management,Electrical &amp; Electronic Engineering,Psychology,Agriculture &amp; Forestry,Accounting &amp; Finance,Mechanical &amp; Aerospace Engineering,Education,Computer Science,Sociology</t>
  </si>
  <si>
    <t>United International University</t>
  </si>
  <si>
    <t>/world-university-rankings/united-international-university</t>
  </si>
  <si>
    <t>Civil Engineering,Communication &amp; Media Studies,Accounting &amp; Finance,Electrical &amp; Electronic Engineering,Geography,Business &amp; Management,Computer Science,Politics &amp; International Studies (incl Development Studies),Economics &amp; Econometrics</t>
  </si>
  <si>
    <t>Universidad AutÃ³noma de Chile</t>
  </si>
  <si>
    <t>/world-university-rankings/universidad-autonoma-de-chile</t>
  </si>
  <si>
    <t>Civil Engineering,Business &amp; Management,Law,Education,Other Health,Computer Science,Medicine &amp; Dentistry,Architecture,Chemical Engineering,Psychology,Communication &amp; Media Studies</t>
  </si>
  <si>
    <t>Universidad AutÃ³noma de QuerÃ©taro (UAQ)</t>
  </si>
  <si>
    <t>Universidad AutÃ³noma de QuerÃ©taro</t>
  </si>
  <si>
    <t>/world-university-rankings/universidad-autonoma-de-queretaro</t>
  </si>
  <si>
    <t>Psychology,Architecture,Languages, Literature &amp; Linguistics,Chemical Engineering,Mathematics &amp; Statistics,Chemistry,Computer Science,Communication &amp; Media Studies,Medicine &amp; Dentistry,Politics &amp; International Studies (incl Development Studies),Geography,Law,Veterinary Science,Physics &amp; Astronomy,Accounting &amp; Finance,Economics &amp; Econometrics,Art, Performing Arts &amp; Design,Civil Engineering,Agriculture &amp; Forestry,Biological Sciences,History, Philosophy &amp; Theology,Mechanical &amp; Aerospace Engineering,Sociology,Sport Science,Electrical &amp; Electronic Engineering,Business &amp; Management</t>
  </si>
  <si>
    <t>Universidad Autonoma de Yucatan</t>
  </si>
  <si>
    <t>Universidad AutÃ³noma de YucatÃ¡n</t>
  </si>
  <si>
    <t>/world-university-rankings/universidad-autonoma-de-yucatan</t>
  </si>
  <si>
    <t>Psychology,Mechanical &amp; Aerospace Engineering,Architecture,Physics &amp; Astronomy,Other Health,Computer Science,Biological Sciences,Accounting &amp; Finance,Sport Science,Languages, Literature &amp; Linguistics,Chemical Engineering,Agriculture &amp; Forestry,Archaeology,Chemistry,History, Philosophy &amp; Theology,Politics &amp; International Studies (incl Development Studies),Economics &amp; Econometrics,Veterinary Science,Education,Civil Engineering,Law,Art, Performing Arts &amp; Design,Geology, Environmental, Earth &amp; Marine Sciences,General Engineering,Communication &amp; Media Studies,Business &amp; Management,Medicine &amp; Dentistry,Mathematics &amp; Statistics</t>
  </si>
  <si>
    <t>Universidad AutÃ³noma del Estado de Morelos (UAEM)</t>
  </si>
  <si>
    <t>Universidad AutÃ³noma del Estado de Morelos</t>
  </si>
  <si>
    <t>/world-university-rankings/universidad-autonoma-del-estado-de-morelos</t>
  </si>
  <si>
    <t>Business &amp; Management,Languages, Literature &amp; Linguistics,Law,Electrical &amp; Electronic Engineering,Education,Chemical Engineering,Agriculture &amp; Forestry,History, Philosophy &amp; Theology,Architecture,Biological Sciences,Chemistry,Physics &amp; Astronomy,General Engineering,Art, Performing Arts &amp; Design,Medicine &amp; Dentistry,Psychology,Computer Science,Sport Science,Other Health,Geology, Environmental, Earth &amp; Marine Sciences,Accounting &amp; Finance,Mathematics &amp; Statistics,Economics &amp; Econometrics</t>
  </si>
  <si>
    <t xml:space="preserve">Universidad CatÃ³lica de Colombia </t>
  </si>
  <si>
    <t>Universidad CatÃ³lica de Colombia</t>
  </si>
  <si>
    <t>/world-university-rankings/universidad-catolica-de-colombia</t>
  </si>
  <si>
    <t>Civil Engineering,Economics &amp; Econometrics,Psychology,General Engineering,Architecture,Business &amp; Management,Computer Science,Law,Electrical &amp; Electronic Engineering</t>
  </si>
  <si>
    <t>Universidad CatÃ³lica de La SantÃ­sima ConcepciÃ³n - UCSC</t>
  </si>
  <si>
    <t>Universidad CatÃ³lica de la SantÃ­sima ConcepciÃ³n</t>
  </si>
  <si>
    <t>/world-university-rankings/universidad-catolica-de-la-santisima-concepcion</t>
  </si>
  <si>
    <t>Electrical &amp; Electronic Engineering,Law,Languages, Literature &amp; Linguistics,Geology, Environmental, Earth &amp; Marine Sciences,Biological Sciences,Economics &amp; Econometrics,General Engineering,Education,Civil Engineering,Accounting &amp; Finance,History, Philosophy &amp; Theology,Chemistry,Computer Science,Sport Science,Business &amp; Management,Other Health,Sociology,Communication &amp; Media Studies,Medicine &amp; Dentistry,Mathematics &amp; Statistics</t>
  </si>
  <si>
    <t>Universidad de Carabobo</t>
  </si>
  <si>
    <t>VE</t>
  </si>
  <si>
    <t>Venezuela</t>
  </si>
  <si>
    <t>/world-university-rankings/universidad-de-carabobo</t>
  </si>
  <si>
    <t>Mechanical &amp; Aerospace Engineering,Physics &amp; Astronomy,Law,Medicine &amp; Dentistry,Chemical Engineering,Business &amp; Management,Biological Sciences,Education,Electrical &amp; Electronic Engineering,Veterinary Science,History, Philosophy &amp; Theology,Computer Science,Chemistry,Accounting &amp; Finance,Art, Performing Arts &amp; Design,Communication &amp; Media Studies,Politics &amp; International Studies (incl Development Studies),General Engineering,Geology, Environmental, Earth &amp; Marine Sciences,Economics &amp; Econometrics,Other Health,Civil Engineering,Languages, Literature &amp; Linguistics,Mathematics &amp; Statistics</t>
  </si>
  <si>
    <t>Universidad de Cartagena</t>
  </si>
  <si>
    <t>/world-university-rankings/universidad-de-cartagena</t>
  </si>
  <si>
    <t>Mathematics &amp; Statistics,Accounting &amp; Finance,Other Health,Law,Biological Sciences,Medicine &amp; Dentistry,Politics &amp; International Studies (incl Development Studies),General Engineering,Economics &amp; Econometrics,Communication &amp; Media Studies,Chemistry,Civil Engineering,Languages, Literature &amp; Linguistics,History, Philosophy &amp; Theology,Computer Science,Education,Physics &amp; Astronomy,Chemical Engineering</t>
  </si>
  <si>
    <t>Universidad de La Salle</t>
  </si>
  <si>
    <t>UNIVERSIDAD POLITECNICA SALESIANA</t>
  </si>
  <si>
    <t>Universidad PolitÃ©cnica Salesiana</t>
  </si>
  <si>
    <t>/world-university-rankings/universidad-politecnica-salesiana</t>
  </si>
  <si>
    <t>Architecture,Politics &amp; International Studies (incl Development Studies),Psychology,Computer Science,Biological Sciences,Languages, Literature &amp; Linguistics,Geology, Environmental, Earth &amp; Marine Sciences,Accounting &amp; Finance,Art, Performing Arts &amp; Design,Mathematics &amp; Statistics,Civil Engineering,Business &amp; Management,Agriculture &amp; Forestry,Education,Other Health,Mechanical &amp; Aerospace Engineering,Sociology,Medicine &amp; Dentistry,Communication &amp; Media Studies,Law,History, Philosophy &amp; Theology,Sport Science,Economics &amp; Econometrics,Electrical &amp; Electronic Engineering,Veterinary Science</t>
  </si>
  <si>
    <t>Universidad Popular AutÃ³noma del Estado de Puebla (UPAEP)</t>
  </si>
  <si>
    <t>Universidad Popular AutÃ³noma del Estado de Puebla</t>
  </si>
  <si>
    <t>/world-university-rankings/universidad-popular-autonoma-del-estado-de-puebla</t>
  </si>
  <si>
    <t>Other Health,Communication &amp; Media Studies,Electrical &amp; Electronic Engineering,Law,Mechanical &amp; Aerospace Engineering,Education,Languages, Literature &amp; Linguistics,Veterinary Science,Accounting &amp; Finance,Art, Performing Arts &amp; Design,Agriculture &amp; Forestry,Business &amp; Management,Civil Engineering,Psychology,History, Philosophy &amp; Theology,Chemical Engineering,Economics &amp; Econometrics,Computer Science,Politics &amp; International Studies (incl Development Studies),Medicine &amp; Dentistry,Geology, Environmental, Earth &amp; Marine Sciences,Architecture,Biological Sciences</t>
  </si>
  <si>
    <t>Universidad San Ignacio de Loyola</t>
  </si>
  <si>
    <t>/world-university-rankings/universidad-san-ignacio-de-loyola</t>
  </si>
  <si>
    <t>Medicine &amp; Dentistry,Mechanical &amp; Aerospace Engineering,Sociology,Law,Art, Performing Arts &amp; Design,Electrical &amp; Electronic Engineering,Agriculture &amp; Forestry,Sport Science,Education,Architecture,Psychology,Other Health,Economics &amp; Econometrics,Politics &amp; International Studies (incl Development Studies),Computer Science,Business &amp; Management,Civil Engineering,Communication &amp; Media Studies,General Engineering,Accounting &amp; Finance</t>
  </si>
  <si>
    <t>Universidad TecnolÃ³gica de BolÃ­var</t>
  </si>
  <si>
    <t>/world-university-rankings/universidad-tecnologica-de-bolivar-0</t>
  </si>
  <si>
    <t>Economics &amp; Econometrics,Politics &amp; International Studies (incl Development Studies),Civil Engineering,Chemical Engineering,Accounting &amp; Finance,Psychology,Business &amp; Management,Architecture,Electrical &amp; Electronic Engineering,Mechanical &amp; Aerospace Engineering,Education,Law,Computer Science,Mathematics &amp; Statistics</t>
  </si>
  <si>
    <t>Universidade do Estado de Santa Catarina</t>
  </si>
  <si>
    <t>/world-university-rankings/universidade-do-estado-de-santa-catarina</t>
  </si>
  <si>
    <t>Chemical Engineering,Other Health,Mechanical &amp; Aerospace Engineering,Biological Sciences,Business &amp; Management,Education,Veterinary Science,History, Philosophy &amp; Theology,Electrical &amp; Electronic Engineering,Civil Engineering,Architecture,Geography,Accounting &amp; Finance,General Engineering,Economics &amp; Econometrics,Computer Science,Agriculture &amp; Forestry,Art, Performing Arts &amp; Design,Sport Science</t>
  </si>
  <si>
    <t>Universitas Andalas</t>
  </si>
  <si>
    <t>/world-university-rankings/andalas-university-0</t>
  </si>
  <si>
    <t>Veterinary Science,Accounting &amp; Finance,Agriculture &amp; Forestry,Economics &amp; Econometrics,Medicine &amp; Dentistry,Chemistry,Electrical &amp; Electronic Engineering,Communication &amp; Media Studies,Law,Mechanical &amp; Aerospace Engineering,Politics &amp; International Studies (incl Development Studies),General Engineering,Architecture,Biological Sciences,Computer Science,Physics &amp; Astronomy,History, Philosophy &amp; Theology,Mathematics &amp; Statistics,Other Health,Geology, Environmental, Earth &amp; Marine Sciences,Languages, Literature &amp; Linguistics,Civil Engineering,Sociology,Business &amp; Management</t>
  </si>
  <si>
    <t>Universitas Muhammadiyah Surakarta</t>
  </si>
  <si>
    <t>Universiti Sains Islam Malaysia</t>
  </si>
  <si>
    <t>University of Craiova</t>
  </si>
  <si>
    <t>/world-university-rankings/university-craiova</t>
  </si>
  <si>
    <t>General Engineering,Sociology,Mechanical &amp; Aerospace Engineering,Geography,Agriculture &amp; Forestry,Politics &amp; International Studies (incl Development Studies),Art, Performing Arts &amp; Design,Chemical Engineering,Chemistry,Economics &amp; Econometrics,History, Philosophy &amp; Theology,Physics &amp; Astronomy,Electrical &amp; Electronic Engineering,Geology, Environmental, Earth &amp; Marine Sciences,Accounting &amp; Finance,Languages, Literature &amp; Linguistics,Biological Sciences,Business &amp; Management,Civil Engineering,Education,Computer Science,Mathematics &amp; Statistics,Sport Science,Communication &amp; Media Studies</t>
  </si>
  <si>
    <t>University of Lampung</t>
  </si>
  <si>
    <t>/world-university-rankings/university-lampung</t>
  </si>
  <si>
    <t>Mechanical &amp; Aerospace Engineering,Agriculture &amp; Forestry,Other Health,Geology, Environmental, Earth &amp; Marine Sciences,Chemical Engineering,Medicine &amp; Dentistry,History, Philosophy &amp; Theology,Chemistry,Education,Politics &amp; International Studies (incl Development Studies),Sociology,Geography,Art, Performing Arts &amp; Design,Law,Computer Science,Physics &amp; Astronomy,Electrical &amp; Electronic Engineering,Civil Engineering,Economics &amp; Econometrics,Veterinary Science,Languages, Literature &amp; Linguistics,Communication &amp; Media Studies,Business &amp; Management,Mathematics &amp; Statistics,Accounting &amp; Finance,Biological Sciences,Architecture,General Engineering,Sport Science</t>
  </si>
  <si>
    <t>University of Mataram</t>
  </si>
  <si>
    <t>/world-university-rankings/university-mataram</t>
  </si>
  <si>
    <t>Mechanical &amp; Aerospace Engineering,Communication &amp; Media Studies,Computer Science,Geology, Environmental, Earth &amp; Marine Sciences,Civil Engineering,Education,Mathematics &amp; Statistics,Accounting &amp; Finance,Electrical &amp; Electronic Engineering,Sociology,Physics &amp; Astronomy,Politics &amp; International Studies (incl Development Studies),Agriculture &amp; Forestry,Law,Economics &amp; Econometrics,Medicine &amp; Dentistry,Biological Sciences,Business &amp; Management,General Engineering,Chemistry</t>
  </si>
  <si>
    <t>University of Oradea</t>
  </si>
  <si>
    <t>/world-university-rankings/universitatea-din-oradea-0</t>
  </si>
  <si>
    <t>Sociology,Medicine &amp; Dentistry,Mathematics &amp; Statistics,Electrical &amp; Electronic Engineering,Art, Performing Arts &amp; Design,Communication &amp; Media Studies,Agriculture &amp; Forestry,Business &amp; Management,Politics &amp; International Studies (incl Development Studies),Biological Sciences,Languages, Literature &amp; Linguistics,General Engineering,Geography,Civil Engineering,Psychology,Mechanical &amp; Aerospace Engineering,Education,Physics &amp; Astronomy,Computer Science,Accounting &amp; Finance,Sport Science,Economics &amp; Econometrics,Chemistry,Other Health,History, Philosophy &amp; Theology,Geology, Environmental, Earth &amp; Marine Sciences,Law,Architecture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</si>
</sst>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8C34-A4CB-4DA1-9D26-A6F9811F1FF8}">
  <dimension ref="A1:AS934"/>
  <sheetViews>
    <sheetView tabSelected="1" workbookViewId="0">
      <selection activeCell="V1" sqref="V1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3">
      <c r="A2">
        <v>1</v>
      </c>
      <c r="B2">
        <v>1</v>
      </c>
      <c r="C2" t="s">
        <v>44</v>
      </c>
      <c r="D2" t="s">
        <v>45</v>
      </c>
      <c r="E2" t="s">
        <v>46</v>
      </c>
      <c r="F2" t="s">
        <v>47</v>
      </c>
      <c r="G2">
        <v>100</v>
      </c>
      <c r="H2">
        <v>100</v>
      </c>
      <c r="I2">
        <v>100</v>
      </c>
      <c r="J2">
        <v>100</v>
      </c>
      <c r="K2">
        <v>99.3</v>
      </c>
      <c r="L2">
        <v>86.8</v>
      </c>
      <c r="M2">
        <v>96</v>
      </c>
      <c r="N2">
        <v>100</v>
      </c>
      <c r="O2">
        <v>99</v>
      </c>
      <c r="P2">
        <v>100</v>
      </c>
      <c r="Q2">
        <v>3</v>
      </c>
      <c r="R2" t="s">
        <v>48</v>
      </c>
      <c r="S2">
        <v>97.9</v>
      </c>
      <c r="T2">
        <v>30</v>
      </c>
      <c r="U2">
        <v>98.6</v>
      </c>
      <c r="V2">
        <v>2</v>
      </c>
      <c r="W2">
        <v>96.2</v>
      </c>
      <c r="X2">
        <v>11</v>
      </c>
      <c r="Y2">
        <v>99.7</v>
      </c>
      <c r="Z2">
        <v>1</v>
      </c>
      <c r="AA2">
        <v>100</v>
      </c>
      <c r="AB2">
        <v>16</v>
      </c>
      <c r="AC2">
        <v>93.8</v>
      </c>
      <c r="AD2">
        <v>66</v>
      </c>
      <c r="AE2" t="s">
        <v>49</v>
      </c>
      <c r="AF2">
        <v>0</v>
      </c>
      <c r="AG2" t="s">
        <v>50</v>
      </c>
      <c r="AH2">
        <v>471</v>
      </c>
      <c r="AI2" t="s">
        <v>46</v>
      </c>
      <c r="AJ2" s="1">
        <v>11085</v>
      </c>
      <c r="AK2">
        <v>8</v>
      </c>
      <c r="AL2" s="2">
        <v>0.33</v>
      </c>
      <c r="AM2" s="3">
        <v>1.7493055555555554</v>
      </c>
      <c r="AN2" t="s">
        <v>48</v>
      </c>
      <c r="AO2" t="s">
        <v>51</v>
      </c>
      <c r="AP2" t="b">
        <v>0</v>
      </c>
      <c r="AQ2" t="b">
        <v>0</v>
      </c>
      <c r="AR2" t="b">
        <v>0</v>
      </c>
      <c r="AS2" t="s">
        <v>52</v>
      </c>
    </row>
    <row r="3" spans="1:45" x14ac:dyDescent="0.3">
      <c r="A3">
        <v>2</v>
      </c>
      <c r="B3">
        <v>6</v>
      </c>
      <c r="C3" t="s">
        <v>53</v>
      </c>
      <c r="D3" t="s">
        <v>54</v>
      </c>
      <c r="E3" t="s">
        <v>55</v>
      </c>
      <c r="F3" t="s">
        <v>56</v>
      </c>
      <c r="G3">
        <v>98.5</v>
      </c>
      <c r="H3">
        <v>99.5</v>
      </c>
      <c r="I3">
        <v>98.2</v>
      </c>
      <c r="J3">
        <v>93.9</v>
      </c>
      <c r="K3">
        <v>100</v>
      </c>
      <c r="L3">
        <v>99.6</v>
      </c>
      <c r="M3">
        <v>97.4</v>
      </c>
      <c r="N3">
        <v>93.4</v>
      </c>
      <c r="O3">
        <v>99.7</v>
      </c>
      <c r="P3">
        <v>98.5</v>
      </c>
      <c r="Q3">
        <v>8</v>
      </c>
      <c r="R3" t="s">
        <v>53</v>
      </c>
      <c r="S3">
        <v>95.1</v>
      </c>
      <c r="T3">
        <v>80</v>
      </c>
      <c r="U3">
        <v>90.9</v>
      </c>
      <c r="V3">
        <v>12</v>
      </c>
      <c r="W3">
        <v>95.5</v>
      </c>
      <c r="X3">
        <v>12</v>
      </c>
      <c r="Y3">
        <v>98.6</v>
      </c>
      <c r="Z3">
        <v>8</v>
      </c>
      <c r="AA3">
        <v>90.9</v>
      </c>
      <c r="AB3">
        <v>157</v>
      </c>
      <c r="AC3">
        <v>98.3</v>
      </c>
      <c r="AD3">
        <v>6</v>
      </c>
      <c r="AE3" t="s">
        <v>57</v>
      </c>
      <c r="AF3">
        <v>0</v>
      </c>
      <c r="AG3" t="s">
        <v>58</v>
      </c>
      <c r="AH3">
        <v>472</v>
      </c>
      <c r="AI3" t="s">
        <v>55</v>
      </c>
      <c r="AJ3" s="1">
        <v>20275</v>
      </c>
      <c r="AK3">
        <v>11.8</v>
      </c>
      <c r="AL3" s="2">
        <v>0.61</v>
      </c>
      <c r="AM3" s="3">
        <v>1.7902777777777779</v>
      </c>
      <c r="AN3" t="s">
        <v>53</v>
      </c>
      <c r="AO3" t="s">
        <v>59</v>
      </c>
      <c r="AP3" t="b">
        <v>0</v>
      </c>
      <c r="AQ3" t="b">
        <v>0</v>
      </c>
      <c r="AR3" t="b">
        <v>0</v>
      </c>
      <c r="AS3" t="s">
        <v>60</v>
      </c>
    </row>
    <row r="4" spans="1:45" x14ac:dyDescent="0.3">
      <c r="A4">
        <v>3</v>
      </c>
      <c r="B4">
        <v>3</v>
      </c>
      <c r="C4" t="s">
        <v>61</v>
      </c>
      <c r="D4" t="s">
        <v>54</v>
      </c>
      <c r="E4" t="s">
        <v>55</v>
      </c>
      <c r="F4" t="s">
        <v>56</v>
      </c>
      <c r="G4">
        <v>100</v>
      </c>
      <c r="H4">
        <v>100</v>
      </c>
      <c r="I4">
        <v>100</v>
      </c>
      <c r="J4">
        <v>84.8</v>
      </c>
      <c r="K4">
        <v>98.1</v>
      </c>
      <c r="L4">
        <v>97.7</v>
      </c>
      <c r="M4">
        <v>100</v>
      </c>
      <c r="N4">
        <v>100</v>
      </c>
      <c r="O4">
        <v>85</v>
      </c>
      <c r="P4">
        <v>96.9</v>
      </c>
      <c r="Q4">
        <v>1</v>
      </c>
      <c r="R4" t="s">
        <v>61</v>
      </c>
      <c r="S4">
        <v>98.5</v>
      </c>
      <c r="T4">
        <v>10</v>
      </c>
      <c r="U4">
        <v>96.6</v>
      </c>
      <c r="V4">
        <v>5</v>
      </c>
      <c r="W4">
        <v>100</v>
      </c>
      <c r="X4">
        <v>2</v>
      </c>
      <c r="Y4">
        <v>99</v>
      </c>
      <c r="Z4">
        <v>5</v>
      </c>
      <c r="AA4">
        <v>98.7</v>
      </c>
      <c r="AB4">
        <v>77</v>
      </c>
      <c r="AC4">
        <v>97.5</v>
      </c>
      <c r="AD4">
        <v>14</v>
      </c>
      <c r="AE4" t="s">
        <v>57</v>
      </c>
      <c r="AF4">
        <v>0</v>
      </c>
      <c r="AG4" t="s">
        <v>62</v>
      </c>
      <c r="AH4">
        <v>468</v>
      </c>
      <c r="AI4" t="s">
        <v>55</v>
      </c>
      <c r="AJ4" s="1">
        <v>21750</v>
      </c>
      <c r="AK4">
        <v>10.9</v>
      </c>
      <c r="AL4" s="2">
        <v>0.42</v>
      </c>
      <c r="AM4" s="3">
        <v>2.0770833333333334</v>
      </c>
      <c r="AN4" t="s">
        <v>61</v>
      </c>
      <c r="AO4" t="s">
        <v>63</v>
      </c>
      <c r="AP4" t="b">
        <v>0</v>
      </c>
      <c r="AQ4" t="b">
        <v>0</v>
      </c>
      <c r="AR4" t="b">
        <v>0</v>
      </c>
      <c r="AS4" t="s">
        <v>64</v>
      </c>
    </row>
    <row r="5" spans="1:45" x14ac:dyDescent="0.3">
      <c r="A5">
        <v>4</v>
      </c>
      <c r="B5">
        <v>4</v>
      </c>
      <c r="C5" t="s">
        <v>65</v>
      </c>
      <c r="D5" t="s">
        <v>45</v>
      </c>
      <c r="E5" t="s">
        <v>46</v>
      </c>
      <c r="F5" t="s">
        <v>56</v>
      </c>
      <c r="G5">
        <v>100</v>
      </c>
      <c r="H5">
        <v>100</v>
      </c>
      <c r="I5">
        <v>96.3</v>
      </c>
      <c r="J5">
        <v>100</v>
      </c>
      <c r="K5">
        <v>74.099999999999994</v>
      </c>
      <c r="L5">
        <v>69</v>
      </c>
      <c r="M5">
        <v>99.6</v>
      </c>
      <c r="N5">
        <v>100</v>
      </c>
      <c r="O5">
        <v>84.4</v>
      </c>
      <c r="P5">
        <v>96.8</v>
      </c>
      <c r="Q5">
        <v>4</v>
      </c>
      <c r="R5" t="s">
        <v>65</v>
      </c>
      <c r="S5">
        <v>97.8</v>
      </c>
      <c r="T5">
        <v>40</v>
      </c>
      <c r="U5">
        <v>97.7</v>
      </c>
      <c r="V5">
        <v>3</v>
      </c>
      <c r="W5">
        <v>99.9</v>
      </c>
      <c r="X5">
        <v>3</v>
      </c>
      <c r="Y5">
        <v>99.4</v>
      </c>
      <c r="Z5">
        <v>3</v>
      </c>
      <c r="AA5">
        <v>84.2</v>
      </c>
      <c r="AB5">
        <v>216</v>
      </c>
      <c r="AC5">
        <v>90.8</v>
      </c>
      <c r="AD5">
        <v>119</v>
      </c>
      <c r="AE5" t="s">
        <v>49</v>
      </c>
      <c r="AF5">
        <v>0</v>
      </c>
      <c r="AG5" t="s">
        <v>66</v>
      </c>
      <c r="AH5">
        <v>466</v>
      </c>
      <c r="AI5" t="s">
        <v>46</v>
      </c>
      <c r="AJ5" s="1">
        <v>20050</v>
      </c>
      <c r="AK5">
        <v>9</v>
      </c>
      <c r="AL5" s="2">
        <v>0.25</v>
      </c>
      <c r="AM5" s="3">
        <v>2.1590277777777778</v>
      </c>
      <c r="AN5" t="s">
        <v>65</v>
      </c>
      <c r="AO5" t="s">
        <v>67</v>
      </c>
      <c r="AP5" t="b">
        <v>0</v>
      </c>
      <c r="AQ5" t="b">
        <v>0</v>
      </c>
      <c r="AR5" t="b">
        <v>0</v>
      </c>
      <c r="AS5" t="s">
        <v>68</v>
      </c>
    </row>
    <row r="6" spans="1:45" x14ac:dyDescent="0.3">
      <c r="A6">
        <v>5</v>
      </c>
      <c r="B6">
        <v>2</v>
      </c>
      <c r="C6" t="s">
        <v>69</v>
      </c>
      <c r="D6" t="s">
        <v>54</v>
      </c>
      <c r="E6" t="s">
        <v>55</v>
      </c>
      <c r="F6" t="s">
        <v>56</v>
      </c>
      <c r="G6">
        <v>100</v>
      </c>
      <c r="H6">
        <v>100</v>
      </c>
      <c r="I6">
        <v>100</v>
      </c>
      <c r="J6">
        <v>84.6</v>
      </c>
      <c r="K6">
        <v>100</v>
      </c>
      <c r="L6">
        <v>94.8</v>
      </c>
      <c r="M6">
        <v>99.3</v>
      </c>
      <c r="N6">
        <v>100</v>
      </c>
      <c r="O6">
        <v>84.8</v>
      </c>
      <c r="P6">
        <v>96.7</v>
      </c>
      <c r="Q6">
        <v>5</v>
      </c>
      <c r="R6" t="s">
        <v>69</v>
      </c>
      <c r="S6">
        <v>97.5</v>
      </c>
      <c r="T6">
        <v>50</v>
      </c>
      <c r="U6">
        <v>95.8</v>
      </c>
      <c r="V6">
        <v>7</v>
      </c>
      <c r="W6">
        <v>100</v>
      </c>
      <c r="X6">
        <v>1</v>
      </c>
      <c r="Y6">
        <v>98</v>
      </c>
      <c r="Z6">
        <v>12</v>
      </c>
      <c r="AA6">
        <v>87.9</v>
      </c>
      <c r="AB6">
        <v>180</v>
      </c>
      <c r="AC6">
        <v>97.4</v>
      </c>
      <c r="AD6">
        <v>15</v>
      </c>
      <c r="AE6" t="s">
        <v>57</v>
      </c>
      <c r="AF6">
        <v>0</v>
      </c>
      <c r="AG6" t="s">
        <v>70</v>
      </c>
      <c r="AH6">
        <v>470</v>
      </c>
      <c r="AI6" t="s">
        <v>55</v>
      </c>
      <c r="AJ6" s="1">
        <v>20565</v>
      </c>
      <c r="AK6">
        <v>11.5</v>
      </c>
      <c r="AL6" s="2">
        <v>0.38</v>
      </c>
      <c r="AM6" s="3">
        <v>2.036111111111111</v>
      </c>
      <c r="AN6" t="s">
        <v>69</v>
      </c>
      <c r="AO6" t="s">
        <v>71</v>
      </c>
      <c r="AP6" t="b">
        <v>0</v>
      </c>
      <c r="AQ6" t="b">
        <v>0</v>
      </c>
      <c r="AR6" t="b">
        <v>0</v>
      </c>
      <c r="AS6" t="s">
        <v>72</v>
      </c>
    </row>
    <row r="7" spans="1:45" x14ac:dyDescent="0.3">
      <c r="A7">
        <v>6</v>
      </c>
      <c r="B7">
        <v>5</v>
      </c>
      <c r="C7" t="s">
        <v>73</v>
      </c>
      <c r="D7" t="s">
        <v>45</v>
      </c>
      <c r="E7" t="s">
        <v>46</v>
      </c>
      <c r="F7" t="s">
        <v>56</v>
      </c>
      <c r="G7">
        <v>100</v>
      </c>
      <c r="H7">
        <v>100</v>
      </c>
      <c r="I7">
        <v>100</v>
      </c>
      <c r="J7">
        <v>99</v>
      </c>
      <c r="K7">
        <v>70.3</v>
      </c>
      <c r="L7">
        <v>60.8</v>
      </c>
      <c r="M7">
        <v>96.8</v>
      </c>
      <c r="N7">
        <v>100</v>
      </c>
      <c r="O7">
        <v>81.2</v>
      </c>
      <c r="P7">
        <v>96.1</v>
      </c>
      <c r="Q7">
        <v>2</v>
      </c>
      <c r="R7" t="s">
        <v>73</v>
      </c>
      <c r="S7">
        <v>98</v>
      </c>
      <c r="T7">
        <v>20</v>
      </c>
      <c r="U7">
        <v>99</v>
      </c>
      <c r="V7">
        <v>1</v>
      </c>
      <c r="W7">
        <v>97.8</v>
      </c>
      <c r="X7">
        <v>8</v>
      </c>
      <c r="Y7">
        <v>99.6</v>
      </c>
      <c r="Z7">
        <v>2</v>
      </c>
      <c r="AA7">
        <v>100</v>
      </c>
      <c r="AB7">
        <v>25</v>
      </c>
      <c r="AC7">
        <v>87</v>
      </c>
      <c r="AD7">
        <v>167</v>
      </c>
      <c r="AE7" t="s">
        <v>49</v>
      </c>
      <c r="AF7">
        <v>0</v>
      </c>
      <c r="AG7" t="s">
        <v>74</v>
      </c>
      <c r="AH7">
        <v>467</v>
      </c>
      <c r="AI7" t="s">
        <v>46</v>
      </c>
      <c r="AJ7" s="1">
        <v>14517</v>
      </c>
      <c r="AK7">
        <v>6.4</v>
      </c>
      <c r="AL7" s="2">
        <v>0.23</v>
      </c>
      <c r="AM7" s="3">
        <v>1.9951388888888888</v>
      </c>
      <c r="AN7" t="s">
        <v>73</v>
      </c>
      <c r="AO7" t="s">
        <v>75</v>
      </c>
      <c r="AP7" t="b">
        <v>0</v>
      </c>
      <c r="AQ7" t="b">
        <v>0</v>
      </c>
      <c r="AR7" t="b">
        <v>0</v>
      </c>
    </row>
    <row r="8" spans="1:45" x14ac:dyDescent="0.3">
      <c r="A8">
        <v>9</v>
      </c>
      <c r="B8">
        <v>9</v>
      </c>
      <c r="C8" t="s">
        <v>76</v>
      </c>
      <c r="D8" t="s">
        <v>54</v>
      </c>
      <c r="E8" t="s">
        <v>55</v>
      </c>
      <c r="F8" t="s">
        <v>77</v>
      </c>
      <c r="G8">
        <v>99.5</v>
      </c>
      <c r="H8">
        <v>98.3</v>
      </c>
      <c r="I8">
        <v>95.9</v>
      </c>
      <c r="J8">
        <v>72.2</v>
      </c>
      <c r="K8">
        <v>99</v>
      </c>
      <c r="L8">
        <v>100</v>
      </c>
      <c r="M8">
        <v>99.9</v>
      </c>
      <c r="N8">
        <v>70.3</v>
      </c>
      <c r="O8">
        <v>74.8</v>
      </c>
      <c r="P8">
        <v>91.6</v>
      </c>
      <c r="Q8">
        <v>22</v>
      </c>
      <c r="R8" t="s">
        <v>76</v>
      </c>
      <c r="S8">
        <v>88.1</v>
      </c>
      <c r="T8">
        <v>220</v>
      </c>
      <c r="U8">
        <v>78.400000000000006</v>
      </c>
      <c r="V8">
        <v>26</v>
      </c>
      <c r="W8">
        <v>86.4</v>
      </c>
      <c r="X8">
        <v>24</v>
      </c>
      <c r="Y8">
        <v>98.6</v>
      </c>
      <c r="Z8">
        <v>9</v>
      </c>
      <c r="AA8">
        <v>75.2</v>
      </c>
      <c r="AB8">
        <v>335</v>
      </c>
      <c r="AC8">
        <v>97.9</v>
      </c>
      <c r="AD8">
        <v>8</v>
      </c>
      <c r="AE8" t="s">
        <v>57</v>
      </c>
      <c r="AF8">
        <v>0</v>
      </c>
      <c r="AG8" t="s">
        <v>78</v>
      </c>
      <c r="AH8">
        <v>481</v>
      </c>
      <c r="AI8" t="s">
        <v>55</v>
      </c>
      <c r="AJ8" s="1">
        <v>41110</v>
      </c>
      <c r="AK8">
        <v>11.3</v>
      </c>
      <c r="AL8" s="2">
        <v>0.61</v>
      </c>
      <c r="AM8" s="3">
        <v>2.4868055555555557</v>
      </c>
      <c r="AN8" t="s">
        <v>79</v>
      </c>
      <c r="AO8" t="s">
        <v>80</v>
      </c>
      <c r="AP8" t="b">
        <v>0</v>
      </c>
      <c r="AQ8" t="b">
        <v>0</v>
      </c>
      <c r="AR8" t="b">
        <v>0</v>
      </c>
      <c r="AS8" t="s">
        <v>81</v>
      </c>
    </row>
    <row r="9" spans="1:45" x14ac:dyDescent="0.3">
      <c r="A9">
        <v>11</v>
      </c>
      <c r="B9">
        <v>12</v>
      </c>
      <c r="C9" t="s">
        <v>82</v>
      </c>
      <c r="D9" t="s">
        <v>45</v>
      </c>
      <c r="E9" t="s">
        <v>46</v>
      </c>
      <c r="F9" t="s">
        <v>56</v>
      </c>
      <c r="G9">
        <v>96.3</v>
      </c>
      <c r="H9">
        <v>91.9</v>
      </c>
      <c r="I9">
        <v>99.8</v>
      </c>
      <c r="J9">
        <v>74</v>
      </c>
      <c r="K9">
        <v>90.9</v>
      </c>
      <c r="L9">
        <v>66.2</v>
      </c>
      <c r="M9">
        <v>91.9</v>
      </c>
      <c r="N9">
        <v>100</v>
      </c>
      <c r="O9">
        <v>93</v>
      </c>
      <c r="P9">
        <v>90.3</v>
      </c>
      <c r="Q9">
        <v>16</v>
      </c>
      <c r="R9" t="s">
        <v>82</v>
      </c>
      <c r="S9">
        <v>91</v>
      </c>
      <c r="T9">
        <v>160</v>
      </c>
      <c r="U9">
        <v>87.7</v>
      </c>
      <c r="V9">
        <v>15</v>
      </c>
      <c r="W9">
        <v>89.7</v>
      </c>
      <c r="X9">
        <v>21</v>
      </c>
      <c r="Y9">
        <v>97.6</v>
      </c>
      <c r="Z9">
        <v>23</v>
      </c>
      <c r="AA9">
        <v>97.7</v>
      </c>
      <c r="AB9">
        <v>90</v>
      </c>
      <c r="AC9">
        <v>78.8</v>
      </c>
      <c r="AD9">
        <v>268</v>
      </c>
      <c r="AE9" t="s">
        <v>49</v>
      </c>
      <c r="AF9">
        <v>0</v>
      </c>
      <c r="AG9" t="s">
        <v>83</v>
      </c>
      <c r="AH9">
        <v>480</v>
      </c>
      <c r="AI9" t="s">
        <v>46</v>
      </c>
      <c r="AJ9" s="1">
        <v>21312</v>
      </c>
      <c r="AK9">
        <v>6.2</v>
      </c>
      <c r="AL9" s="2">
        <v>0.22</v>
      </c>
      <c r="AM9" s="3">
        <v>2.2819444444444446</v>
      </c>
      <c r="AN9" t="s">
        <v>82</v>
      </c>
      <c r="AO9" t="s">
        <v>84</v>
      </c>
      <c r="AP9" t="b">
        <v>0</v>
      </c>
      <c r="AQ9" t="b">
        <v>0</v>
      </c>
      <c r="AR9" t="b">
        <v>0</v>
      </c>
      <c r="AS9" t="s">
        <v>85</v>
      </c>
    </row>
    <row r="10" spans="1:45" x14ac:dyDescent="0.3">
      <c r="A10">
        <v>13</v>
      </c>
      <c r="B10">
        <v>14</v>
      </c>
      <c r="C10" t="s">
        <v>86</v>
      </c>
      <c r="D10" t="s">
        <v>87</v>
      </c>
      <c r="E10" t="s">
        <v>88</v>
      </c>
      <c r="F10" t="s">
        <v>77</v>
      </c>
      <c r="G10">
        <v>98.5</v>
      </c>
      <c r="H10">
        <v>93.9</v>
      </c>
      <c r="I10">
        <v>15.4</v>
      </c>
      <c r="J10">
        <v>93</v>
      </c>
      <c r="K10">
        <v>95.1</v>
      </c>
      <c r="L10">
        <v>99.8</v>
      </c>
      <c r="M10">
        <v>97.4</v>
      </c>
      <c r="N10">
        <v>96.5</v>
      </c>
      <c r="O10">
        <v>99.6</v>
      </c>
      <c r="P10">
        <v>88.9</v>
      </c>
      <c r="Q10">
        <v>37</v>
      </c>
      <c r="R10" t="s">
        <v>89</v>
      </c>
      <c r="S10">
        <v>79.2</v>
      </c>
      <c r="T10">
        <v>370</v>
      </c>
      <c r="U10">
        <v>64.8</v>
      </c>
      <c r="V10">
        <v>57</v>
      </c>
      <c r="W10">
        <v>76.400000000000006</v>
      </c>
      <c r="X10">
        <v>40</v>
      </c>
      <c r="Y10">
        <v>90.1</v>
      </c>
      <c r="Z10">
        <v>126</v>
      </c>
      <c r="AA10">
        <v>98.3</v>
      </c>
      <c r="AB10">
        <v>84</v>
      </c>
      <c r="AC10">
        <v>92.7</v>
      </c>
      <c r="AD10">
        <v>90</v>
      </c>
      <c r="AE10" t="s">
        <v>57</v>
      </c>
      <c r="AF10">
        <v>0</v>
      </c>
      <c r="AG10" t="s">
        <v>90</v>
      </c>
      <c r="AH10">
        <v>501</v>
      </c>
      <c r="AI10" t="s">
        <v>88</v>
      </c>
      <c r="AJ10" s="1">
        <v>51307</v>
      </c>
      <c r="AK10">
        <v>25.1</v>
      </c>
      <c r="AL10" s="2">
        <v>0.47</v>
      </c>
      <c r="AM10" s="3">
        <v>2.4458333333333333</v>
      </c>
      <c r="AN10" t="s">
        <v>91</v>
      </c>
      <c r="AO10" t="s">
        <v>92</v>
      </c>
      <c r="AP10" t="b">
        <v>0</v>
      </c>
      <c r="AQ10" t="b">
        <v>0</v>
      </c>
      <c r="AR10" t="b">
        <v>0</v>
      </c>
      <c r="AS10" t="s">
        <v>93</v>
      </c>
    </row>
    <row r="11" spans="1:45" x14ac:dyDescent="0.3">
      <c r="A11">
        <v>14</v>
      </c>
      <c r="B11">
        <v>17</v>
      </c>
      <c r="C11" t="s">
        <v>94</v>
      </c>
      <c r="D11" t="s">
        <v>95</v>
      </c>
      <c r="E11" t="s">
        <v>96</v>
      </c>
      <c r="F11" t="s">
        <v>77</v>
      </c>
      <c r="G11">
        <v>99.5</v>
      </c>
      <c r="H11">
        <v>96.6</v>
      </c>
      <c r="I11">
        <v>92.6</v>
      </c>
      <c r="J11">
        <v>97.7</v>
      </c>
      <c r="K11">
        <v>50.3</v>
      </c>
      <c r="L11">
        <v>23.6</v>
      </c>
      <c r="M11">
        <v>79.8</v>
      </c>
      <c r="N11">
        <v>94.2</v>
      </c>
      <c r="O11">
        <v>46.9</v>
      </c>
      <c r="P11">
        <v>88.5</v>
      </c>
      <c r="Q11">
        <v>14</v>
      </c>
      <c r="R11" t="s">
        <v>94</v>
      </c>
      <c r="S11">
        <v>91.8</v>
      </c>
      <c r="T11">
        <v>140</v>
      </c>
      <c r="U11">
        <v>95.6</v>
      </c>
      <c r="V11">
        <v>8</v>
      </c>
      <c r="W11">
        <v>97.3</v>
      </c>
      <c r="X11">
        <v>9</v>
      </c>
      <c r="Y11">
        <v>87.2</v>
      </c>
      <c r="Z11">
        <v>172</v>
      </c>
      <c r="AA11">
        <v>98.8</v>
      </c>
      <c r="AB11">
        <v>72</v>
      </c>
      <c r="AC11">
        <v>70.2</v>
      </c>
      <c r="AD11">
        <v>404</v>
      </c>
      <c r="AE11" t="s">
        <v>57</v>
      </c>
      <c r="AF11">
        <v>0</v>
      </c>
      <c r="AG11" t="s">
        <v>97</v>
      </c>
      <c r="AH11">
        <v>514</v>
      </c>
      <c r="AI11" t="s">
        <v>98</v>
      </c>
      <c r="AJ11" s="1">
        <v>33064</v>
      </c>
      <c r="AK11">
        <v>10.9</v>
      </c>
      <c r="AL11" s="2">
        <v>0.14000000000000001</v>
      </c>
      <c r="AN11" t="s">
        <v>94</v>
      </c>
      <c r="AO11" t="s">
        <v>99</v>
      </c>
      <c r="AP11" t="b">
        <v>0</v>
      </c>
      <c r="AQ11" t="b">
        <v>0</v>
      </c>
      <c r="AR11" t="b">
        <v>0</v>
      </c>
    </row>
    <row r="12" spans="1:45" x14ac:dyDescent="0.3">
      <c r="A12">
        <v>15</v>
      </c>
      <c r="B12">
        <v>26</v>
      </c>
      <c r="C12" t="s">
        <v>100</v>
      </c>
      <c r="D12" t="s">
        <v>101</v>
      </c>
      <c r="E12" t="s">
        <v>102</v>
      </c>
      <c r="F12" t="s">
        <v>56</v>
      </c>
      <c r="G12">
        <v>91.9</v>
      </c>
      <c r="H12">
        <v>73.3</v>
      </c>
      <c r="I12">
        <v>80.599999999999994</v>
      </c>
      <c r="J12">
        <v>92.4</v>
      </c>
      <c r="K12">
        <v>100</v>
      </c>
      <c r="L12">
        <v>83.5</v>
      </c>
      <c r="M12">
        <v>89.4</v>
      </c>
      <c r="N12">
        <v>83.9</v>
      </c>
      <c r="O12">
        <v>95.6</v>
      </c>
      <c r="P12">
        <v>88.4</v>
      </c>
      <c r="Q12">
        <v>32</v>
      </c>
      <c r="R12" t="s">
        <v>103</v>
      </c>
      <c r="S12">
        <v>82.3</v>
      </c>
      <c r="T12">
        <v>320</v>
      </c>
      <c r="U12">
        <v>66.2</v>
      </c>
      <c r="V12">
        <v>52</v>
      </c>
      <c r="W12">
        <v>80.900000000000006</v>
      </c>
      <c r="X12">
        <v>32</v>
      </c>
      <c r="Y12">
        <v>94.5</v>
      </c>
      <c r="Z12">
        <v>54</v>
      </c>
      <c r="AA12">
        <v>99.7</v>
      </c>
      <c r="AB12">
        <v>49</v>
      </c>
      <c r="AC12">
        <v>93.3</v>
      </c>
      <c r="AD12">
        <v>78</v>
      </c>
      <c r="AE12" t="s">
        <v>57</v>
      </c>
      <c r="AF12">
        <v>0</v>
      </c>
      <c r="AG12" t="s">
        <v>104</v>
      </c>
      <c r="AH12">
        <v>634</v>
      </c>
      <c r="AI12" t="s">
        <v>102</v>
      </c>
      <c r="AJ12" s="1">
        <v>25895</v>
      </c>
      <c r="AK12">
        <v>16.7</v>
      </c>
      <c r="AL12" s="2">
        <v>0.27</v>
      </c>
      <c r="AM12" s="3">
        <v>2.0770833333333334</v>
      </c>
      <c r="AN12" t="s">
        <v>105</v>
      </c>
      <c r="AO12" t="s">
        <v>106</v>
      </c>
      <c r="AP12" t="b">
        <v>0</v>
      </c>
      <c r="AQ12" t="b">
        <v>0</v>
      </c>
      <c r="AR12" t="b">
        <v>0</v>
      </c>
    </row>
    <row r="13" spans="1:45" x14ac:dyDescent="0.3">
      <c r="A13">
        <v>16</v>
      </c>
      <c r="B13">
        <v>13</v>
      </c>
      <c r="C13" t="s">
        <v>107</v>
      </c>
      <c r="D13" t="s">
        <v>45</v>
      </c>
      <c r="E13" t="s">
        <v>46</v>
      </c>
      <c r="F13" t="s">
        <v>56</v>
      </c>
      <c r="G13">
        <v>98.3</v>
      </c>
      <c r="H13">
        <v>93.1</v>
      </c>
      <c r="I13">
        <v>52.7</v>
      </c>
      <c r="J13">
        <v>97.5</v>
      </c>
      <c r="K13">
        <v>54.2</v>
      </c>
      <c r="L13">
        <v>63.4</v>
      </c>
      <c r="M13">
        <v>94</v>
      </c>
      <c r="N13">
        <v>97.1</v>
      </c>
      <c r="O13">
        <v>72.099999999999994</v>
      </c>
      <c r="P13">
        <v>87.9</v>
      </c>
      <c r="Q13">
        <v>20</v>
      </c>
      <c r="R13" t="s">
        <v>107</v>
      </c>
      <c r="S13">
        <v>89.5</v>
      </c>
      <c r="T13">
        <v>200</v>
      </c>
      <c r="U13">
        <v>85.7</v>
      </c>
      <c r="V13">
        <v>20</v>
      </c>
      <c r="W13">
        <v>88.7</v>
      </c>
      <c r="X13">
        <v>22</v>
      </c>
      <c r="Y13">
        <v>97.6</v>
      </c>
      <c r="Z13">
        <v>22</v>
      </c>
      <c r="AA13">
        <v>69.400000000000006</v>
      </c>
      <c r="AB13">
        <v>447</v>
      </c>
      <c r="AC13">
        <v>86</v>
      </c>
      <c r="AD13">
        <v>175</v>
      </c>
      <c r="AE13" t="s">
        <v>49</v>
      </c>
      <c r="AF13">
        <v>0</v>
      </c>
      <c r="AG13" t="s">
        <v>108</v>
      </c>
      <c r="AH13">
        <v>484</v>
      </c>
      <c r="AI13" t="s">
        <v>46</v>
      </c>
      <c r="AJ13" s="1">
        <v>23620</v>
      </c>
      <c r="AK13">
        <v>10</v>
      </c>
      <c r="AL13" s="2">
        <v>0.24</v>
      </c>
      <c r="AM13" s="3">
        <v>2.1590277777777778</v>
      </c>
      <c r="AN13" t="s">
        <v>107</v>
      </c>
      <c r="AO13" t="s">
        <v>109</v>
      </c>
      <c r="AP13" t="b">
        <v>0</v>
      </c>
      <c r="AQ13" t="b">
        <v>0</v>
      </c>
      <c r="AR13" t="b">
        <v>0</v>
      </c>
      <c r="AS13" t="s">
        <v>110</v>
      </c>
    </row>
    <row r="14" spans="1:45" x14ac:dyDescent="0.3">
      <c r="A14">
        <v>17</v>
      </c>
      <c r="B14">
        <v>26</v>
      </c>
      <c r="C14" t="s">
        <v>111</v>
      </c>
      <c r="D14" t="s">
        <v>112</v>
      </c>
      <c r="E14" t="s">
        <v>113</v>
      </c>
      <c r="F14" t="s">
        <v>56</v>
      </c>
      <c r="G14">
        <v>97.4</v>
      </c>
      <c r="H14">
        <v>59.4</v>
      </c>
      <c r="I14">
        <v>81.2</v>
      </c>
      <c r="J14">
        <v>86.4</v>
      </c>
      <c r="K14">
        <v>100</v>
      </c>
      <c r="L14">
        <v>99.3</v>
      </c>
      <c r="M14">
        <v>81.400000000000006</v>
      </c>
      <c r="N14">
        <v>99.7</v>
      </c>
      <c r="O14">
        <v>89.2</v>
      </c>
      <c r="P14">
        <v>87.6</v>
      </c>
      <c r="Q14">
        <v>35</v>
      </c>
      <c r="R14" t="s">
        <v>114</v>
      </c>
      <c r="S14">
        <v>80.3</v>
      </c>
      <c r="T14">
        <v>350</v>
      </c>
      <c r="U14">
        <v>65.599999999999994</v>
      </c>
      <c r="V14">
        <v>55</v>
      </c>
      <c r="W14">
        <v>72.3</v>
      </c>
      <c r="X14">
        <v>52</v>
      </c>
      <c r="Y14">
        <v>96.4</v>
      </c>
      <c r="Z14">
        <v>35</v>
      </c>
      <c r="AA14">
        <v>95.2</v>
      </c>
      <c r="AB14">
        <v>116</v>
      </c>
      <c r="AC14">
        <v>96.8</v>
      </c>
      <c r="AD14">
        <v>23</v>
      </c>
      <c r="AE14" t="s">
        <v>57</v>
      </c>
      <c r="AF14">
        <v>11</v>
      </c>
      <c r="AG14" t="s">
        <v>115</v>
      </c>
      <c r="AH14">
        <v>498</v>
      </c>
      <c r="AI14" t="s">
        <v>116</v>
      </c>
      <c r="AJ14" s="1">
        <v>18103</v>
      </c>
      <c r="AK14">
        <v>18.3</v>
      </c>
      <c r="AL14" s="2">
        <v>0.43</v>
      </c>
      <c r="AM14" s="3">
        <v>2.3229166666666665</v>
      </c>
      <c r="AN14" t="s">
        <v>114</v>
      </c>
      <c r="AO14" t="s">
        <v>117</v>
      </c>
      <c r="AP14" t="b">
        <v>0</v>
      </c>
      <c r="AQ14" t="b">
        <v>0</v>
      </c>
      <c r="AR14" t="b">
        <v>0</v>
      </c>
    </row>
    <row r="15" spans="1:45" x14ac:dyDescent="0.3">
      <c r="A15">
        <v>18</v>
      </c>
      <c r="B15">
        <v>19</v>
      </c>
      <c r="C15" t="s">
        <v>118</v>
      </c>
      <c r="D15" t="s">
        <v>87</v>
      </c>
      <c r="E15" t="s">
        <v>88</v>
      </c>
      <c r="F15" t="s">
        <v>77</v>
      </c>
      <c r="G15">
        <v>96.4</v>
      </c>
      <c r="H15">
        <v>90</v>
      </c>
      <c r="I15">
        <v>10.9</v>
      </c>
      <c r="J15">
        <v>93.7</v>
      </c>
      <c r="K15">
        <v>99.9</v>
      </c>
      <c r="L15">
        <v>100</v>
      </c>
      <c r="M15">
        <v>95.8</v>
      </c>
      <c r="N15">
        <v>93.1</v>
      </c>
      <c r="O15">
        <v>99.6</v>
      </c>
      <c r="P15">
        <v>87.3</v>
      </c>
      <c r="Q15">
        <v>60</v>
      </c>
      <c r="R15" t="s">
        <v>118</v>
      </c>
      <c r="S15">
        <v>73.8</v>
      </c>
      <c r="T15">
        <v>600</v>
      </c>
      <c r="U15">
        <v>52.6</v>
      </c>
      <c r="V15">
        <v>115</v>
      </c>
      <c r="W15">
        <v>68.900000000000006</v>
      </c>
      <c r="X15">
        <v>54</v>
      </c>
      <c r="Y15">
        <v>92</v>
      </c>
      <c r="Z15">
        <v>93</v>
      </c>
      <c r="AA15">
        <v>97.7</v>
      </c>
      <c r="AB15">
        <v>91</v>
      </c>
      <c r="AC15">
        <v>90.2</v>
      </c>
      <c r="AD15">
        <v>126</v>
      </c>
      <c r="AE15" t="s">
        <v>57</v>
      </c>
      <c r="AF15">
        <v>1</v>
      </c>
      <c r="AG15" t="s">
        <v>119</v>
      </c>
      <c r="AH15">
        <v>522</v>
      </c>
      <c r="AI15" t="s">
        <v>88</v>
      </c>
      <c r="AJ15" s="1">
        <v>57414</v>
      </c>
      <c r="AK15">
        <v>23.1</v>
      </c>
      <c r="AL15" s="2">
        <v>0.51</v>
      </c>
      <c r="AM15" s="3">
        <v>2.4458333333333333</v>
      </c>
      <c r="AN15" t="s">
        <v>120</v>
      </c>
      <c r="AO15" t="s">
        <v>121</v>
      </c>
      <c r="AP15" t="b">
        <v>0</v>
      </c>
      <c r="AQ15" t="b">
        <v>0</v>
      </c>
      <c r="AR15" t="b">
        <v>0</v>
      </c>
    </row>
    <row r="16" spans="1:45" x14ac:dyDescent="0.3">
      <c r="A16">
        <v>20</v>
      </c>
      <c r="B16">
        <v>25</v>
      </c>
      <c r="C16" t="s">
        <v>122</v>
      </c>
      <c r="D16" t="s">
        <v>95</v>
      </c>
      <c r="E16" t="s">
        <v>96</v>
      </c>
      <c r="F16" t="s">
        <v>77</v>
      </c>
      <c r="G16">
        <v>99.2</v>
      </c>
      <c r="H16">
        <v>97.7</v>
      </c>
      <c r="I16">
        <v>95</v>
      </c>
      <c r="J16">
        <v>99.1</v>
      </c>
      <c r="K16">
        <v>18.100000000000001</v>
      </c>
      <c r="L16">
        <v>13.4</v>
      </c>
      <c r="M16">
        <v>79.2</v>
      </c>
      <c r="N16">
        <v>92.3</v>
      </c>
      <c r="O16">
        <v>40.4</v>
      </c>
      <c r="P16">
        <v>86.5</v>
      </c>
      <c r="Q16">
        <v>12</v>
      </c>
      <c r="R16" t="s">
        <v>122</v>
      </c>
      <c r="S16">
        <v>92.4</v>
      </c>
      <c r="T16">
        <v>120</v>
      </c>
      <c r="U16">
        <v>95.3</v>
      </c>
      <c r="V16">
        <v>9</v>
      </c>
      <c r="W16">
        <v>98.1</v>
      </c>
      <c r="X16">
        <v>5</v>
      </c>
      <c r="Y16">
        <v>93.2</v>
      </c>
      <c r="Z16">
        <v>73</v>
      </c>
      <c r="AA16">
        <v>99.9</v>
      </c>
      <c r="AB16">
        <v>38</v>
      </c>
      <c r="AC16">
        <v>51.7</v>
      </c>
      <c r="AD16">
        <v>750</v>
      </c>
      <c r="AE16" t="s">
        <v>57</v>
      </c>
      <c r="AF16">
        <v>0</v>
      </c>
      <c r="AG16" t="s">
        <v>123</v>
      </c>
      <c r="AH16">
        <v>535</v>
      </c>
      <c r="AI16" t="s">
        <v>98</v>
      </c>
      <c r="AJ16" s="1">
        <v>38518</v>
      </c>
      <c r="AK16">
        <v>11.2</v>
      </c>
      <c r="AL16" s="2">
        <v>0.1</v>
      </c>
      <c r="AN16" t="s">
        <v>124</v>
      </c>
      <c r="AO16" t="s">
        <v>125</v>
      </c>
      <c r="AP16" t="b">
        <v>0</v>
      </c>
      <c r="AQ16" t="b">
        <v>0</v>
      </c>
      <c r="AR16" t="b">
        <v>0</v>
      </c>
    </row>
    <row r="17" spans="1:45" x14ac:dyDescent="0.3">
      <c r="A17">
        <v>21</v>
      </c>
      <c r="B17">
        <v>11</v>
      </c>
      <c r="C17" t="s">
        <v>126</v>
      </c>
      <c r="D17" t="s">
        <v>45</v>
      </c>
      <c r="E17" t="s">
        <v>46</v>
      </c>
      <c r="F17" t="s">
        <v>56</v>
      </c>
      <c r="G17">
        <v>99.1</v>
      </c>
      <c r="H17">
        <v>96.4</v>
      </c>
      <c r="I17">
        <v>94.2</v>
      </c>
      <c r="J17">
        <v>60.8</v>
      </c>
      <c r="K17">
        <v>79</v>
      </c>
      <c r="L17">
        <v>87</v>
      </c>
      <c r="M17">
        <v>85.1</v>
      </c>
      <c r="N17">
        <v>99.1</v>
      </c>
      <c r="O17">
        <v>46.9</v>
      </c>
      <c r="P17">
        <v>86.2</v>
      </c>
      <c r="Q17">
        <v>13</v>
      </c>
      <c r="R17" t="s">
        <v>127</v>
      </c>
      <c r="S17">
        <v>92.1</v>
      </c>
      <c r="T17">
        <v>130</v>
      </c>
      <c r="U17">
        <v>89.6</v>
      </c>
      <c r="V17">
        <v>13</v>
      </c>
      <c r="W17">
        <v>91.2</v>
      </c>
      <c r="X17">
        <v>19</v>
      </c>
      <c r="Y17">
        <v>97.6</v>
      </c>
      <c r="Z17">
        <v>20</v>
      </c>
      <c r="AA17">
        <v>93.8</v>
      </c>
      <c r="AB17">
        <v>129</v>
      </c>
      <c r="AC17">
        <v>82.3</v>
      </c>
      <c r="AD17">
        <v>219</v>
      </c>
      <c r="AE17" t="s">
        <v>49</v>
      </c>
      <c r="AF17">
        <v>0</v>
      </c>
      <c r="AG17" t="s">
        <v>128</v>
      </c>
      <c r="AH17">
        <v>473</v>
      </c>
      <c r="AI17" t="s">
        <v>46</v>
      </c>
      <c r="AJ17" s="1">
        <v>15792</v>
      </c>
      <c r="AK17">
        <v>6.2</v>
      </c>
      <c r="AL17" s="2">
        <v>0.36</v>
      </c>
      <c r="AM17" s="3">
        <v>1.9951388888888888</v>
      </c>
      <c r="AN17" t="s">
        <v>127</v>
      </c>
      <c r="AO17" t="s">
        <v>129</v>
      </c>
      <c r="AP17" t="b">
        <v>0</v>
      </c>
      <c r="AQ17" t="b">
        <v>0</v>
      </c>
      <c r="AR17" t="b">
        <v>0</v>
      </c>
    </row>
    <row r="18" spans="1:45" x14ac:dyDescent="0.3">
      <c r="A18">
        <v>22</v>
      </c>
      <c r="B18">
        <v>17</v>
      </c>
      <c r="C18" t="s">
        <v>130</v>
      </c>
      <c r="D18" t="s">
        <v>45</v>
      </c>
      <c r="E18" t="s">
        <v>46</v>
      </c>
      <c r="F18" t="s">
        <v>47</v>
      </c>
      <c r="G18">
        <v>99.8</v>
      </c>
      <c r="H18">
        <v>98.3</v>
      </c>
      <c r="I18">
        <v>57</v>
      </c>
      <c r="J18">
        <v>100</v>
      </c>
      <c r="K18">
        <v>9.6</v>
      </c>
      <c r="L18">
        <v>56.6</v>
      </c>
      <c r="M18">
        <v>78.3</v>
      </c>
      <c r="N18">
        <v>95.7</v>
      </c>
      <c r="O18">
        <v>51.5</v>
      </c>
      <c r="P18">
        <v>85.5</v>
      </c>
      <c r="Q18">
        <v>6</v>
      </c>
      <c r="R18" t="s">
        <v>130</v>
      </c>
      <c r="S18">
        <v>96.9</v>
      </c>
      <c r="T18">
        <v>60</v>
      </c>
      <c r="U18">
        <v>96.3</v>
      </c>
      <c r="V18">
        <v>6</v>
      </c>
      <c r="W18">
        <v>97.9</v>
      </c>
      <c r="X18">
        <v>7</v>
      </c>
      <c r="Y18">
        <v>98.8</v>
      </c>
      <c r="Z18">
        <v>7</v>
      </c>
      <c r="AA18">
        <v>95.1</v>
      </c>
      <c r="AB18">
        <v>118</v>
      </c>
      <c r="AC18">
        <v>89.1</v>
      </c>
      <c r="AD18">
        <v>135</v>
      </c>
      <c r="AE18" t="s">
        <v>49</v>
      </c>
      <c r="AF18">
        <v>0</v>
      </c>
      <c r="AG18" t="s">
        <v>131</v>
      </c>
      <c r="AH18">
        <v>469</v>
      </c>
      <c r="AI18" t="s">
        <v>46</v>
      </c>
      <c r="AJ18" s="1">
        <v>7753</v>
      </c>
      <c r="AK18">
        <v>7.3</v>
      </c>
      <c r="AL18" s="2">
        <v>0.23</v>
      </c>
      <c r="AM18" s="3">
        <v>1.9951388888888888</v>
      </c>
      <c r="AN18" t="s">
        <v>130</v>
      </c>
      <c r="AO18" t="s">
        <v>132</v>
      </c>
      <c r="AP18" t="b">
        <v>0</v>
      </c>
      <c r="AQ18" t="b">
        <v>0</v>
      </c>
      <c r="AR18" t="b">
        <v>0</v>
      </c>
      <c r="AS18" t="s">
        <v>133</v>
      </c>
    </row>
    <row r="19" spans="1:45" x14ac:dyDescent="0.3">
      <c r="A19">
        <v>23</v>
      </c>
      <c r="B19">
        <v>16</v>
      </c>
      <c r="C19" t="s">
        <v>134</v>
      </c>
      <c r="D19" t="s">
        <v>45</v>
      </c>
      <c r="E19" t="s">
        <v>46</v>
      </c>
      <c r="F19" t="s">
        <v>56</v>
      </c>
      <c r="G19">
        <v>99.9</v>
      </c>
      <c r="H19">
        <v>99.9</v>
      </c>
      <c r="I19">
        <v>100</v>
      </c>
      <c r="J19">
        <v>38.6</v>
      </c>
      <c r="K19">
        <v>91.5</v>
      </c>
      <c r="L19">
        <v>63.3</v>
      </c>
      <c r="M19">
        <v>93.9</v>
      </c>
      <c r="N19">
        <v>98.5</v>
      </c>
      <c r="O19">
        <v>92.2</v>
      </c>
      <c r="P19">
        <v>85.2</v>
      </c>
      <c r="Q19">
        <v>10</v>
      </c>
      <c r="R19" t="s">
        <v>134</v>
      </c>
      <c r="S19">
        <v>94.2</v>
      </c>
      <c r="T19">
        <v>100</v>
      </c>
      <c r="U19">
        <v>94</v>
      </c>
      <c r="V19">
        <v>10</v>
      </c>
      <c r="W19">
        <v>94.9</v>
      </c>
      <c r="X19">
        <v>13</v>
      </c>
      <c r="Y19">
        <v>97.7</v>
      </c>
      <c r="Z19">
        <v>18</v>
      </c>
      <c r="AA19">
        <v>86.5</v>
      </c>
      <c r="AB19">
        <v>192</v>
      </c>
      <c r="AC19">
        <v>82.4</v>
      </c>
      <c r="AD19">
        <v>216</v>
      </c>
      <c r="AE19" t="s">
        <v>49</v>
      </c>
      <c r="AF19">
        <v>0</v>
      </c>
      <c r="AG19" t="s">
        <v>135</v>
      </c>
      <c r="AH19">
        <v>475</v>
      </c>
      <c r="AI19" t="s">
        <v>46</v>
      </c>
      <c r="AJ19" s="1">
        <v>11924</v>
      </c>
      <c r="AK19">
        <v>5.2</v>
      </c>
      <c r="AL19" s="2">
        <v>0.21</v>
      </c>
      <c r="AM19" s="3">
        <v>2.1590277777777778</v>
      </c>
      <c r="AN19" t="s">
        <v>134</v>
      </c>
      <c r="AO19" t="s">
        <v>136</v>
      </c>
      <c r="AP19" t="b">
        <v>0</v>
      </c>
      <c r="AQ19" t="b">
        <v>0</v>
      </c>
      <c r="AR19" t="b">
        <v>0</v>
      </c>
      <c r="AS19" t="s">
        <v>137</v>
      </c>
    </row>
    <row r="20" spans="1:45" x14ac:dyDescent="0.3">
      <c r="A20">
        <v>25</v>
      </c>
      <c r="B20">
        <v>21</v>
      </c>
      <c r="C20" t="s">
        <v>138</v>
      </c>
      <c r="D20" t="s">
        <v>139</v>
      </c>
      <c r="E20" t="s">
        <v>140</v>
      </c>
      <c r="F20" t="s">
        <v>77</v>
      </c>
      <c r="G20">
        <v>99.7</v>
      </c>
      <c r="H20">
        <v>96.9</v>
      </c>
      <c r="I20">
        <v>44.9</v>
      </c>
      <c r="J20">
        <v>50.8</v>
      </c>
      <c r="K20">
        <v>96.9</v>
      </c>
      <c r="L20">
        <v>96.1</v>
      </c>
      <c r="M20">
        <v>97.7</v>
      </c>
      <c r="N20">
        <v>98.7</v>
      </c>
      <c r="O20">
        <v>100</v>
      </c>
      <c r="P20">
        <v>84.1</v>
      </c>
      <c r="Q20">
        <v>21</v>
      </c>
      <c r="R20" t="s">
        <v>138</v>
      </c>
      <c r="S20">
        <v>88.6</v>
      </c>
      <c r="T20">
        <v>210</v>
      </c>
      <c r="U20">
        <v>77.5</v>
      </c>
      <c r="V20">
        <v>28</v>
      </c>
      <c r="W20">
        <v>94.1</v>
      </c>
      <c r="X20">
        <v>15</v>
      </c>
      <c r="Y20">
        <v>92.8</v>
      </c>
      <c r="Z20">
        <v>81</v>
      </c>
      <c r="AA20">
        <v>96.1</v>
      </c>
      <c r="AB20">
        <v>103</v>
      </c>
      <c r="AC20">
        <v>90.7</v>
      </c>
      <c r="AD20">
        <v>122</v>
      </c>
      <c r="AE20" t="s">
        <v>57</v>
      </c>
      <c r="AF20">
        <v>0</v>
      </c>
      <c r="AG20" t="s">
        <v>141</v>
      </c>
      <c r="AH20">
        <v>483</v>
      </c>
      <c r="AI20" t="s">
        <v>140</v>
      </c>
      <c r="AJ20" s="1">
        <v>79282</v>
      </c>
      <c r="AK20">
        <v>25.8</v>
      </c>
      <c r="AL20" s="2">
        <v>0.27</v>
      </c>
      <c r="AM20" s="3">
        <v>2.3638888888888889</v>
      </c>
      <c r="AN20" t="s">
        <v>138</v>
      </c>
      <c r="AO20" t="s">
        <v>142</v>
      </c>
      <c r="AP20" t="b">
        <v>0</v>
      </c>
      <c r="AQ20" t="b">
        <v>0</v>
      </c>
      <c r="AR20" t="b">
        <v>0</v>
      </c>
      <c r="AS20" t="s">
        <v>143</v>
      </c>
    </row>
    <row r="21" spans="1:45" x14ac:dyDescent="0.3">
      <c r="A21">
        <v>27</v>
      </c>
      <c r="B21">
        <v>22</v>
      </c>
      <c r="C21" t="s">
        <v>144</v>
      </c>
      <c r="D21" t="s">
        <v>54</v>
      </c>
      <c r="E21" t="s">
        <v>55</v>
      </c>
      <c r="F21" t="s">
        <v>77</v>
      </c>
      <c r="G21">
        <v>98.3</v>
      </c>
      <c r="H21">
        <v>97.2</v>
      </c>
      <c r="I21">
        <v>65.5</v>
      </c>
      <c r="J21">
        <v>47.7</v>
      </c>
      <c r="K21">
        <v>98.7</v>
      </c>
      <c r="L21">
        <v>99.8</v>
      </c>
      <c r="M21">
        <v>99.5</v>
      </c>
      <c r="N21">
        <v>55.9</v>
      </c>
      <c r="O21">
        <v>99</v>
      </c>
      <c r="P21">
        <v>83.3</v>
      </c>
      <c r="Q21">
        <f>30</f>
        <v>30</v>
      </c>
      <c r="R21" t="s">
        <v>145</v>
      </c>
      <c r="S21">
        <v>82.5</v>
      </c>
      <c r="T21">
        <v>300</v>
      </c>
      <c r="U21">
        <v>70.7</v>
      </c>
      <c r="V21">
        <v>41</v>
      </c>
      <c r="W21">
        <v>77.5</v>
      </c>
      <c r="X21">
        <v>37</v>
      </c>
      <c r="Y21">
        <v>96.9</v>
      </c>
      <c r="Z21">
        <v>30</v>
      </c>
      <c r="AA21">
        <v>71.099999999999994</v>
      </c>
      <c r="AB21">
        <v>404</v>
      </c>
      <c r="AC21">
        <v>97</v>
      </c>
      <c r="AD21">
        <v>22</v>
      </c>
      <c r="AE21" t="s">
        <v>57</v>
      </c>
      <c r="AF21">
        <v>0</v>
      </c>
      <c r="AG21" t="s">
        <v>146</v>
      </c>
      <c r="AH21">
        <v>500</v>
      </c>
      <c r="AI21" t="s">
        <v>55</v>
      </c>
      <c r="AJ21" s="1">
        <v>33940</v>
      </c>
      <c r="AK21">
        <v>11.5</v>
      </c>
      <c r="AL21" s="2">
        <v>0.46</v>
      </c>
      <c r="AM21" s="3">
        <v>2.5687500000000001</v>
      </c>
      <c r="AN21" t="s">
        <v>145</v>
      </c>
      <c r="AO21" t="s">
        <v>147</v>
      </c>
      <c r="AP21" t="b">
        <v>0</v>
      </c>
      <c r="AQ21" t="b">
        <v>0</v>
      </c>
      <c r="AR21" t="b">
        <v>0</v>
      </c>
      <c r="AS21" t="s">
        <v>148</v>
      </c>
    </row>
    <row r="22" spans="1:45" x14ac:dyDescent="0.3">
      <c r="A22">
        <v>28</v>
      </c>
      <c r="B22">
        <v>37</v>
      </c>
      <c r="C22" t="s">
        <v>149</v>
      </c>
      <c r="D22" t="s">
        <v>150</v>
      </c>
      <c r="E22" t="s">
        <v>151</v>
      </c>
      <c r="F22" t="s">
        <v>77</v>
      </c>
      <c r="G22">
        <v>83</v>
      </c>
      <c r="H22">
        <v>98.6</v>
      </c>
      <c r="I22">
        <v>76.8</v>
      </c>
      <c r="J22">
        <v>75.900000000000006</v>
      </c>
      <c r="K22">
        <v>80.400000000000006</v>
      </c>
      <c r="L22">
        <v>98.6</v>
      </c>
      <c r="M22">
        <v>95.6</v>
      </c>
      <c r="N22">
        <v>34.5</v>
      </c>
      <c r="O22">
        <v>93.1</v>
      </c>
      <c r="P22">
        <v>83.2</v>
      </c>
      <c r="Q22">
        <f>30</f>
        <v>30</v>
      </c>
      <c r="R22" t="s">
        <v>149</v>
      </c>
      <c r="S22">
        <v>82.5</v>
      </c>
      <c r="T22">
        <v>310</v>
      </c>
      <c r="U22">
        <v>69.8</v>
      </c>
      <c r="V22">
        <v>44</v>
      </c>
      <c r="W22">
        <v>85.1</v>
      </c>
      <c r="X22">
        <v>25</v>
      </c>
      <c r="Y22">
        <v>90</v>
      </c>
      <c r="Z22">
        <v>128</v>
      </c>
      <c r="AA22">
        <v>100</v>
      </c>
      <c r="AB22">
        <v>26</v>
      </c>
      <c r="AC22">
        <v>83.1</v>
      </c>
      <c r="AD22">
        <v>208</v>
      </c>
      <c r="AE22" t="s">
        <v>57</v>
      </c>
      <c r="AF22">
        <v>6</v>
      </c>
      <c r="AG22" t="s">
        <v>152</v>
      </c>
      <c r="AH22">
        <v>552</v>
      </c>
      <c r="AI22" t="s">
        <v>151</v>
      </c>
      <c r="AJ22" s="1">
        <v>35506</v>
      </c>
      <c r="AK22">
        <v>44.4</v>
      </c>
      <c r="AL22" s="2">
        <v>0.39</v>
      </c>
      <c r="AM22" t="s">
        <v>153</v>
      </c>
      <c r="AN22" t="s">
        <v>149</v>
      </c>
      <c r="AO22" t="s">
        <v>154</v>
      </c>
      <c r="AP22" t="b">
        <v>0</v>
      </c>
      <c r="AQ22" t="b">
        <v>0</v>
      </c>
      <c r="AR22" t="b">
        <v>0</v>
      </c>
    </row>
    <row r="23" spans="1:45" x14ac:dyDescent="0.3">
      <c r="A23">
        <v>29</v>
      </c>
      <c r="B23">
        <v>30</v>
      </c>
      <c r="C23" t="s">
        <v>155</v>
      </c>
      <c r="D23" t="s">
        <v>139</v>
      </c>
      <c r="E23" t="s">
        <v>140</v>
      </c>
      <c r="F23" t="s">
        <v>56</v>
      </c>
      <c r="G23">
        <v>94.3</v>
      </c>
      <c r="H23">
        <v>87.6</v>
      </c>
      <c r="I23">
        <v>62.3</v>
      </c>
      <c r="J23">
        <v>57.9</v>
      </c>
      <c r="K23">
        <v>83.7</v>
      </c>
      <c r="L23">
        <v>89.6</v>
      </c>
      <c r="M23">
        <v>94.2</v>
      </c>
      <c r="N23">
        <v>98.3</v>
      </c>
      <c r="O23">
        <v>99.1</v>
      </c>
      <c r="P23">
        <v>83</v>
      </c>
      <c r="Q23">
        <v>49</v>
      </c>
      <c r="R23" t="s">
        <v>155</v>
      </c>
      <c r="S23">
        <v>76</v>
      </c>
      <c r="T23">
        <v>490</v>
      </c>
      <c r="U23">
        <v>62.3</v>
      </c>
      <c r="V23">
        <v>68</v>
      </c>
      <c r="W23">
        <v>72.3</v>
      </c>
      <c r="X23">
        <v>53</v>
      </c>
      <c r="Y23">
        <v>88.8</v>
      </c>
      <c r="Z23">
        <v>141</v>
      </c>
      <c r="AA23">
        <v>76.099999999999994</v>
      </c>
      <c r="AB23">
        <v>315</v>
      </c>
      <c r="AC23">
        <v>92.5</v>
      </c>
      <c r="AD23">
        <v>93</v>
      </c>
      <c r="AE23" t="s">
        <v>57</v>
      </c>
      <c r="AF23">
        <v>11</v>
      </c>
      <c r="AG23" t="s">
        <v>156</v>
      </c>
      <c r="AH23">
        <v>492</v>
      </c>
      <c r="AI23" t="s">
        <v>140</v>
      </c>
      <c r="AJ23" s="1">
        <v>30821</v>
      </c>
      <c r="AK23">
        <v>11.9</v>
      </c>
      <c r="AL23" s="2">
        <v>0.28999999999999998</v>
      </c>
      <c r="AM23" s="3">
        <v>2.5687500000000001</v>
      </c>
      <c r="AN23" t="s">
        <v>155</v>
      </c>
      <c r="AO23" t="s">
        <v>157</v>
      </c>
      <c r="AP23" t="b">
        <v>0</v>
      </c>
      <c r="AQ23" t="b">
        <v>0</v>
      </c>
      <c r="AR23" t="b">
        <v>0</v>
      </c>
      <c r="AS23" t="s">
        <v>158</v>
      </c>
    </row>
    <row r="24" spans="1:45" x14ac:dyDescent="0.3">
      <c r="A24">
        <v>30</v>
      </c>
      <c r="B24">
        <v>34</v>
      </c>
      <c r="C24" t="s">
        <v>159</v>
      </c>
      <c r="D24" t="s">
        <v>87</v>
      </c>
      <c r="E24" t="s">
        <v>88</v>
      </c>
      <c r="F24" t="s">
        <v>56</v>
      </c>
      <c r="G24">
        <v>93.8</v>
      </c>
      <c r="H24">
        <v>75.400000000000006</v>
      </c>
      <c r="I24">
        <v>34.6</v>
      </c>
      <c r="J24">
        <v>84.6</v>
      </c>
      <c r="K24">
        <v>100</v>
      </c>
      <c r="L24">
        <v>96.2</v>
      </c>
      <c r="M24">
        <v>91.4</v>
      </c>
      <c r="N24">
        <v>56.6</v>
      </c>
      <c r="O24">
        <v>97.1</v>
      </c>
      <c r="P24">
        <v>82.4</v>
      </c>
      <c r="Q24">
        <v>67</v>
      </c>
      <c r="R24" t="s">
        <v>160</v>
      </c>
      <c r="S24">
        <v>72.599999999999994</v>
      </c>
      <c r="T24">
        <v>670</v>
      </c>
      <c r="U24">
        <v>55.9</v>
      </c>
      <c r="V24">
        <v>91</v>
      </c>
      <c r="W24">
        <v>68</v>
      </c>
      <c r="X24">
        <v>55</v>
      </c>
      <c r="Y24">
        <v>86.6</v>
      </c>
      <c r="Z24">
        <v>180</v>
      </c>
      <c r="AA24">
        <v>82</v>
      </c>
      <c r="AB24">
        <v>238</v>
      </c>
      <c r="AC24">
        <v>94.8</v>
      </c>
      <c r="AD24">
        <v>51</v>
      </c>
      <c r="AE24" t="s">
        <v>57</v>
      </c>
      <c r="AF24">
        <v>0</v>
      </c>
      <c r="AG24" t="s">
        <v>161</v>
      </c>
      <c r="AH24">
        <v>502</v>
      </c>
      <c r="AI24" t="s">
        <v>88</v>
      </c>
      <c r="AJ24" s="1">
        <v>17293</v>
      </c>
      <c r="AK24">
        <v>15.1</v>
      </c>
      <c r="AL24" s="2">
        <v>0.48</v>
      </c>
      <c r="AM24" s="3">
        <v>2.2000000000000002</v>
      </c>
      <c r="AN24" t="s">
        <v>162</v>
      </c>
      <c r="AO24" t="s">
        <v>163</v>
      </c>
      <c r="AP24" t="b">
        <v>0</v>
      </c>
      <c r="AQ24" t="b">
        <v>0</v>
      </c>
      <c r="AR24" t="b">
        <v>0</v>
      </c>
      <c r="AS24" t="s">
        <v>164</v>
      </c>
    </row>
    <row r="25" spans="1:45" x14ac:dyDescent="0.3">
      <c r="A25">
        <v>31</v>
      </c>
      <c r="B25">
        <v>41</v>
      </c>
      <c r="C25" t="s">
        <v>165</v>
      </c>
      <c r="D25" t="s">
        <v>166</v>
      </c>
      <c r="E25" t="s">
        <v>167</v>
      </c>
      <c r="F25" t="s">
        <v>56</v>
      </c>
      <c r="G25">
        <v>98.5</v>
      </c>
      <c r="H25">
        <v>98.6</v>
      </c>
      <c r="I25">
        <v>83.1</v>
      </c>
      <c r="J25">
        <v>71.7</v>
      </c>
      <c r="K25">
        <v>10.5</v>
      </c>
      <c r="L25">
        <v>16.899999999999999</v>
      </c>
      <c r="M25">
        <v>73.2</v>
      </c>
      <c r="N25">
        <v>100</v>
      </c>
      <c r="O25">
        <v>96</v>
      </c>
      <c r="P25">
        <v>82.3</v>
      </c>
      <c r="Q25">
        <v>62</v>
      </c>
      <c r="R25" t="s">
        <v>165</v>
      </c>
      <c r="S25">
        <v>73.400000000000006</v>
      </c>
      <c r="T25">
        <v>620</v>
      </c>
      <c r="U25">
        <v>74.2</v>
      </c>
      <c r="V25">
        <v>35</v>
      </c>
      <c r="W25">
        <v>75.3</v>
      </c>
      <c r="X25">
        <v>44</v>
      </c>
      <c r="Y25">
        <v>74.599999999999994</v>
      </c>
      <c r="Z25">
        <v>451</v>
      </c>
      <c r="AA25">
        <v>100</v>
      </c>
      <c r="AB25">
        <v>23</v>
      </c>
      <c r="AC25">
        <v>43.7</v>
      </c>
      <c r="AD25">
        <v>998</v>
      </c>
      <c r="AE25" t="s">
        <v>57</v>
      </c>
      <c r="AF25">
        <v>0</v>
      </c>
      <c r="AG25" t="s">
        <v>168</v>
      </c>
      <c r="AH25">
        <v>588</v>
      </c>
      <c r="AI25" t="s">
        <v>167</v>
      </c>
      <c r="AJ25" s="1">
        <v>28620</v>
      </c>
      <c r="AK25">
        <v>16.100000000000001</v>
      </c>
      <c r="AL25" s="2">
        <v>0.13</v>
      </c>
      <c r="AN25" t="s">
        <v>165</v>
      </c>
      <c r="AO25" t="s">
        <v>169</v>
      </c>
      <c r="AP25" t="b">
        <v>0</v>
      </c>
      <c r="AQ25" t="b">
        <v>0</v>
      </c>
      <c r="AR25" t="b">
        <v>0</v>
      </c>
    </row>
    <row r="26" spans="1:45" x14ac:dyDescent="0.3">
      <c r="A26">
        <v>32</v>
      </c>
      <c r="B26">
        <v>28</v>
      </c>
      <c r="C26" t="s">
        <v>170</v>
      </c>
      <c r="D26" t="s">
        <v>45</v>
      </c>
      <c r="E26" t="s">
        <v>46</v>
      </c>
      <c r="F26" t="s">
        <v>56</v>
      </c>
      <c r="G26">
        <v>86</v>
      </c>
      <c r="H26">
        <v>62.6</v>
      </c>
      <c r="I26">
        <v>100</v>
      </c>
      <c r="J26">
        <v>84.2</v>
      </c>
      <c r="K26">
        <v>63.7</v>
      </c>
      <c r="L26">
        <v>95.8</v>
      </c>
      <c r="M26">
        <v>98.7</v>
      </c>
      <c r="N26">
        <v>71.5</v>
      </c>
      <c r="O26">
        <v>61.9</v>
      </c>
      <c r="P26">
        <v>82.1</v>
      </c>
      <c r="Q26">
        <v>15</v>
      </c>
      <c r="R26" t="s">
        <v>170</v>
      </c>
      <c r="S26">
        <v>91.1</v>
      </c>
      <c r="T26">
        <v>150</v>
      </c>
      <c r="U26">
        <v>84.4</v>
      </c>
      <c r="V26">
        <v>23</v>
      </c>
      <c r="W26">
        <v>92.3</v>
      </c>
      <c r="X26">
        <v>17</v>
      </c>
      <c r="Y26">
        <v>97.2</v>
      </c>
      <c r="Z26">
        <v>27</v>
      </c>
      <c r="AA26">
        <v>100</v>
      </c>
      <c r="AB26">
        <v>11</v>
      </c>
      <c r="AC26">
        <v>84.2</v>
      </c>
      <c r="AD26">
        <v>198</v>
      </c>
      <c r="AE26" t="s">
        <v>49</v>
      </c>
      <c r="AF26">
        <v>0</v>
      </c>
      <c r="AG26" t="s">
        <v>171</v>
      </c>
      <c r="AH26">
        <v>478</v>
      </c>
      <c r="AI26" t="s">
        <v>46</v>
      </c>
      <c r="AJ26" s="1">
        <v>15772</v>
      </c>
      <c r="AK26">
        <v>4.0999999999999996</v>
      </c>
      <c r="AL26" s="2">
        <v>0.28000000000000003</v>
      </c>
      <c r="AM26" s="3">
        <v>2.3638888888888889</v>
      </c>
      <c r="AN26" t="s">
        <v>170</v>
      </c>
      <c r="AO26" t="s">
        <v>172</v>
      </c>
      <c r="AP26" t="b">
        <v>0</v>
      </c>
      <c r="AQ26" t="b">
        <v>0</v>
      </c>
      <c r="AR26" t="b">
        <v>0</v>
      </c>
      <c r="AS26" t="s">
        <v>173</v>
      </c>
    </row>
    <row r="27" spans="1:45" x14ac:dyDescent="0.3">
      <c r="A27">
        <v>32</v>
      </c>
      <c r="B27">
        <v>28</v>
      </c>
      <c r="C27" t="s">
        <v>174</v>
      </c>
      <c r="D27" t="s">
        <v>175</v>
      </c>
      <c r="E27" t="s">
        <v>176</v>
      </c>
      <c r="F27" t="s">
        <v>56</v>
      </c>
      <c r="G27">
        <v>100</v>
      </c>
      <c r="H27">
        <v>99.8</v>
      </c>
      <c r="I27">
        <v>89.3</v>
      </c>
      <c r="J27">
        <v>57.3</v>
      </c>
      <c r="K27">
        <v>10.1</v>
      </c>
      <c r="L27">
        <v>29.7</v>
      </c>
      <c r="M27">
        <v>87.4</v>
      </c>
      <c r="N27">
        <v>99.9</v>
      </c>
      <c r="O27">
        <v>98.3</v>
      </c>
      <c r="P27">
        <v>82.1</v>
      </c>
      <c r="Q27">
        <v>29</v>
      </c>
      <c r="R27" t="s">
        <v>174</v>
      </c>
      <c r="S27">
        <v>83.1</v>
      </c>
      <c r="T27">
        <v>290</v>
      </c>
      <c r="U27">
        <v>93.9</v>
      </c>
      <c r="V27">
        <v>11</v>
      </c>
      <c r="W27">
        <v>94.2</v>
      </c>
      <c r="X27">
        <v>14</v>
      </c>
      <c r="Y27">
        <v>67.8</v>
      </c>
      <c r="Z27">
        <v>607</v>
      </c>
      <c r="AA27">
        <v>100</v>
      </c>
      <c r="AB27">
        <v>27</v>
      </c>
      <c r="AC27">
        <v>49.7</v>
      </c>
      <c r="AD27">
        <v>812</v>
      </c>
      <c r="AE27" t="s">
        <v>57</v>
      </c>
      <c r="AF27">
        <v>0</v>
      </c>
      <c r="AG27" t="s">
        <v>177</v>
      </c>
      <c r="AH27">
        <v>494</v>
      </c>
      <c r="AI27" t="s">
        <v>176</v>
      </c>
      <c r="AJ27" s="1">
        <v>26345</v>
      </c>
      <c r="AK27">
        <v>10.3</v>
      </c>
      <c r="AL27" s="2">
        <v>0.15</v>
      </c>
      <c r="AN27" t="s">
        <v>174</v>
      </c>
      <c r="AO27" t="s">
        <v>178</v>
      </c>
      <c r="AP27" t="b">
        <v>0</v>
      </c>
      <c r="AQ27" t="b">
        <v>0</v>
      </c>
      <c r="AR27" t="b">
        <v>0</v>
      </c>
    </row>
    <row r="28" spans="1:45" x14ac:dyDescent="0.3">
      <c r="A28">
        <v>34</v>
      </c>
      <c r="B28">
        <v>23</v>
      </c>
      <c r="C28" t="s">
        <v>179</v>
      </c>
      <c r="D28" t="s">
        <v>45</v>
      </c>
      <c r="E28" t="s">
        <v>46</v>
      </c>
      <c r="F28" t="s">
        <v>77</v>
      </c>
      <c r="G28">
        <v>99.6</v>
      </c>
      <c r="H28">
        <v>98.8</v>
      </c>
      <c r="I28">
        <v>100</v>
      </c>
      <c r="J28">
        <v>31.7</v>
      </c>
      <c r="K28">
        <v>41.5</v>
      </c>
      <c r="L28">
        <v>97</v>
      </c>
      <c r="M28">
        <v>98.5</v>
      </c>
      <c r="N28">
        <v>99.9</v>
      </c>
      <c r="O28">
        <v>71.8</v>
      </c>
      <c r="P28">
        <v>82</v>
      </c>
      <c r="Q28">
        <v>17</v>
      </c>
      <c r="R28" t="s">
        <v>179</v>
      </c>
      <c r="S28">
        <v>90.9</v>
      </c>
      <c r="T28">
        <v>170</v>
      </c>
      <c r="U28">
        <v>88.6</v>
      </c>
      <c r="V28">
        <v>14</v>
      </c>
      <c r="W28">
        <v>89.7</v>
      </c>
      <c r="X28">
        <v>20</v>
      </c>
      <c r="Y28">
        <v>97.4</v>
      </c>
      <c r="Z28">
        <v>25</v>
      </c>
      <c r="AA28">
        <v>75.2</v>
      </c>
      <c r="AB28">
        <v>332</v>
      </c>
      <c r="AC28">
        <v>86.9</v>
      </c>
      <c r="AD28">
        <v>168</v>
      </c>
      <c r="AE28" t="s">
        <v>49</v>
      </c>
      <c r="AF28">
        <v>0</v>
      </c>
      <c r="AG28" t="s">
        <v>180</v>
      </c>
      <c r="AH28">
        <v>476</v>
      </c>
      <c r="AI28" t="s">
        <v>46</v>
      </c>
      <c r="AJ28" s="1">
        <v>25914</v>
      </c>
      <c r="AK28">
        <v>5.2</v>
      </c>
      <c r="AL28" s="2">
        <v>0.35</v>
      </c>
      <c r="AN28" t="s">
        <v>179</v>
      </c>
      <c r="AO28" t="s">
        <v>181</v>
      </c>
      <c r="AP28" t="b">
        <v>0</v>
      </c>
      <c r="AQ28" t="b">
        <v>0</v>
      </c>
      <c r="AR28" t="b">
        <v>0</v>
      </c>
      <c r="AS28" t="s">
        <v>182</v>
      </c>
    </row>
    <row r="29" spans="1:45" x14ac:dyDescent="0.3">
      <c r="A29">
        <v>34</v>
      </c>
      <c r="B29">
        <v>32</v>
      </c>
      <c r="C29" t="s">
        <v>183</v>
      </c>
      <c r="D29" t="s">
        <v>54</v>
      </c>
      <c r="E29" t="s">
        <v>55</v>
      </c>
      <c r="F29" t="s">
        <v>77</v>
      </c>
      <c r="G29">
        <v>95.6</v>
      </c>
      <c r="H29">
        <v>98.1</v>
      </c>
      <c r="I29">
        <v>51.3</v>
      </c>
      <c r="J29">
        <v>45.1</v>
      </c>
      <c r="K29">
        <v>93.1</v>
      </c>
      <c r="L29">
        <v>99.2</v>
      </c>
      <c r="M29">
        <v>99.2</v>
      </c>
      <c r="N29">
        <v>87.6</v>
      </c>
      <c r="O29">
        <v>99.8</v>
      </c>
      <c r="P29">
        <v>82</v>
      </c>
      <c r="Q29">
        <v>51</v>
      </c>
      <c r="R29" t="s">
        <v>184</v>
      </c>
      <c r="S29">
        <v>75.599999999999994</v>
      </c>
      <c r="T29">
        <v>510</v>
      </c>
      <c r="U29">
        <v>61.4</v>
      </c>
      <c r="V29">
        <v>69</v>
      </c>
      <c r="W29">
        <v>67.099999999999994</v>
      </c>
      <c r="X29">
        <v>60</v>
      </c>
      <c r="Y29">
        <v>93.1</v>
      </c>
      <c r="Z29">
        <v>74</v>
      </c>
      <c r="AA29">
        <v>73.099999999999994</v>
      </c>
      <c r="AB29">
        <v>367</v>
      </c>
      <c r="AC29">
        <v>95.6</v>
      </c>
      <c r="AD29">
        <v>37</v>
      </c>
      <c r="AE29" t="s">
        <v>57</v>
      </c>
      <c r="AF29">
        <v>6</v>
      </c>
      <c r="AG29" t="s">
        <v>185</v>
      </c>
      <c r="AH29">
        <v>512</v>
      </c>
      <c r="AI29" t="s">
        <v>55</v>
      </c>
      <c r="AJ29" s="1">
        <v>40725</v>
      </c>
      <c r="AK29">
        <v>15.6</v>
      </c>
      <c r="AL29" s="2">
        <v>0.45</v>
      </c>
      <c r="AM29" s="3">
        <v>2.3638888888888889</v>
      </c>
      <c r="AN29" t="s">
        <v>184</v>
      </c>
      <c r="AO29" t="s">
        <v>186</v>
      </c>
      <c r="AP29" t="b">
        <v>0</v>
      </c>
      <c r="AQ29" t="b">
        <v>0</v>
      </c>
      <c r="AR29" t="b">
        <v>0</v>
      </c>
      <c r="AS29" t="s">
        <v>187</v>
      </c>
    </row>
    <row r="30" spans="1:45" x14ac:dyDescent="0.3">
      <c r="A30">
        <v>37</v>
      </c>
      <c r="B30">
        <v>42</v>
      </c>
      <c r="C30" t="s">
        <v>188</v>
      </c>
      <c r="D30" t="s">
        <v>87</v>
      </c>
      <c r="E30" t="s">
        <v>88</v>
      </c>
      <c r="F30" t="s">
        <v>77</v>
      </c>
      <c r="G30">
        <v>89.2</v>
      </c>
      <c r="H30">
        <v>79.599999999999994</v>
      </c>
      <c r="I30">
        <v>9.4</v>
      </c>
      <c r="J30">
        <v>87.6</v>
      </c>
      <c r="K30">
        <v>100</v>
      </c>
      <c r="L30">
        <v>100</v>
      </c>
      <c r="M30">
        <v>94.8</v>
      </c>
      <c r="N30">
        <v>79.400000000000006</v>
      </c>
      <c r="O30">
        <v>98.2</v>
      </c>
      <c r="P30">
        <v>81.2</v>
      </c>
      <c r="Q30">
        <v>54</v>
      </c>
      <c r="R30" t="s">
        <v>188</v>
      </c>
      <c r="S30">
        <v>75.2</v>
      </c>
      <c r="T30">
        <v>540</v>
      </c>
      <c r="U30">
        <v>55.3</v>
      </c>
      <c r="V30">
        <v>96</v>
      </c>
      <c r="W30">
        <v>67.8</v>
      </c>
      <c r="X30">
        <v>58</v>
      </c>
      <c r="Y30">
        <v>94.7</v>
      </c>
      <c r="Z30">
        <v>50</v>
      </c>
      <c r="AA30">
        <v>99.7</v>
      </c>
      <c r="AB30">
        <v>48</v>
      </c>
      <c r="AC30">
        <v>91.1</v>
      </c>
      <c r="AD30">
        <v>115</v>
      </c>
      <c r="AE30" t="s">
        <v>57</v>
      </c>
      <c r="AF30">
        <v>0</v>
      </c>
      <c r="AG30" t="s">
        <v>189</v>
      </c>
      <c r="AH30">
        <v>581</v>
      </c>
      <c r="AI30" t="s">
        <v>88</v>
      </c>
      <c r="AJ30" s="1">
        <v>58460</v>
      </c>
      <c r="AK30">
        <v>43.1</v>
      </c>
      <c r="AL30" s="2">
        <v>0.38</v>
      </c>
      <c r="AM30" s="3">
        <v>2.3638888888888889</v>
      </c>
      <c r="AN30" t="s">
        <v>188</v>
      </c>
      <c r="AO30" t="s">
        <v>190</v>
      </c>
      <c r="AP30" t="b">
        <v>0</v>
      </c>
      <c r="AQ30" t="b">
        <v>0</v>
      </c>
      <c r="AR30" t="b">
        <v>0</v>
      </c>
      <c r="AS30" t="s">
        <v>191</v>
      </c>
    </row>
    <row r="31" spans="1:45" x14ac:dyDescent="0.3">
      <c r="A31">
        <v>38</v>
      </c>
      <c r="B31">
        <v>34</v>
      </c>
      <c r="C31" t="s">
        <v>192</v>
      </c>
      <c r="D31" t="s">
        <v>139</v>
      </c>
      <c r="E31" t="s">
        <v>140</v>
      </c>
      <c r="F31" t="s">
        <v>77</v>
      </c>
      <c r="G31">
        <v>98.3</v>
      </c>
      <c r="H31">
        <v>94.3</v>
      </c>
      <c r="I31">
        <v>34.5</v>
      </c>
      <c r="J31">
        <v>57.7</v>
      </c>
      <c r="K31">
        <v>95.5</v>
      </c>
      <c r="L31">
        <v>72.8</v>
      </c>
      <c r="M31">
        <v>96.2</v>
      </c>
      <c r="N31">
        <v>74.599999999999994</v>
      </c>
      <c r="O31">
        <v>99.8</v>
      </c>
      <c r="P31">
        <v>81</v>
      </c>
      <c r="Q31">
        <v>41</v>
      </c>
      <c r="R31" t="s">
        <v>192</v>
      </c>
      <c r="S31">
        <v>78</v>
      </c>
      <c r="T31">
        <v>410</v>
      </c>
      <c r="U31">
        <v>62.5</v>
      </c>
      <c r="V31">
        <v>66</v>
      </c>
      <c r="W31">
        <v>76.599999999999994</v>
      </c>
      <c r="X31">
        <v>39</v>
      </c>
      <c r="Y31">
        <v>90.5</v>
      </c>
      <c r="Z31">
        <v>118</v>
      </c>
      <c r="AA31">
        <v>76.7</v>
      </c>
      <c r="AB31">
        <v>304</v>
      </c>
      <c r="AC31">
        <v>95</v>
      </c>
      <c r="AD31">
        <v>49</v>
      </c>
      <c r="AE31" t="s">
        <v>57</v>
      </c>
      <c r="AF31">
        <v>0</v>
      </c>
      <c r="AG31" t="s">
        <v>193</v>
      </c>
      <c r="AH31">
        <v>486</v>
      </c>
      <c r="AI31" t="s">
        <v>140</v>
      </c>
      <c r="AJ31" s="1">
        <v>58987</v>
      </c>
      <c r="AK31">
        <v>19.399999999999999</v>
      </c>
      <c r="AL31" s="2">
        <v>0.34</v>
      </c>
      <c r="AM31" s="3">
        <v>2.3229166666666665</v>
      </c>
      <c r="AN31" t="s">
        <v>192</v>
      </c>
      <c r="AO31" t="s">
        <v>194</v>
      </c>
      <c r="AP31" t="b">
        <v>0</v>
      </c>
      <c r="AQ31" t="b">
        <v>0</v>
      </c>
      <c r="AR31" t="b">
        <v>0</v>
      </c>
      <c r="AS31" t="s">
        <v>195</v>
      </c>
    </row>
    <row r="32" spans="1:45" x14ac:dyDescent="0.3">
      <c r="A32">
        <v>39</v>
      </c>
      <c r="B32">
        <v>50</v>
      </c>
      <c r="C32" t="s">
        <v>196</v>
      </c>
      <c r="D32" t="s">
        <v>95</v>
      </c>
      <c r="E32" t="s">
        <v>96</v>
      </c>
      <c r="F32" t="s">
        <v>77</v>
      </c>
      <c r="G32">
        <v>85.7</v>
      </c>
      <c r="H32">
        <v>87.8</v>
      </c>
      <c r="I32">
        <v>79.7</v>
      </c>
      <c r="J32">
        <v>80.7</v>
      </c>
      <c r="K32">
        <v>88.4</v>
      </c>
      <c r="L32">
        <v>35.1</v>
      </c>
      <c r="M32">
        <v>67.2</v>
      </c>
      <c r="N32">
        <v>64.400000000000006</v>
      </c>
      <c r="O32">
        <v>82.7</v>
      </c>
      <c r="P32">
        <v>80.3</v>
      </c>
      <c r="Q32">
        <v>44</v>
      </c>
      <c r="R32" t="s">
        <v>196</v>
      </c>
      <c r="S32">
        <v>77.5</v>
      </c>
      <c r="T32">
        <v>440</v>
      </c>
      <c r="U32">
        <v>76.5</v>
      </c>
      <c r="V32">
        <v>30</v>
      </c>
      <c r="W32">
        <v>75.3</v>
      </c>
      <c r="X32">
        <v>43</v>
      </c>
      <c r="Y32">
        <v>83.5</v>
      </c>
      <c r="Z32">
        <v>246</v>
      </c>
      <c r="AA32">
        <v>96</v>
      </c>
      <c r="AB32">
        <v>104</v>
      </c>
      <c r="AC32">
        <v>56.1</v>
      </c>
      <c r="AD32">
        <v>658</v>
      </c>
      <c r="AE32" t="s">
        <v>57</v>
      </c>
      <c r="AF32">
        <v>0</v>
      </c>
      <c r="AG32" t="s">
        <v>197</v>
      </c>
      <c r="AH32">
        <v>700</v>
      </c>
      <c r="AI32" t="s">
        <v>98</v>
      </c>
      <c r="AJ32" s="1">
        <v>38101</v>
      </c>
      <c r="AK32">
        <v>12.6</v>
      </c>
      <c r="AL32" s="2">
        <v>0.09</v>
      </c>
      <c r="AM32" s="3">
        <v>2.2000000000000002</v>
      </c>
      <c r="AN32" t="s">
        <v>196</v>
      </c>
      <c r="AO32" t="s">
        <v>198</v>
      </c>
      <c r="AP32" t="b">
        <v>0</v>
      </c>
      <c r="AQ32" t="b">
        <v>0</v>
      </c>
      <c r="AR32" t="b">
        <v>0</v>
      </c>
    </row>
    <row r="33" spans="1:45" x14ac:dyDescent="0.3">
      <c r="A33">
        <v>40</v>
      </c>
      <c r="B33">
        <v>40</v>
      </c>
      <c r="C33" t="s">
        <v>199</v>
      </c>
      <c r="D33" t="s">
        <v>54</v>
      </c>
      <c r="E33" t="s">
        <v>55</v>
      </c>
      <c r="F33" t="s">
        <v>77</v>
      </c>
      <c r="G33">
        <v>90.3</v>
      </c>
      <c r="H33">
        <v>85.7</v>
      </c>
      <c r="I33">
        <v>64.3</v>
      </c>
      <c r="J33">
        <v>53.6</v>
      </c>
      <c r="K33">
        <v>99.1</v>
      </c>
      <c r="L33">
        <v>99.5</v>
      </c>
      <c r="M33">
        <v>98.6</v>
      </c>
      <c r="N33">
        <v>59.8</v>
      </c>
      <c r="O33">
        <v>96.2</v>
      </c>
      <c r="P33">
        <v>80.2</v>
      </c>
      <c r="Q33">
        <f>38</f>
        <v>38</v>
      </c>
      <c r="R33" t="s">
        <v>200</v>
      </c>
      <c r="S33">
        <v>79</v>
      </c>
      <c r="T33">
        <v>380</v>
      </c>
      <c r="U33">
        <v>59.8</v>
      </c>
      <c r="V33">
        <v>74</v>
      </c>
      <c r="W33">
        <v>75.099999999999994</v>
      </c>
      <c r="X33">
        <v>47</v>
      </c>
      <c r="Y33">
        <v>97.7</v>
      </c>
      <c r="Z33">
        <v>17</v>
      </c>
      <c r="AA33">
        <v>74.2</v>
      </c>
      <c r="AB33">
        <v>347</v>
      </c>
      <c r="AC33">
        <v>97.5</v>
      </c>
      <c r="AD33">
        <v>13</v>
      </c>
      <c r="AE33" t="s">
        <v>57</v>
      </c>
      <c r="AF33">
        <v>0</v>
      </c>
      <c r="AG33" t="s">
        <v>201</v>
      </c>
      <c r="AH33">
        <v>520</v>
      </c>
      <c r="AI33" t="s">
        <v>55</v>
      </c>
      <c r="AJ33" s="1">
        <v>32835</v>
      </c>
      <c r="AK33">
        <v>13.9</v>
      </c>
      <c r="AL33" s="2">
        <v>0.53</v>
      </c>
      <c r="AM33" s="3">
        <v>2.6506944444444445</v>
      </c>
      <c r="AN33" t="s">
        <v>200</v>
      </c>
      <c r="AO33" t="s">
        <v>202</v>
      </c>
      <c r="AP33" t="b">
        <v>0</v>
      </c>
      <c r="AQ33" t="b">
        <v>0</v>
      </c>
      <c r="AR33" t="b">
        <v>0</v>
      </c>
    </row>
    <row r="34" spans="1:45" x14ac:dyDescent="0.3">
      <c r="A34">
        <v>40</v>
      </c>
      <c r="B34">
        <v>43</v>
      </c>
      <c r="C34" t="s">
        <v>203</v>
      </c>
      <c r="D34" t="s">
        <v>87</v>
      </c>
      <c r="E34" t="s">
        <v>88</v>
      </c>
      <c r="F34" t="s">
        <v>77</v>
      </c>
      <c r="G34">
        <v>86.7</v>
      </c>
      <c r="H34">
        <v>74</v>
      </c>
      <c r="I34">
        <v>21.2</v>
      </c>
      <c r="J34">
        <v>90.2</v>
      </c>
      <c r="K34">
        <v>100</v>
      </c>
      <c r="L34">
        <v>100</v>
      </c>
      <c r="M34">
        <v>96.7</v>
      </c>
      <c r="N34">
        <v>56.7</v>
      </c>
      <c r="O34">
        <v>96.7</v>
      </c>
      <c r="P34">
        <v>80.2</v>
      </c>
      <c r="Q34">
        <v>70</v>
      </c>
      <c r="R34" t="s">
        <v>203</v>
      </c>
      <c r="S34">
        <v>72</v>
      </c>
      <c r="T34">
        <v>700</v>
      </c>
      <c r="U34">
        <v>52.9</v>
      </c>
      <c r="V34">
        <v>113</v>
      </c>
      <c r="W34">
        <v>64.3</v>
      </c>
      <c r="X34">
        <v>70</v>
      </c>
      <c r="Y34">
        <v>89.1</v>
      </c>
      <c r="Z34">
        <v>136</v>
      </c>
      <c r="AA34">
        <v>99.8</v>
      </c>
      <c r="AB34">
        <v>43</v>
      </c>
      <c r="AC34">
        <v>94</v>
      </c>
      <c r="AD34">
        <v>64</v>
      </c>
      <c r="AE34" t="s">
        <v>57</v>
      </c>
      <c r="AF34">
        <v>11</v>
      </c>
      <c r="AG34" t="s">
        <v>204</v>
      </c>
      <c r="AH34">
        <v>538</v>
      </c>
      <c r="AI34" t="s">
        <v>88</v>
      </c>
      <c r="AJ34" s="1">
        <v>42847</v>
      </c>
      <c r="AK34">
        <v>39.1</v>
      </c>
      <c r="AL34" s="2">
        <v>0.42</v>
      </c>
      <c r="AM34" s="3">
        <v>2.3229166666666665</v>
      </c>
      <c r="AN34" t="s">
        <v>205</v>
      </c>
      <c r="AO34" t="s">
        <v>206</v>
      </c>
      <c r="AP34" t="b">
        <v>0</v>
      </c>
      <c r="AQ34" t="b">
        <v>0</v>
      </c>
      <c r="AR34" t="b">
        <v>0</v>
      </c>
    </row>
    <row r="35" spans="1:45" x14ac:dyDescent="0.3">
      <c r="A35">
        <v>44</v>
      </c>
      <c r="B35">
        <v>33</v>
      </c>
      <c r="C35" t="s">
        <v>207</v>
      </c>
      <c r="D35" t="s">
        <v>45</v>
      </c>
      <c r="E35" t="s">
        <v>46</v>
      </c>
      <c r="F35" t="s">
        <v>77</v>
      </c>
      <c r="G35">
        <v>97.9</v>
      </c>
      <c r="H35">
        <v>92.1</v>
      </c>
      <c r="I35">
        <v>80.3</v>
      </c>
      <c r="J35">
        <v>47.6</v>
      </c>
      <c r="K35">
        <v>65.5</v>
      </c>
      <c r="L35">
        <v>39.200000000000003</v>
      </c>
      <c r="M35">
        <v>95.8</v>
      </c>
      <c r="N35">
        <v>94.5</v>
      </c>
      <c r="O35">
        <v>62.2</v>
      </c>
      <c r="P35">
        <v>79</v>
      </c>
      <c r="Q35">
        <v>23</v>
      </c>
      <c r="R35" t="s">
        <v>207</v>
      </c>
      <c r="S35">
        <v>87.4</v>
      </c>
      <c r="T35">
        <v>230</v>
      </c>
      <c r="U35">
        <v>84.7</v>
      </c>
      <c r="V35">
        <v>22</v>
      </c>
      <c r="W35">
        <v>87.4</v>
      </c>
      <c r="X35">
        <v>23</v>
      </c>
      <c r="Y35">
        <v>95.5</v>
      </c>
      <c r="Z35">
        <v>45</v>
      </c>
      <c r="AA35">
        <v>80.7</v>
      </c>
      <c r="AB35">
        <v>255</v>
      </c>
      <c r="AC35">
        <v>69</v>
      </c>
      <c r="AD35">
        <v>421</v>
      </c>
      <c r="AE35" t="s">
        <v>208</v>
      </c>
      <c r="AF35">
        <v>0</v>
      </c>
      <c r="AG35" t="s">
        <v>209</v>
      </c>
      <c r="AH35">
        <v>482</v>
      </c>
      <c r="AI35" t="s">
        <v>46</v>
      </c>
      <c r="AJ35" s="1">
        <v>45783</v>
      </c>
      <c r="AK35">
        <v>8.1</v>
      </c>
      <c r="AL35" s="2">
        <v>0.16</v>
      </c>
      <c r="AM35" s="3">
        <v>2.1590277777777778</v>
      </c>
      <c r="AN35" t="s">
        <v>207</v>
      </c>
      <c r="AO35" t="s">
        <v>210</v>
      </c>
      <c r="AP35" t="b">
        <v>0</v>
      </c>
      <c r="AQ35" t="b">
        <v>0</v>
      </c>
      <c r="AR35" t="b">
        <v>0</v>
      </c>
      <c r="AS35" t="s">
        <v>211</v>
      </c>
    </row>
    <row r="36" spans="1:45" x14ac:dyDescent="0.3">
      <c r="A36">
        <v>45</v>
      </c>
      <c r="B36">
        <v>51</v>
      </c>
      <c r="C36" t="s">
        <v>212</v>
      </c>
      <c r="D36" t="s">
        <v>95</v>
      </c>
      <c r="E36" t="s">
        <v>96</v>
      </c>
      <c r="F36" t="s">
        <v>77</v>
      </c>
      <c r="G36">
        <v>84</v>
      </c>
      <c r="H36">
        <v>86.3</v>
      </c>
      <c r="I36">
        <v>58.6</v>
      </c>
      <c r="J36">
        <v>99.6</v>
      </c>
      <c r="K36">
        <v>23.1</v>
      </c>
      <c r="L36">
        <v>19.600000000000001</v>
      </c>
      <c r="M36">
        <v>73.7</v>
      </c>
      <c r="N36">
        <v>73.5</v>
      </c>
      <c r="O36">
        <v>80.3</v>
      </c>
      <c r="P36">
        <v>77.8</v>
      </c>
      <c r="Q36">
        <v>43</v>
      </c>
      <c r="R36" t="s">
        <v>212</v>
      </c>
      <c r="S36">
        <v>77.7</v>
      </c>
      <c r="T36">
        <v>430</v>
      </c>
      <c r="U36">
        <v>76.599999999999994</v>
      </c>
      <c r="V36">
        <v>29</v>
      </c>
      <c r="W36">
        <v>82.5</v>
      </c>
      <c r="X36">
        <v>30</v>
      </c>
      <c r="Y36">
        <v>75.400000000000006</v>
      </c>
      <c r="Z36">
        <v>432</v>
      </c>
      <c r="AA36">
        <v>100</v>
      </c>
      <c r="AB36">
        <v>24</v>
      </c>
      <c r="AC36">
        <v>60.6</v>
      </c>
      <c r="AD36">
        <v>572</v>
      </c>
      <c r="AE36" t="s">
        <v>57</v>
      </c>
      <c r="AF36">
        <v>0</v>
      </c>
      <c r="AG36" t="s">
        <v>213</v>
      </c>
      <c r="AH36">
        <v>801</v>
      </c>
      <c r="AI36" t="s">
        <v>98</v>
      </c>
      <c r="AJ36" s="1">
        <v>38472</v>
      </c>
      <c r="AK36">
        <v>12.6</v>
      </c>
      <c r="AL36" s="2">
        <v>0.09</v>
      </c>
      <c r="AM36" t="s">
        <v>153</v>
      </c>
      <c r="AN36" t="s">
        <v>214</v>
      </c>
      <c r="AO36" t="s">
        <v>215</v>
      </c>
      <c r="AP36" t="b">
        <v>0</v>
      </c>
      <c r="AQ36" t="b">
        <v>0</v>
      </c>
      <c r="AR36" t="b">
        <v>0</v>
      </c>
    </row>
    <row r="37" spans="1:45" x14ac:dyDescent="0.3">
      <c r="A37">
        <v>46</v>
      </c>
      <c r="B37">
        <v>38</v>
      </c>
      <c r="C37" t="s">
        <v>216</v>
      </c>
      <c r="D37" t="s">
        <v>217</v>
      </c>
      <c r="E37" t="s">
        <v>218</v>
      </c>
      <c r="F37" t="s">
        <v>47</v>
      </c>
      <c r="G37">
        <v>44.7</v>
      </c>
      <c r="H37">
        <v>99.6</v>
      </c>
      <c r="I37">
        <v>95.9</v>
      </c>
      <c r="J37">
        <v>86.1</v>
      </c>
      <c r="K37">
        <v>99.1</v>
      </c>
      <c r="L37">
        <v>98</v>
      </c>
      <c r="M37">
        <v>89.6</v>
      </c>
      <c r="N37">
        <v>97.7</v>
      </c>
      <c r="O37">
        <v>54.8</v>
      </c>
      <c r="P37">
        <v>77.5</v>
      </c>
      <c r="Q37">
        <v>71</v>
      </c>
      <c r="R37" t="s">
        <v>216</v>
      </c>
      <c r="S37">
        <v>71.3</v>
      </c>
      <c r="T37">
        <v>710</v>
      </c>
      <c r="U37">
        <v>71</v>
      </c>
      <c r="V37">
        <v>39</v>
      </c>
      <c r="W37">
        <v>61.6</v>
      </c>
      <c r="X37">
        <v>79</v>
      </c>
      <c r="Y37">
        <v>70.8</v>
      </c>
      <c r="Z37">
        <v>542</v>
      </c>
      <c r="AA37">
        <v>98.8</v>
      </c>
      <c r="AB37">
        <v>71</v>
      </c>
      <c r="AC37">
        <v>97.1</v>
      </c>
      <c r="AD37">
        <v>21</v>
      </c>
      <c r="AE37" t="s">
        <v>57</v>
      </c>
      <c r="AF37">
        <v>0</v>
      </c>
      <c r="AG37" t="s">
        <v>219</v>
      </c>
      <c r="AH37">
        <v>688843</v>
      </c>
      <c r="AI37" t="s">
        <v>218</v>
      </c>
      <c r="AJ37" s="1">
        <v>6073</v>
      </c>
      <c r="AK37">
        <v>6.8</v>
      </c>
      <c r="AL37" s="2">
        <v>0.42</v>
      </c>
      <c r="AM37" t="s">
        <v>220</v>
      </c>
      <c r="AN37" t="s">
        <v>216</v>
      </c>
      <c r="AO37" t="s">
        <v>221</v>
      </c>
      <c r="AP37" t="b">
        <v>0</v>
      </c>
      <c r="AQ37" t="b">
        <v>0</v>
      </c>
      <c r="AR37" t="b">
        <v>0</v>
      </c>
    </row>
    <row r="38" spans="1:45" x14ac:dyDescent="0.3">
      <c r="A38">
        <v>47</v>
      </c>
      <c r="B38">
        <v>60</v>
      </c>
      <c r="C38" t="s">
        <v>222</v>
      </c>
      <c r="D38" t="s">
        <v>112</v>
      </c>
      <c r="E38" t="s">
        <v>113</v>
      </c>
      <c r="F38" t="s">
        <v>47</v>
      </c>
      <c r="G38">
        <v>81.099999999999994</v>
      </c>
      <c r="H38">
        <v>50.3</v>
      </c>
      <c r="I38">
        <v>56.7</v>
      </c>
      <c r="J38">
        <v>99.7</v>
      </c>
      <c r="K38">
        <v>100</v>
      </c>
      <c r="L38">
        <v>95.4</v>
      </c>
      <c r="M38">
        <v>46.7</v>
      </c>
      <c r="N38">
        <v>65.400000000000006</v>
      </c>
      <c r="O38">
        <v>77.599999999999994</v>
      </c>
      <c r="P38">
        <v>77.099999999999994</v>
      </c>
      <c r="Q38">
        <f>64</f>
        <v>64</v>
      </c>
      <c r="R38" t="s">
        <v>222</v>
      </c>
      <c r="S38">
        <v>73</v>
      </c>
      <c r="T38">
        <v>650</v>
      </c>
      <c r="U38">
        <v>54</v>
      </c>
      <c r="V38">
        <v>105</v>
      </c>
      <c r="W38">
        <v>62.1</v>
      </c>
      <c r="X38">
        <v>76</v>
      </c>
      <c r="Y38">
        <v>92.9</v>
      </c>
      <c r="Z38">
        <v>77</v>
      </c>
      <c r="AA38">
        <v>100</v>
      </c>
      <c r="AB38">
        <v>10</v>
      </c>
      <c r="AC38">
        <v>95.5</v>
      </c>
      <c r="AD38">
        <v>40</v>
      </c>
      <c r="AE38" t="s">
        <v>57</v>
      </c>
      <c r="AF38">
        <v>11</v>
      </c>
      <c r="AG38" t="s">
        <v>223</v>
      </c>
      <c r="AH38">
        <v>526</v>
      </c>
      <c r="AI38" t="s">
        <v>116</v>
      </c>
      <c r="AJ38" s="1">
        <v>9794</v>
      </c>
      <c r="AK38">
        <v>19.899999999999999</v>
      </c>
      <c r="AL38" s="2">
        <v>0.3</v>
      </c>
      <c r="AN38" t="s">
        <v>224</v>
      </c>
      <c r="AO38" t="s">
        <v>225</v>
      </c>
      <c r="AP38" t="b">
        <v>0</v>
      </c>
      <c r="AQ38" t="b">
        <v>0</v>
      </c>
      <c r="AR38" t="b">
        <v>0</v>
      </c>
    </row>
    <row r="39" spans="1:45" x14ac:dyDescent="0.3">
      <c r="A39">
        <v>47</v>
      </c>
      <c r="B39">
        <v>44</v>
      </c>
      <c r="C39" t="s">
        <v>226</v>
      </c>
      <c r="D39" t="s">
        <v>95</v>
      </c>
      <c r="E39" t="s">
        <v>96</v>
      </c>
      <c r="F39" t="s">
        <v>77</v>
      </c>
      <c r="G39">
        <v>75.3</v>
      </c>
      <c r="H39">
        <v>95.4</v>
      </c>
      <c r="I39">
        <v>54.7</v>
      </c>
      <c r="J39">
        <v>99.5</v>
      </c>
      <c r="K39">
        <v>95</v>
      </c>
      <c r="L39">
        <v>15.9</v>
      </c>
      <c r="M39">
        <v>91.8</v>
      </c>
      <c r="N39">
        <v>55.5</v>
      </c>
      <c r="O39">
        <v>30.7</v>
      </c>
      <c r="P39">
        <v>77.099999999999994</v>
      </c>
      <c r="Q39">
        <f>55</f>
        <v>55</v>
      </c>
      <c r="R39" t="s">
        <v>226</v>
      </c>
      <c r="S39">
        <v>75</v>
      </c>
      <c r="T39">
        <v>560</v>
      </c>
      <c r="U39">
        <v>70.2</v>
      </c>
      <c r="V39">
        <v>42</v>
      </c>
      <c r="W39">
        <v>75.3</v>
      </c>
      <c r="X39">
        <v>45</v>
      </c>
      <c r="Y39">
        <v>78.7</v>
      </c>
      <c r="Z39">
        <v>350</v>
      </c>
      <c r="AA39">
        <v>99</v>
      </c>
      <c r="AB39">
        <v>69</v>
      </c>
      <c r="AC39">
        <v>65.5</v>
      </c>
      <c r="AD39">
        <v>475</v>
      </c>
      <c r="AE39" t="s">
        <v>57</v>
      </c>
      <c r="AF39">
        <v>11</v>
      </c>
      <c r="AG39" t="s">
        <v>227</v>
      </c>
      <c r="AH39">
        <v>815</v>
      </c>
      <c r="AI39" t="s">
        <v>98</v>
      </c>
      <c r="AJ39" s="1">
        <v>48169</v>
      </c>
      <c r="AK39">
        <v>12</v>
      </c>
      <c r="AL39" s="2">
        <v>0.16</v>
      </c>
      <c r="AN39" t="s">
        <v>228</v>
      </c>
      <c r="AO39" t="s">
        <v>229</v>
      </c>
      <c r="AP39" t="b">
        <v>0</v>
      </c>
      <c r="AQ39" t="b">
        <v>0</v>
      </c>
      <c r="AR39" t="b">
        <v>0</v>
      </c>
    </row>
    <row r="40" spans="1:45" x14ac:dyDescent="0.3">
      <c r="A40">
        <v>49</v>
      </c>
      <c r="B40">
        <v>47</v>
      </c>
      <c r="C40" t="s">
        <v>230</v>
      </c>
      <c r="D40" t="s">
        <v>231</v>
      </c>
      <c r="E40" t="s">
        <v>232</v>
      </c>
      <c r="F40" t="s">
        <v>56</v>
      </c>
      <c r="G40">
        <v>74.400000000000006</v>
      </c>
      <c r="H40">
        <v>83</v>
      </c>
      <c r="I40">
        <v>39.4</v>
      </c>
      <c r="J40">
        <v>79.7</v>
      </c>
      <c r="K40">
        <v>100</v>
      </c>
      <c r="L40">
        <v>91.4</v>
      </c>
      <c r="M40">
        <v>93.7</v>
      </c>
      <c r="N40">
        <v>54.8</v>
      </c>
      <c r="O40">
        <v>99.1</v>
      </c>
      <c r="P40">
        <v>77</v>
      </c>
      <c r="Q40">
        <v>48</v>
      </c>
      <c r="R40" t="s">
        <v>230</v>
      </c>
      <c r="S40">
        <v>76.3</v>
      </c>
      <c r="T40">
        <v>480</v>
      </c>
      <c r="U40">
        <v>66.7</v>
      </c>
      <c r="V40">
        <v>51</v>
      </c>
      <c r="W40">
        <v>78.2</v>
      </c>
      <c r="X40">
        <v>36</v>
      </c>
      <c r="Y40">
        <v>76.5</v>
      </c>
      <c r="Z40">
        <v>404</v>
      </c>
      <c r="AA40">
        <v>100</v>
      </c>
      <c r="AB40">
        <v>5</v>
      </c>
      <c r="AC40">
        <v>92.8</v>
      </c>
      <c r="AD40">
        <v>86</v>
      </c>
      <c r="AE40" t="s">
        <v>57</v>
      </c>
      <c r="AF40">
        <v>0</v>
      </c>
      <c r="AG40" t="s">
        <v>233</v>
      </c>
      <c r="AH40">
        <v>568</v>
      </c>
      <c r="AI40" t="s">
        <v>232</v>
      </c>
      <c r="AJ40" s="1">
        <v>21262</v>
      </c>
      <c r="AK40">
        <v>15.9</v>
      </c>
      <c r="AL40" s="2">
        <v>0.3</v>
      </c>
      <c r="AM40" t="s">
        <v>234</v>
      </c>
      <c r="AN40" t="s">
        <v>230</v>
      </c>
      <c r="AO40" t="s">
        <v>235</v>
      </c>
      <c r="AP40" t="b">
        <v>0</v>
      </c>
      <c r="AQ40" t="b">
        <v>0</v>
      </c>
      <c r="AR40" t="b">
        <v>0</v>
      </c>
    </row>
    <row r="41" spans="1:45" x14ac:dyDescent="0.3">
      <c r="A41">
        <v>50</v>
      </c>
      <c r="B41">
        <v>46</v>
      </c>
      <c r="C41" t="s">
        <v>236</v>
      </c>
      <c r="D41" t="s">
        <v>175</v>
      </c>
      <c r="E41" t="s">
        <v>176</v>
      </c>
      <c r="F41" t="s">
        <v>56</v>
      </c>
      <c r="G41">
        <v>98.8</v>
      </c>
      <c r="H41">
        <v>99</v>
      </c>
      <c r="I41">
        <v>94.2</v>
      </c>
      <c r="J41">
        <v>39.299999999999997</v>
      </c>
      <c r="K41">
        <v>15.9</v>
      </c>
      <c r="L41">
        <v>19</v>
      </c>
      <c r="M41">
        <v>85.7</v>
      </c>
      <c r="N41">
        <v>72.8</v>
      </c>
      <c r="O41">
        <v>85.2</v>
      </c>
      <c r="P41">
        <v>76</v>
      </c>
      <c r="Q41">
        <f>55</f>
        <v>55</v>
      </c>
      <c r="R41" t="s">
        <v>236</v>
      </c>
      <c r="S41">
        <v>75</v>
      </c>
      <c r="T41">
        <v>550</v>
      </c>
      <c r="U41">
        <v>85.4</v>
      </c>
      <c r="V41">
        <v>21</v>
      </c>
      <c r="W41">
        <v>84.3</v>
      </c>
      <c r="X41">
        <v>27</v>
      </c>
      <c r="Y41">
        <v>60</v>
      </c>
      <c r="Z41">
        <v>779</v>
      </c>
      <c r="AA41">
        <v>100</v>
      </c>
      <c r="AB41">
        <v>14</v>
      </c>
      <c r="AC41">
        <v>45.7</v>
      </c>
      <c r="AD41">
        <v>940</v>
      </c>
      <c r="AE41" t="s">
        <v>57</v>
      </c>
      <c r="AF41">
        <v>0</v>
      </c>
      <c r="AG41" t="s">
        <v>237</v>
      </c>
      <c r="AH41">
        <v>516</v>
      </c>
      <c r="AI41" t="s">
        <v>176</v>
      </c>
      <c r="AJ41" s="1">
        <v>21817</v>
      </c>
      <c r="AK41">
        <v>9</v>
      </c>
      <c r="AL41" s="2">
        <v>0.11</v>
      </c>
      <c r="AM41" t="s">
        <v>220</v>
      </c>
      <c r="AN41" t="s">
        <v>236</v>
      </c>
      <c r="AO41" t="s">
        <v>238</v>
      </c>
      <c r="AP41" t="b">
        <v>0</v>
      </c>
      <c r="AQ41" t="b">
        <v>0</v>
      </c>
      <c r="AR41" t="b">
        <v>0</v>
      </c>
    </row>
    <row r="42" spans="1:45" x14ac:dyDescent="0.3">
      <c r="A42">
        <v>50</v>
      </c>
      <c r="B42">
        <v>47</v>
      </c>
      <c r="C42" t="s">
        <v>239</v>
      </c>
      <c r="D42" t="s">
        <v>45</v>
      </c>
      <c r="E42" t="s">
        <v>46</v>
      </c>
      <c r="F42" t="s">
        <v>56</v>
      </c>
      <c r="G42">
        <v>84</v>
      </c>
      <c r="H42">
        <v>68</v>
      </c>
      <c r="I42">
        <v>97.6</v>
      </c>
      <c r="J42">
        <v>67.7</v>
      </c>
      <c r="K42">
        <v>45.4</v>
      </c>
      <c r="L42">
        <v>52</v>
      </c>
      <c r="M42">
        <v>89.4</v>
      </c>
      <c r="N42">
        <v>96.8</v>
      </c>
      <c r="O42">
        <v>55.4</v>
      </c>
      <c r="P42">
        <v>76</v>
      </c>
      <c r="Q42">
        <v>28</v>
      </c>
      <c r="R42" t="s">
        <v>239</v>
      </c>
      <c r="S42">
        <v>83.2</v>
      </c>
      <c r="T42">
        <v>280</v>
      </c>
      <c r="U42">
        <v>72.3</v>
      </c>
      <c r="V42">
        <v>37</v>
      </c>
      <c r="W42">
        <v>78.8</v>
      </c>
      <c r="X42">
        <v>34</v>
      </c>
      <c r="Y42">
        <v>97.8</v>
      </c>
      <c r="Z42">
        <v>15</v>
      </c>
      <c r="AA42">
        <v>99.7</v>
      </c>
      <c r="AB42">
        <v>50</v>
      </c>
      <c r="AC42">
        <v>75.900000000000006</v>
      </c>
      <c r="AD42">
        <v>315</v>
      </c>
      <c r="AE42" t="s">
        <v>49</v>
      </c>
      <c r="AF42">
        <v>0</v>
      </c>
      <c r="AG42" t="s">
        <v>240</v>
      </c>
      <c r="AH42">
        <v>490</v>
      </c>
      <c r="AI42" t="s">
        <v>46</v>
      </c>
      <c r="AJ42" s="1">
        <v>18894</v>
      </c>
      <c r="AK42">
        <v>13.1</v>
      </c>
      <c r="AL42" s="2">
        <v>0.18</v>
      </c>
      <c r="AM42" s="3">
        <v>2.2000000000000002</v>
      </c>
      <c r="AN42" t="s">
        <v>239</v>
      </c>
      <c r="AO42" t="s">
        <v>241</v>
      </c>
      <c r="AP42" t="b">
        <v>0</v>
      </c>
      <c r="AQ42" t="b">
        <v>0</v>
      </c>
      <c r="AR42" t="b">
        <v>0</v>
      </c>
      <c r="AS42" t="s">
        <v>242</v>
      </c>
    </row>
    <row r="43" spans="1:45" x14ac:dyDescent="0.3">
      <c r="A43">
        <v>50</v>
      </c>
      <c r="B43">
        <v>45</v>
      </c>
      <c r="C43" t="s">
        <v>243</v>
      </c>
      <c r="D43" t="s">
        <v>54</v>
      </c>
      <c r="E43" t="s">
        <v>55</v>
      </c>
      <c r="F43" t="s">
        <v>56</v>
      </c>
      <c r="G43">
        <v>67.2</v>
      </c>
      <c r="H43">
        <v>97</v>
      </c>
      <c r="I43">
        <v>35.1</v>
      </c>
      <c r="J43">
        <v>69.400000000000006</v>
      </c>
      <c r="K43">
        <v>100</v>
      </c>
      <c r="L43">
        <v>100</v>
      </c>
      <c r="M43">
        <v>81.2</v>
      </c>
      <c r="N43">
        <v>99.6</v>
      </c>
      <c r="O43">
        <v>91.3</v>
      </c>
      <c r="P43">
        <v>76</v>
      </c>
      <c r="Q43">
        <v>46</v>
      </c>
      <c r="R43" t="s">
        <v>244</v>
      </c>
      <c r="S43">
        <v>76.8</v>
      </c>
      <c r="T43">
        <v>460</v>
      </c>
      <c r="U43">
        <v>59.5</v>
      </c>
      <c r="V43">
        <v>77</v>
      </c>
      <c r="W43">
        <v>73.5</v>
      </c>
      <c r="X43">
        <v>49</v>
      </c>
      <c r="Y43">
        <v>95.4</v>
      </c>
      <c r="Z43">
        <v>46</v>
      </c>
      <c r="AA43">
        <v>55.9</v>
      </c>
      <c r="AB43">
        <v>715</v>
      </c>
      <c r="AC43">
        <v>94.1</v>
      </c>
      <c r="AD43">
        <v>63</v>
      </c>
      <c r="AE43" t="s">
        <v>57</v>
      </c>
      <c r="AF43">
        <v>0</v>
      </c>
      <c r="AG43" t="s">
        <v>245</v>
      </c>
      <c r="AH43">
        <v>511</v>
      </c>
      <c r="AI43" t="s">
        <v>55</v>
      </c>
      <c r="AJ43" s="1">
        <v>11945</v>
      </c>
      <c r="AK43">
        <v>12.6</v>
      </c>
      <c r="AL43" s="2">
        <v>0.72</v>
      </c>
      <c r="AM43" s="3">
        <v>2.3638888888888889</v>
      </c>
      <c r="AN43" t="s">
        <v>244</v>
      </c>
      <c r="AO43" t="s">
        <v>246</v>
      </c>
      <c r="AP43" t="b">
        <v>0</v>
      </c>
      <c r="AQ43" t="b">
        <v>0</v>
      </c>
      <c r="AR43" t="b">
        <v>0</v>
      </c>
      <c r="AS43" t="s">
        <v>247</v>
      </c>
    </row>
    <row r="44" spans="1:45" x14ac:dyDescent="0.3">
      <c r="A44">
        <v>54</v>
      </c>
      <c r="B44">
        <v>55</v>
      </c>
      <c r="C44" t="s">
        <v>248</v>
      </c>
      <c r="D44" t="s">
        <v>54</v>
      </c>
      <c r="E44" t="s">
        <v>55</v>
      </c>
      <c r="F44" t="s">
        <v>56</v>
      </c>
      <c r="G44">
        <v>75.8</v>
      </c>
      <c r="H44">
        <v>82.5</v>
      </c>
      <c r="I44">
        <v>36.700000000000003</v>
      </c>
      <c r="J44">
        <v>75.900000000000006</v>
      </c>
      <c r="K44">
        <v>87.5</v>
      </c>
      <c r="L44">
        <v>89.8</v>
      </c>
      <c r="M44">
        <v>94.6</v>
      </c>
      <c r="N44">
        <v>51.2</v>
      </c>
      <c r="O44">
        <v>98.9</v>
      </c>
      <c r="P44">
        <v>75.400000000000006</v>
      </c>
      <c r="Q44">
        <v>81</v>
      </c>
      <c r="R44" t="s">
        <v>248</v>
      </c>
      <c r="S44">
        <v>69.8</v>
      </c>
      <c r="T44">
        <v>810</v>
      </c>
      <c r="U44">
        <v>48.7</v>
      </c>
      <c r="V44">
        <v>148</v>
      </c>
      <c r="W44">
        <v>56.5</v>
      </c>
      <c r="X44">
        <v>105</v>
      </c>
      <c r="Y44">
        <v>97.3</v>
      </c>
      <c r="Z44">
        <v>26</v>
      </c>
      <c r="AA44">
        <v>72.3</v>
      </c>
      <c r="AB44">
        <v>378</v>
      </c>
      <c r="AC44">
        <v>92.5</v>
      </c>
      <c r="AD44">
        <v>91</v>
      </c>
      <c r="AE44" t="s">
        <v>57</v>
      </c>
      <c r="AF44">
        <v>11</v>
      </c>
      <c r="AG44" t="s">
        <v>249</v>
      </c>
      <c r="AH44">
        <v>530</v>
      </c>
      <c r="AI44" t="s">
        <v>55</v>
      </c>
      <c r="AJ44" s="1">
        <v>27335</v>
      </c>
      <c r="AK44">
        <v>14.8</v>
      </c>
      <c r="AL44" s="2">
        <v>0.31</v>
      </c>
      <c r="AM44" s="3">
        <v>2.3229166666666665</v>
      </c>
      <c r="AN44" t="s">
        <v>248</v>
      </c>
      <c r="AO44" t="s">
        <v>250</v>
      </c>
      <c r="AP44" t="b">
        <v>0</v>
      </c>
      <c r="AQ44" t="b">
        <v>0</v>
      </c>
      <c r="AR44" t="b">
        <v>0</v>
      </c>
    </row>
    <row r="45" spans="1:45" x14ac:dyDescent="0.3">
      <c r="A45">
        <v>55</v>
      </c>
      <c r="B45">
        <v>53</v>
      </c>
      <c r="C45" t="s">
        <v>251</v>
      </c>
      <c r="D45" t="s">
        <v>231</v>
      </c>
      <c r="E45" t="s">
        <v>232</v>
      </c>
      <c r="F45" t="s">
        <v>77</v>
      </c>
      <c r="G45">
        <v>83.8</v>
      </c>
      <c r="H45">
        <v>52.1</v>
      </c>
      <c r="I45">
        <v>21.4</v>
      </c>
      <c r="J45">
        <v>92.2</v>
      </c>
      <c r="K45">
        <v>96</v>
      </c>
      <c r="L45">
        <v>87.5</v>
      </c>
      <c r="M45">
        <v>96.3</v>
      </c>
      <c r="N45">
        <v>79.8</v>
      </c>
      <c r="O45">
        <v>38.200000000000003</v>
      </c>
      <c r="P45">
        <v>73.7</v>
      </c>
      <c r="Q45">
        <v>61</v>
      </c>
      <c r="R45" t="s">
        <v>251</v>
      </c>
      <c r="S45">
        <v>73.599999999999994</v>
      </c>
      <c r="T45">
        <v>610</v>
      </c>
      <c r="U45">
        <v>55</v>
      </c>
      <c r="V45">
        <v>99</v>
      </c>
      <c r="W45">
        <v>63.1</v>
      </c>
      <c r="X45">
        <v>74</v>
      </c>
      <c r="Y45">
        <v>96.7</v>
      </c>
      <c r="Z45">
        <v>33</v>
      </c>
      <c r="AA45">
        <v>77.599999999999994</v>
      </c>
      <c r="AB45">
        <v>292</v>
      </c>
      <c r="AC45">
        <v>93.2</v>
      </c>
      <c r="AD45">
        <v>80</v>
      </c>
      <c r="AE45" t="s">
        <v>57</v>
      </c>
      <c r="AF45">
        <v>1</v>
      </c>
      <c r="AG45" t="s">
        <v>252</v>
      </c>
      <c r="AH45">
        <v>556</v>
      </c>
      <c r="AI45" t="s">
        <v>232</v>
      </c>
      <c r="AJ45" s="1">
        <v>28649</v>
      </c>
      <c r="AK45">
        <v>13.2</v>
      </c>
      <c r="AL45" s="2">
        <v>0.36</v>
      </c>
      <c r="AM45" s="3">
        <v>2.5277777777777777</v>
      </c>
      <c r="AN45" t="s">
        <v>253</v>
      </c>
      <c r="AO45" t="s">
        <v>254</v>
      </c>
      <c r="AP45" t="b">
        <v>0</v>
      </c>
      <c r="AQ45" t="b">
        <v>0</v>
      </c>
      <c r="AR45" t="b">
        <v>0</v>
      </c>
    </row>
    <row r="46" spans="1:45" x14ac:dyDescent="0.3">
      <c r="A46">
        <v>57</v>
      </c>
      <c r="B46">
        <v>65</v>
      </c>
      <c r="C46" t="s">
        <v>255</v>
      </c>
      <c r="D46" t="s">
        <v>112</v>
      </c>
      <c r="E46" t="s">
        <v>113</v>
      </c>
      <c r="F46" t="s">
        <v>56</v>
      </c>
      <c r="G46">
        <v>68</v>
      </c>
      <c r="H46">
        <v>35.6</v>
      </c>
      <c r="I46">
        <v>65</v>
      </c>
      <c r="J46">
        <v>94.9</v>
      </c>
      <c r="K46">
        <v>100</v>
      </c>
      <c r="L46">
        <v>91.9</v>
      </c>
      <c r="M46">
        <v>78.900000000000006</v>
      </c>
      <c r="N46">
        <v>64.5</v>
      </c>
      <c r="O46">
        <v>77.400000000000006</v>
      </c>
      <c r="P46">
        <v>72.099999999999994</v>
      </c>
      <c r="Q46">
        <f>87</f>
        <v>87</v>
      </c>
      <c r="R46" t="s">
        <v>256</v>
      </c>
      <c r="S46">
        <v>68.2</v>
      </c>
      <c r="T46">
        <v>880</v>
      </c>
      <c r="U46">
        <v>45.7</v>
      </c>
      <c r="V46">
        <v>193</v>
      </c>
      <c r="W46">
        <v>54.1</v>
      </c>
      <c r="X46">
        <v>117</v>
      </c>
      <c r="Y46">
        <v>94.5</v>
      </c>
      <c r="Z46">
        <v>53</v>
      </c>
      <c r="AA46">
        <v>87.4</v>
      </c>
      <c r="AB46">
        <v>181</v>
      </c>
      <c r="AC46">
        <v>96.3</v>
      </c>
      <c r="AD46">
        <v>29</v>
      </c>
      <c r="AE46" t="s">
        <v>57</v>
      </c>
      <c r="AF46">
        <v>11</v>
      </c>
      <c r="AG46" t="s">
        <v>257</v>
      </c>
      <c r="AH46">
        <v>723</v>
      </c>
      <c r="AI46" t="s">
        <v>116</v>
      </c>
      <c r="AJ46" s="1">
        <v>20034</v>
      </c>
      <c r="AK46">
        <v>30.6</v>
      </c>
      <c r="AL46" s="2">
        <v>0.3</v>
      </c>
      <c r="AM46" s="3">
        <v>2.1590277777777778</v>
      </c>
      <c r="AN46" t="s">
        <v>258</v>
      </c>
      <c r="AO46" t="s">
        <v>259</v>
      </c>
      <c r="AP46" t="b">
        <v>0</v>
      </c>
      <c r="AQ46" t="b">
        <v>0</v>
      </c>
      <c r="AR46" t="b">
        <v>0</v>
      </c>
    </row>
    <row r="47" spans="1:45" x14ac:dyDescent="0.3">
      <c r="A47">
        <v>58</v>
      </c>
      <c r="B47">
        <v>52</v>
      </c>
      <c r="C47" t="s">
        <v>260</v>
      </c>
      <c r="D47" t="s">
        <v>45</v>
      </c>
      <c r="E47" t="s">
        <v>46</v>
      </c>
      <c r="F47" t="s">
        <v>56</v>
      </c>
      <c r="G47">
        <v>69.8</v>
      </c>
      <c r="H47">
        <v>80.099999999999994</v>
      </c>
      <c r="I47">
        <v>40.9</v>
      </c>
      <c r="J47">
        <v>98.9</v>
      </c>
      <c r="K47">
        <v>33.700000000000003</v>
      </c>
      <c r="L47">
        <v>99.1</v>
      </c>
      <c r="M47">
        <v>79.900000000000006</v>
      </c>
      <c r="N47">
        <v>61.5</v>
      </c>
      <c r="O47">
        <v>24.5</v>
      </c>
      <c r="P47">
        <v>72</v>
      </c>
      <c r="Q47">
        <v>24</v>
      </c>
      <c r="R47" t="s">
        <v>260</v>
      </c>
      <c r="S47">
        <v>86.3</v>
      </c>
      <c r="T47">
        <v>240</v>
      </c>
      <c r="U47">
        <v>75</v>
      </c>
      <c r="V47">
        <v>32</v>
      </c>
      <c r="W47">
        <v>84.6</v>
      </c>
      <c r="X47">
        <v>26</v>
      </c>
      <c r="Y47">
        <v>98.9</v>
      </c>
      <c r="Z47">
        <v>6</v>
      </c>
      <c r="AA47">
        <v>87.3</v>
      </c>
      <c r="AB47">
        <v>182</v>
      </c>
      <c r="AC47">
        <v>85.5</v>
      </c>
      <c r="AD47">
        <v>184</v>
      </c>
      <c r="AE47" t="s">
        <v>49</v>
      </c>
      <c r="AF47">
        <v>0</v>
      </c>
      <c r="AG47" t="s">
        <v>261</v>
      </c>
      <c r="AH47">
        <v>485</v>
      </c>
      <c r="AI47" t="s">
        <v>46</v>
      </c>
      <c r="AJ47" s="1">
        <v>13562</v>
      </c>
      <c r="AK47">
        <v>11.9</v>
      </c>
      <c r="AL47" s="2">
        <v>0.44</v>
      </c>
      <c r="AM47" s="3">
        <v>1.8722222222222222</v>
      </c>
      <c r="AN47" t="s">
        <v>260</v>
      </c>
      <c r="AO47" t="s">
        <v>262</v>
      </c>
      <c r="AP47" t="b">
        <v>0</v>
      </c>
      <c r="AQ47" t="b">
        <v>0</v>
      </c>
      <c r="AR47" t="b">
        <v>0</v>
      </c>
      <c r="AS47" t="s">
        <v>263</v>
      </c>
    </row>
    <row r="48" spans="1:45" x14ac:dyDescent="0.3">
      <c r="A48">
        <v>61</v>
      </c>
      <c r="B48">
        <v>57</v>
      </c>
      <c r="C48" t="s">
        <v>264</v>
      </c>
      <c r="D48" t="s">
        <v>45</v>
      </c>
      <c r="E48" t="s">
        <v>46</v>
      </c>
      <c r="F48" t="s">
        <v>56</v>
      </c>
      <c r="G48">
        <v>86</v>
      </c>
      <c r="H48">
        <v>74.7</v>
      </c>
      <c r="I48">
        <v>100</v>
      </c>
      <c r="J48">
        <v>35.1</v>
      </c>
      <c r="K48">
        <v>16.3</v>
      </c>
      <c r="L48">
        <v>61</v>
      </c>
      <c r="M48">
        <v>93.3</v>
      </c>
      <c r="N48">
        <v>85.5</v>
      </c>
      <c r="O48">
        <v>75</v>
      </c>
      <c r="P48">
        <v>70.8</v>
      </c>
      <c r="Q48">
        <v>26</v>
      </c>
      <c r="R48" t="s">
        <v>264</v>
      </c>
      <c r="S48">
        <v>83.9</v>
      </c>
      <c r="T48">
        <v>260</v>
      </c>
      <c r="U48">
        <v>79.3</v>
      </c>
      <c r="V48">
        <v>24</v>
      </c>
      <c r="W48">
        <v>76.099999999999994</v>
      </c>
      <c r="X48">
        <v>41</v>
      </c>
      <c r="Y48">
        <v>96.2</v>
      </c>
      <c r="Z48">
        <v>36</v>
      </c>
      <c r="AA48">
        <v>100</v>
      </c>
      <c r="AB48">
        <v>6</v>
      </c>
      <c r="AC48">
        <v>74.8</v>
      </c>
      <c r="AD48">
        <v>331</v>
      </c>
      <c r="AE48" t="s">
        <v>49</v>
      </c>
      <c r="AF48">
        <v>0</v>
      </c>
      <c r="AG48" t="s">
        <v>265</v>
      </c>
      <c r="AH48">
        <v>487</v>
      </c>
      <c r="AI48" t="s">
        <v>46</v>
      </c>
      <c r="AJ48" s="1">
        <v>15527</v>
      </c>
      <c r="AK48">
        <v>3.9</v>
      </c>
      <c r="AL48" s="2">
        <v>0.18</v>
      </c>
      <c r="AM48" s="3">
        <v>2.2000000000000002</v>
      </c>
      <c r="AN48" t="s">
        <v>264</v>
      </c>
      <c r="AO48" t="s">
        <v>266</v>
      </c>
      <c r="AP48" t="b">
        <v>0</v>
      </c>
      <c r="AQ48" t="b">
        <v>0</v>
      </c>
      <c r="AR48" t="b">
        <v>0</v>
      </c>
      <c r="AS48" t="s">
        <v>267</v>
      </c>
    </row>
    <row r="49" spans="1:45" x14ac:dyDescent="0.3">
      <c r="A49">
        <v>62</v>
      </c>
      <c r="B49">
        <v>70</v>
      </c>
      <c r="C49" t="s">
        <v>268</v>
      </c>
      <c r="D49" t="s">
        <v>112</v>
      </c>
      <c r="E49" t="s">
        <v>113</v>
      </c>
      <c r="F49" t="s">
        <v>47</v>
      </c>
      <c r="G49">
        <v>60.9</v>
      </c>
      <c r="H49">
        <v>30.8</v>
      </c>
      <c r="I49">
        <v>89.5</v>
      </c>
      <c r="J49">
        <v>100</v>
      </c>
      <c r="K49">
        <v>100</v>
      </c>
      <c r="L49">
        <v>100</v>
      </c>
      <c r="M49">
        <v>62.9</v>
      </c>
      <c r="N49">
        <v>37.5</v>
      </c>
      <c r="O49">
        <v>72.900000000000006</v>
      </c>
      <c r="P49">
        <v>70.7</v>
      </c>
      <c r="Q49">
        <v>82</v>
      </c>
      <c r="R49" t="s">
        <v>268</v>
      </c>
      <c r="S49">
        <v>69.3</v>
      </c>
      <c r="T49">
        <v>820</v>
      </c>
      <c r="U49">
        <v>52.2</v>
      </c>
      <c r="V49">
        <v>116</v>
      </c>
      <c r="W49">
        <v>52.4</v>
      </c>
      <c r="X49">
        <v>124</v>
      </c>
      <c r="Y49">
        <v>91.1</v>
      </c>
      <c r="Z49">
        <v>105</v>
      </c>
      <c r="AA49">
        <v>100</v>
      </c>
      <c r="AB49">
        <v>4</v>
      </c>
      <c r="AC49">
        <v>98.7</v>
      </c>
      <c r="AD49">
        <v>2</v>
      </c>
      <c r="AE49" t="s">
        <v>57</v>
      </c>
      <c r="AF49">
        <v>11</v>
      </c>
      <c r="AG49" t="s">
        <v>269</v>
      </c>
      <c r="AH49">
        <v>657</v>
      </c>
      <c r="AI49" t="s">
        <v>116</v>
      </c>
      <c r="AJ49" s="1">
        <v>9076</v>
      </c>
      <c r="AK49">
        <v>13.2</v>
      </c>
      <c r="AL49" s="2">
        <v>0.67</v>
      </c>
      <c r="AM49" s="3">
        <v>2.2819444444444446</v>
      </c>
      <c r="AN49" t="s">
        <v>270</v>
      </c>
      <c r="AO49" t="s">
        <v>271</v>
      </c>
      <c r="AP49" t="b">
        <v>0</v>
      </c>
      <c r="AQ49" t="b">
        <v>0</v>
      </c>
      <c r="AR49" t="b">
        <v>0</v>
      </c>
    </row>
    <row r="50" spans="1:45" x14ac:dyDescent="0.3">
      <c r="A50">
        <v>63</v>
      </c>
      <c r="B50">
        <v>61</v>
      </c>
      <c r="C50" t="s">
        <v>272</v>
      </c>
      <c r="D50" t="s">
        <v>273</v>
      </c>
      <c r="E50" t="s">
        <v>274</v>
      </c>
      <c r="F50" t="s">
        <v>77</v>
      </c>
      <c r="G50">
        <v>84.6</v>
      </c>
      <c r="H50">
        <v>49.6</v>
      </c>
      <c r="I50">
        <v>7.1</v>
      </c>
      <c r="J50">
        <v>91</v>
      </c>
      <c r="K50">
        <v>93.8</v>
      </c>
      <c r="L50">
        <v>47.7</v>
      </c>
      <c r="M50">
        <v>99.5</v>
      </c>
      <c r="N50">
        <v>75.3</v>
      </c>
      <c r="O50">
        <v>51.2</v>
      </c>
      <c r="P50">
        <v>70.3</v>
      </c>
      <c r="Q50">
        <v>45</v>
      </c>
      <c r="R50" t="s">
        <v>272</v>
      </c>
      <c r="S50">
        <v>77</v>
      </c>
      <c r="T50">
        <v>450</v>
      </c>
      <c r="U50">
        <v>60.1</v>
      </c>
      <c r="V50">
        <v>72</v>
      </c>
      <c r="W50">
        <v>74.900000000000006</v>
      </c>
      <c r="X50">
        <v>48</v>
      </c>
      <c r="Y50">
        <v>91.9</v>
      </c>
      <c r="Z50">
        <v>95</v>
      </c>
      <c r="AA50">
        <v>100</v>
      </c>
      <c r="AB50">
        <v>13</v>
      </c>
      <c r="AC50">
        <v>79.599999999999994</v>
      </c>
      <c r="AD50">
        <v>259</v>
      </c>
      <c r="AE50" t="s">
        <v>57</v>
      </c>
      <c r="AF50">
        <v>11</v>
      </c>
      <c r="AG50" t="s">
        <v>275</v>
      </c>
      <c r="AH50">
        <v>531</v>
      </c>
      <c r="AI50" t="s">
        <v>274</v>
      </c>
      <c r="AJ50" s="1">
        <v>49435</v>
      </c>
      <c r="AK50">
        <v>37.299999999999997</v>
      </c>
      <c r="AL50" s="2">
        <v>0.19</v>
      </c>
      <c r="AM50" s="3">
        <v>2.2000000000000002</v>
      </c>
      <c r="AN50" t="s">
        <v>272</v>
      </c>
      <c r="AO50" t="s">
        <v>276</v>
      </c>
      <c r="AP50" t="b">
        <v>0</v>
      </c>
      <c r="AQ50" t="b">
        <v>0</v>
      </c>
      <c r="AR50" t="b">
        <v>0</v>
      </c>
    </row>
    <row r="51" spans="1:45" x14ac:dyDescent="0.3">
      <c r="A51">
        <v>63</v>
      </c>
      <c r="B51">
        <v>59</v>
      </c>
      <c r="C51" t="s">
        <v>277</v>
      </c>
      <c r="D51" t="s">
        <v>217</v>
      </c>
      <c r="E51" t="s">
        <v>218</v>
      </c>
      <c r="F51" t="s">
        <v>77</v>
      </c>
      <c r="G51">
        <v>87.2</v>
      </c>
      <c r="H51">
        <v>52</v>
      </c>
      <c r="I51">
        <v>43</v>
      </c>
      <c r="J51">
        <v>72.3</v>
      </c>
      <c r="K51">
        <v>33.799999999999997</v>
      </c>
      <c r="L51">
        <v>46.7</v>
      </c>
      <c r="M51">
        <v>99.8</v>
      </c>
      <c r="N51">
        <v>79.7</v>
      </c>
      <c r="O51">
        <v>87.6</v>
      </c>
      <c r="P51">
        <v>70.3</v>
      </c>
      <c r="Q51">
        <v>75</v>
      </c>
      <c r="R51" t="s">
        <v>277</v>
      </c>
      <c r="S51">
        <v>70.5</v>
      </c>
      <c r="T51">
        <v>750</v>
      </c>
      <c r="U51">
        <v>64.7</v>
      </c>
      <c r="V51">
        <v>58</v>
      </c>
      <c r="W51">
        <v>60.8</v>
      </c>
      <c r="X51">
        <v>81</v>
      </c>
      <c r="Y51">
        <v>83.7</v>
      </c>
      <c r="Z51">
        <v>242</v>
      </c>
      <c r="AA51">
        <v>69.5</v>
      </c>
      <c r="AB51">
        <v>444</v>
      </c>
      <c r="AC51">
        <v>78.8</v>
      </c>
      <c r="AD51">
        <v>269</v>
      </c>
      <c r="AE51" t="s">
        <v>57</v>
      </c>
      <c r="AF51">
        <v>0</v>
      </c>
      <c r="AG51" t="s">
        <v>278</v>
      </c>
      <c r="AH51">
        <v>644699</v>
      </c>
      <c r="AI51" t="s">
        <v>218</v>
      </c>
      <c r="AJ51" s="1">
        <v>41527</v>
      </c>
      <c r="AK51">
        <v>14.5</v>
      </c>
      <c r="AL51" s="2">
        <v>0.22</v>
      </c>
      <c r="AM51" s="3">
        <v>2.5277777777777777</v>
      </c>
      <c r="AN51" t="s">
        <v>277</v>
      </c>
      <c r="AO51" t="s">
        <v>279</v>
      </c>
      <c r="AP51" t="b">
        <v>0</v>
      </c>
      <c r="AQ51" t="b">
        <v>0</v>
      </c>
      <c r="AR51" t="b">
        <v>0</v>
      </c>
    </row>
    <row r="52" spans="1:45" x14ac:dyDescent="0.3">
      <c r="A52">
        <v>65</v>
      </c>
      <c r="B52">
        <v>68</v>
      </c>
      <c r="C52" t="s">
        <v>280</v>
      </c>
      <c r="D52" t="s">
        <v>281</v>
      </c>
      <c r="E52" t="s">
        <v>282</v>
      </c>
      <c r="F52" t="s">
        <v>77</v>
      </c>
      <c r="G52">
        <v>82.2</v>
      </c>
      <c r="H52">
        <v>44.7</v>
      </c>
      <c r="I52">
        <v>15.5</v>
      </c>
      <c r="J52">
        <v>66.900000000000006</v>
      </c>
      <c r="K52">
        <v>100</v>
      </c>
      <c r="L52">
        <v>84</v>
      </c>
      <c r="M52">
        <v>87.4</v>
      </c>
      <c r="N52">
        <v>92.9</v>
      </c>
      <c r="O52">
        <v>99.7</v>
      </c>
      <c r="P52">
        <v>69.7</v>
      </c>
      <c r="Q52">
        <f>150</f>
        <v>150</v>
      </c>
      <c r="R52" t="s">
        <v>283</v>
      </c>
      <c r="S52">
        <v>62</v>
      </c>
      <c r="T52">
        <v>1500</v>
      </c>
      <c r="U52">
        <v>39.700000000000003</v>
      </c>
      <c r="V52">
        <v>316</v>
      </c>
      <c r="W52">
        <v>45.7</v>
      </c>
      <c r="X52">
        <v>182</v>
      </c>
      <c r="Y52">
        <v>88.3</v>
      </c>
      <c r="Z52">
        <v>148</v>
      </c>
      <c r="AA52">
        <v>95.8</v>
      </c>
      <c r="AB52">
        <v>109</v>
      </c>
      <c r="AC52">
        <v>89.9</v>
      </c>
      <c r="AD52">
        <v>129</v>
      </c>
      <c r="AE52" t="s">
        <v>57</v>
      </c>
      <c r="AF52">
        <v>0</v>
      </c>
      <c r="AG52" t="s">
        <v>284</v>
      </c>
      <c r="AH52">
        <v>637</v>
      </c>
      <c r="AI52" t="s">
        <v>282</v>
      </c>
      <c r="AJ52" s="1">
        <v>35663</v>
      </c>
      <c r="AK52">
        <v>24.4</v>
      </c>
      <c r="AL52" s="2">
        <v>0.31</v>
      </c>
      <c r="AM52" s="3">
        <v>2.4048611111111109</v>
      </c>
      <c r="AN52" t="s">
        <v>285</v>
      </c>
      <c r="AO52" t="s">
        <v>286</v>
      </c>
      <c r="AP52" t="b">
        <v>0</v>
      </c>
      <c r="AQ52" t="b">
        <v>0</v>
      </c>
      <c r="AR52" t="b">
        <v>0</v>
      </c>
    </row>
    <row r="53" spans="1:45" x14ac:dyDescent="0.3">
      <c r="A53">
        <v>66</v>
      </c>
      <c r="B53">
        <v>58</v>
      </c>
      <c r="C53" t="s">
        <v>287</v>
      </c>
      <c r="D53" t="s">
        <v>45</v>
      </c>
      <c r="E53" t="s">
        <v>46</v>
      </c>
      <c r="F53" t="s">
        <v>77</v>
      </c>
      <c r="G53">
        <v>93.5</v>
      </c>
      <c r="H53">
        <v>86.6</v>
      </c>
      <c r="I53">
        <v>8.1</v>
      </c>
      <c r="J53">
        <v>76.7</v>
      </c>
      <c r="K53">
        <v>6.1</v>
      </c>
      <c r="L53">
        <v>11.7</v>
      </c>
      <c r="M53">
        <v>91.7</v>
      </c>
      <c r="N53">
        <v>81.7</v>
      </c>
      <c r="O53">
        <v>52.1</v>
      </c>
      <c r="P53">
        <v>69.5</v>
      </c>
      <c r="Q53">
        <v>52</v>
      </c>
      <c r="R53" t="s">
        <v>287</v>
      </c>
      <c r="S53">
        <v>75.5</v>
      </c>
      <c r="T53">
        <v>520</v>
      </c>
      <c r="U53">
        <v>66</v>
      </c>
      <c r="V53">
        <v>54</v>
      </c>
      <c r="W53">
        <v>75.7</v>
      </c>
      <c r="X53">
        <v>42</v>
      </c>
      <c r="Y53">
        <v>91</v>
      </c>
      <c r="Z53">
        <v>109</v>
      </c>
      <c r="AA53">
        <v>81.400000000000006</v>
      </c>
      <c r="AB53">
        <v>247</v>
      </c>
      <c r="AC53">
        <v>47.3</v>
      </c>
      <c r="AD53">
        <v>881</v>
      </c>
      <c r="AE53" t="s">
        <v>208</v>
      </c>
      <c r="AF53">
        <v>0</v>
      </c>
      <c r="AG53" t="s">
        <v>288</v>
      </c>
      <c r="AH53">
        <v>493</v>
      </c>
      <c r="AI53" t="s">
        <v>46</v>
      </c>
      <c r="AJ53" s="1">
        <v>48558</v>
      </c>
      <c r="AK53">
        <v>16.399999999999999</v>
      </c>
      <c r="AL53" s="2">
        <v>0.08</v>
      </c>
      <c r="AM53" s="3">
        <v>2.3229166666666665</v>
      </c>
      <c r="AN53" t="s">
        <v>287</v>
      </c>
      <c r="AO53" t="s">
        <v>289</v>
      </c>
      <c r="AP53" t="b">
        <v>0</v>
      </c>
      <c r="AQ53" t="b">
        <v>0</v>
      </c>
      <c r="AR53" t="b">
        <v>0</v>
      </c>
      <c r="AS53" t="s">
        <v>290</v>
      </c>
    </row>
    <row r="54" spans="1:45" x14ac:dyDescent="0.3">
      <c r="A54">
        <v>67</v>
      </c>
      <c r="B54">
        <v>79</v>
      </c>
      <c r="C54" t="s">
        <v>291</v>
      </c>
      <c r="D54" t="s">
        <v>166</v>
      </c>
      <c r="E54" t="s">
        <v>167</v>
      </c>
      <c r="F54" t="s">
        <v>56</v>
      </c>
      <c r="G54">
        <v>78.2</v>
      </c>
      <c r="H54">
        <v>93.8</v>
      </c>
      <c r="I54">
        <v>73</v>
      </c>
      <c r="J54">
        <v>45</v>
      </c>
      <c r="K54">
        <v>15.2</v>
      </c>
      <c r="L54">
        <v>45.7</v>
      </c>
      <c r="M54">
        <v>65.7</v>
      </c>
      <c r="N54">
        <v>89</v>
      </c>
      <c r="O54">
        <v>85.2</v>
      </c>
      <c r="P54">
        <v>69</v>
      </c>
      <c r="Q54" t="s">
        <v>292</v>
      </c>
      <c r="R54" t="s">
        <v>291</v>
      </c>
      <c r="S54" t="s">
        <v>293</v>
      </c>
      <c r="T54">
        <v>2190</v>
      </c>
      <c r="U54">
        <v>48.6</v>
      </c>
      <c r="V54">
        <v>150</v>
      </c>
      <c r="W54">
        <v>46.6</v>
      </c>
      <c r="X54">
        <v>173</v>
      </c>
      <c r="Y54">
        <v>72</v>
      </c>
      <c r="Z54">
        <v>507</v>
      </c>
      <c r="AA54">
        <v>99.7</v>
      </c>
      <c r="AB54">
        <v>47</v>
      </c>
      <c r="AC54">
        <v>62.5</v>
      </c>
      <c r="AD54">
        <v>533</v>
      </c>
      <c r="AE54" t="s">
        <v>57</v>
      </c>
      <c r="AF54">
        <v>6</v>
      </c>
      <c r="AG54" t="s">
        <v>294</v>
      </c>
      <c r="AH54">
        <v>702</v>
      </c>
      <c r="AI54" t="s">
        <v>167</v>
      </c>
      <c r="AJ54" s="1">
        <v>22324</v>
      </c>
      <c r="AK54">
        <v>16.3</v>
      </c>
      <c r="AL54" s="2">
        <v>0.31</v>
      </c>
      <c r="AN54" t="s">
        <v>291</v>
      </c>
      <c r="AO54" t="s">
        <v>295</v>
      </c>
      <c r="AP54" t="b">
        <v>0</v>
      </c>
      <c r="AQ54" t="b">
        <v>0</v>
      </c>
      <c r="AR54" t="b">
        <v>0</v>
      </c>
    </row>
    <row r="55" spans="1:45" x14ac:dyDescent="0.3">
      <c r="A55">
        <v>68</v>
      </c>
      <c r="B55">
        <v>69</v>
      </c>
      <c r="C55" t="s">
        <v>296</v>
      </c>
      <c r="D55" t="s">
        <v>297</v>
      </c>
      <c r="E55" t="s">
        <v>298</v>
      </c>
      <c r="F55" t="s">
        <v>77</v>
      </c>
      <c r="G55">
        <v>93.4</v>
      </c>
      <c r="H55">
        <v>92.1</v>
      </c>
      <c r="I55">
        <v>25.5</v>
      </c>
      <c r="J55">
        <v>44.3</v>
      </c>
      <c r="K55">
        <v>16.7</v>
      </c>
      <c r="L55">
        <v>27.4</v>
      </c>
      <c r="M55">
        <v>71.5</v>
      </c>
      <c r="N55">
        <v>99.9</v>
      </c>
      <c r="O55">
        <v>90</v>
      </c>
      <c r="P55">
        <v>68.7</v>
      </c>
      <c r="Q55">
        <f>152</f>
        <v>152</v>
      </c>
      <c r="R55" t="s">
        <v>296</v>
      </c>
      <c r="S55">
        <v>61.9</v>
      </c>
      <c r="T55">
        <v>1530</v>
      </c>
      <c r="U55">
        <v>57.3</v>
      </c>
      <c r="V55">
        <v>88</v>
      </c>
      <c r="W55">
        <v>54.8</v>
      </c>
      <c r="X55">
        <v>113</v>
      </c>
      <c r="Y55">
        <v>70.8</v>
      </c>
      <c r="Z55">
        <v>544</v>
      </c>
      <c r="AA55">
        <v>99.9</v>
      </c>
      <c r="AB55">
        <v>33</v>
      </c>
      <c r="AC55">
        <v>51.2</v>
      </c>
      <c r="AD55">
        <v>766</v>
      </c>
      <c r="AE55" t="s">
        <v>57</v>
      </c>
      <c r="AF55">
        <v>11</v>
      </c>
      <c r="AG55" t="s">
        <v>299</v>
      </c>
      <c r="AH55">
        <v>618</v>
      </c>
      <c r="AI55" t="s">
        <v>298</v>
      </c>
      <c r="AJ55" s="1">
        <v>24744</v>
      </c>
      <c r="AK55">
        <v>11.1</v>
      </c>
      <c r="AL55" s="2">
        <v>0.13</v>
      </c>
      <c r="AM55" s="3">
        <v>1.7493055555555554</v>
      </c>
      <c r="AN55" t="s">
        <v>296</v>
      </c>
      <c r="AO55" t="s">
        <v>300</v>
      </c>
      <c r="AP55" t="b">
        <v>0</v>
      </c>
      <c r="AQ55" t="b">
        <v>0</v>
      </c>
      <c r="AR55" t="b">
        <v>0</v>
      </c>
    </row>
    <row r="56" spans="1:45" x14ac:dyDescent="0.3">
      <c r="A56">
        <v>69</v>
      </c>
      <c r="B56">
        <v>67</v>
      </c>
      <c r="C56" t="s">
        <v>301</v>
      </c>
      <c r="D56" t="s">
        <v>54</v>
      </c>
      <c r="E56" t="s">
        <v>55</v>
      </c>
      <c r="F56" t="s">
        <v>56</v>
      </c>
      <c r="G56">
        <v>72.2</v>
      </c>
      <c r="H56">
        <v>86.4</v>
      </c>
      <c r="I56">
        <v>35.5</v>
      </c>
      <c r="J56">
        <v>37.700000000000003</v>
      </c>
      <c r="K56">
        <v>98.1</v>
      </c>
      <c r="L56">
        <v>99.1</v>
      </c>
      <c r="M56">
        <v>94.2</v>
      </c>
      <c r="N56">
        <v>65.7</v>
      </c>
      <c r="O56">
        <v>89.7</v>
      </c>
      <c r="P56">
        <v>68.2</v>
      </c>
      <c r="Q56">
        <f>106</f>
        <v>106</v>
      </c>
      <c r="R56" t="s">
        <v>302</v>
      </c>
      <c r="S56">
        <v>66.099999999999994</v>
      </c>
      <c r="T56">
        <v>1080</v>
      </c>
      <c r="U56">
        <v>48.1</v>
      </c>
      <c r="V56">
        <v>159</v>
      </c>
      <c r="W56">
        <v>52.1</v>
      </c>
      <c r="X56">
        <v>126</v>
      </c>
      <c r="Y56">
        <v>89</v>
      </c>
      <c r="Z56">
        <v>139</v>
      </c>
      <c r="AA56">
        <v>70.5</v>
      </c>
      <c r="AB56">
        <v>418</v>
      </c>
      <c r="AC56">
        <v>96.4</v>
      </c>
      <c r="AD56">
        <v>28</v>
      </c>
      <c r="AE56" t="s">
        <v>57</v>
      </c>
      <c r="AF56">
        <v>11</v>
      </c>
      <c r="AG56" t="s">
        <v>303</v>
      </c>
      <c r="AH56">
        <v>622</v>
      </c>
      <c r="AI56" t="s">
        <v>55</v>
      </c>
      <c r="AJ56" s="1">
        <v>24905</v>
      </c>
      <c r="AK56">
        <v>14.4</v>
      </c>
      <c r="AL56" s="2">
        <v>0.44</v>
      </c>
      <c r="AM56" s="3">
        <v>2.1180555555555554</v>
      </c>
      <c r="AN56" t="s">
        <v>302</v>
      </c>
      <c r="AO56" t="s">
        <v>304</v>
      </c>
      <c r="AP56" t="b">
        <v>0</v>
      </c>
      <c r="AQ56" t="b">
        <v>0</v>
      </c>
      <c r="AR56" t="b">
        <v>0</v>
      </c>
      <c r="AS56" t="s">
        <v>305</v>
      </c>
    </row>
    <row r="57" spans="1:45" x14ac:dyDescent="0.3">
      <c r="A57">
        <v>69</v>
      </c>
      <c r="B57">
        <v>64</v>
      </c>
      <c r="C57" t="s">
        <v>306</v>
      </c>
      <c r="D57" t="s">
        <v>45</v>
      </c>
      <c r="E57" t="s">
        <v>46</v>
      </c>
      <c r="F57" t="s">
        <v>77</v>
      </c>
      <c r="G57">
        <v>83.9</v>
      </c>
      <c r="H57">
        <v>75.7</v>
      </c>
      <c r="I57">
        <v>6.4</v>
      </c>
      <c r="J57">
        <v>77.5</v>
      </c>
      <c r="K57">
        <v>14</v>
      </c>
      <c r="L57">
        <v>56.3</v>
      </c>
      <c r="M57">
        <v>90.4</v>
      </c>
      <c r="N57">
        <v>81.7</v>
      </c>
      <c r="O57">
        <v>65</v>
      </c>
      <c r="P57">
        <v>68.2</v>
      </c>
      <c r="Q57">
        <v>42</v>
      </c>
      <c r="R57" t="s">
        <v>306</v>
      </c>
      <c r="S57">
        <v>77.900000000000006</v>
      </c>
      <c r="T57">
        <v>420</v>
      </c>
      <c r="U57">
        <v>69.5</v>
      </c>
      <c r="V57">
        <v>45</v>
      </c>
      <c r="W57">
        <v>81.5</v>
      </c>
      <c r="X57">
        <v>31</v>
      </c>
      <c r="Y57">
        <v>85.2</v>
      </c>
      <c r="Z57">
        <v>206</v>
      </c>
      <c r="AA57">
        <v>85.3</v>
      </c>
      <c r="AB57">
        <v>206</v>
      </c>
      <c r="AC57">
        <v>64</v>
      </c>
      <c r="AD57">
        <v>502</v>
      </c>
      <c r="AE57" t="s">
        <v>208</v>
      </c>
      <c r="AF57">
        <v>0</v>
      </c>
      <c r="AG57" t="s">
        <v>307</v>
      </c>
      <c r="AH57">
        <v>495</v>
      </c>
      <c r="AI57" t="s">
        <v>46</v>
      </c>
      <c r="AJ57" s="1">
        <v>50250</v>
      </c>
      <c r="AK57">
        <v>19.600000000000001</v>
      </c>
      <c r="AL57" s="2">
        <v>0.23</v>
      </c>
      <c r="AM57" s="3">
        <v>2.1590277777777778</v>
      </c>
      <c r="AN57" t="s">
        <v>306</v>
      </c>
      <c r="AO57" t="s">
        <v>308</v>
      </c>
      <c r="AP57" t="b">
        <v>0</v>
      </c>
      <c r="AQ57" t="b">
        <v>0</v>
      </c>
      <c r="AR57" t="b">
        <v>0</v>
      </c>
      <c r="AS57" t="s">
        <v>309</v>
      </c>
    </row>
    <row r="58" spans="1:45" x14ac:dyDescent="0.3">
      <c r="A58">
        <v>73</v>
      </c>
      <c r="B58">
        <v>71</v>
      </c>
      <c r="C58" t="s">
        <v>310</v>
      </c>
      <c r="D58" t="s">
        <v>217</v>
      </c>
      <c r="E58" t="s">
        <v>218</v>
      </c>
      <c r="F58" t="s">
        <v>77</v>
      </c>
      <c r="G58">
        <v>60.7</v>
      </c>
      <c r="H58">
        <v>99.1</v>
      </c>
      <c r="I58">
        <v>99.8</v>
      </c>
      <c r="J58">
        <v>35</v>
      </c>
      <c r="K58">
        <v>35.700000000000003</v>
      </c>
      <c r="L58">
        <v>58.6</v>
      </c>
      <c r="M58">
        <v>98.6</v>
      </c>
      <c r="N58">
        <v>70.8</v>
      </c>
      <c r="O58">
        <v>72.599999999999994</v>
      </c>
      <c r="P58">
        <v>67</v>
      </c>
      <c r="Q58">
        <v>58</v>
      </c>
      <c r="R58" t="s">
        <v>310</v>
      </c>
      <c r="S58">
        <v>74.400000000000006</v>
      </c>
      <c r="T58">
        <v>580</v>
      </c>
      <c r="U58">
        <v>70.900000000000006</v>
      </c>
      <c r="V58">
        <v>40</v>
      </c>
      <c r="W58">
        <v>66.099999999999994</v>
      </c>
      <c r="X58">
        <v>63</v>
      </c>
      <c r="Y58">
        <v>82.4</v>
      </c>
      <c r="Z58">
        <v>277</v>
      </c>
      <c r="AA58">
        <v>92.4</v>
      </c>
      <c r="AB58">
        <v>140</v>
      </c>
      <c r="AC58">
        <v>78.599999999999994</v>
      </c>
      <c r="AD58">
        <v>276</v>
      </c>
      <c r="AE58" t="s">
        <v>57</v>
      </c>
      <c r="AF58">
        <v>0</v>
      </c>
      <c r="AG58" t="s">
        <v>311</v>
      </c>
      <c r="AH58">
        <v>699920</v>
      </c>
      <c r="AI58" t="s">
        <v>218</v>
      </c>
      <c r="AJ58" s="1">
        <v>31662</v>
      </c>
      <c r="AK58">
        <v>13</v>
      </c>
      <c r="AL58" s="2">
        <v>0.24</v>
      </c>
      <c r="AM58" s="3">
        <v>2.1180555555555554</v>
      </c>
      <c r="AN58" t="s">
        <v>310</v>
      </c>
      <c r="AO58" t="s">
        <v>312</v>
      </c>
      <c r="AP58" t="b">
        <v>0</v>
      </c>
      <c r="AQ58" t="b">
        <v>0</v>
      </c>
      <c r="AR58" t="b">
        <v>0</v>
      </c>
    </row>
    <row r="59" spans="1:45" x14ac:dyDescent="0.3">
      <c r="A59">
        <v>74</v>
      </c>
      <c r="B59">
        <v>73</v>
      </c>
      <c r="C59" t="s">
        <v>313</v>
      </c>
      <c r="D59" t="s">
        <v>314</v>
      </c>
      <c r="E59" t="s">
        <v>315</v>
      </c>
      <c r="F59" t="s">
        <v>56</v>
      </c>
      <c r="G59">
        <v>45.2</v>
      </c>
      <c r="H59">
        <v>55.6</v>
      </c>
      <c r="I59">
        <v>62.3</v>
      </c>
      <c r="J59">
        <v>86.1</v>
      </c>
      <c r="K59">
        <v>92</v>
      </c>
      <c r="L59">
        <v>65.900000000000006</v>
      </c>
      <c r="M59">
        <v>91.1</v>
      </c>
      <c r="N59">
        <v>62.4</v>
      </c>
      <c r="O59">
        <v>94.8</v>
      </c>
      <c r="P59">
        <v>65.7</v>
      </c>
      <c r="Q59">
        <f>97</f>
        <v>97</v>
      </c>
      <c r="R59" t="s">
        <v>316</v>
      </c>
      <c r="S59">
        <v>66.900000000000006</v>
      </c>
      <c r="T59">
        <v>970</v>
      </c>
      <c r="U59">
        <v>53.5</v>
      </c>
      <c r="V59">
        <v>107</v>
      </c>
      <c r="W59">
        <v>57.8</v>
      </c>
      <c r="X59">
        <v>95</v>
      </c>
      <c r="Y59">
        <v>81</v>
      </c>
      <c r="Z59">
        <v>300</v>
      </c>
      <c r="AA59">
        <v>97.7</v>
      </c>
      <c r="AB59">
        <v>89</v>
      </c>
      <c r="AC59">
        <v>82.5</v>
      </c>
      <c r="AD59">
        <v>213</v>
      </c>
      <c r="AE59" t="s">
        <v>57</v>
      </c>
      <c r="AF59">
        <v>0</v>
      </c>
      <c r="AG59" t="s">
        <v>317</v>
      </c>
      <c r="AH59">
        <v>651</v>
      </c>
      <c r="AI59" t="s">
        <v>315</v>
      </c>
      <c r="AJ59" s="1">
        <v>13269</v>
      </c>
      <c r="AK59">
        <v>15.9</v>
      </c>
      <c r="AL59" s="2">
        <v>0.26</v>
      </c>
      <c r="AM59" t="s">
        <v>318</v>
      </c>
      <c r="AN59" t="s">
        <v>316</v>
      </c>
      <c r="AO59" t="s">
        <v>319</v>
      </c>
      <c r="AP59" t="b">
        <v>0</v>
      </c>
      <c r="AQ59" t="b">
        <v>0</v>
      </c>
      <c r="AR59" t="b">
        <v>0</v>
      </c>
    </row>
    <row r="60" spans="1:45" x14ac:dyDescent="0.3">
      <c r="A60">
        <v>75</v>
      </c>
      <c r="B60">
        <v>85</v>
      </c>
      <c r="C60" t="s">
        <v>320</v>
      </c>
      <c r="D60" t="s">
        <v>314</v>
      </c>
      <c r="E60" t="s">
        <v>315</v>
      </c>
      <c r="F60" t="s">
        <v>56</v>
      </c>
      <c r="G60">
        <v>68.3</v>
      </c>
      <c r="H60">
        <v>52.5</v>
      </c>
      <c r="I60">
        <v>55.5</v>
      </c>
      <c r="J60">
        <v>44.6</v>
      </c>
      <c r="K60">
        <v>97.4</v>
      </c>
      <c r="L60">
        <v>73.400000000000006</v>
      </c>
      <c r="M60">
        <v>96.7</v>
      </c>
      <c r="N60">
        <v>86.5</v>
      </c>
      <c r="O60">
        <v>99.6</v>
      </c>
      <c r="P60">
        <v>65.599999999999994</v>
      </c>
      <c r="Q60">
        <f>106</f>
        <v>106</v>
      </c>
      <c r="R60" t="s">
        <v>320</v>
      </c>
      <c r="S60">
        <v>66.099999999999994</v>
      </c>
      <c r="T60">
        <v>1070</v>
      </c>
      <c r="U60">
        <v>46.7</v>
      </c>
      <c r="V60">
        <v>178</v>
      </c>
      <c r="W60">
        <v>56.6</v>
      </c>
      <c r="X60">
        <v>104</v>
      </c>
      <c r="Y60">
        <v>86.6</v>
      </c>
      <c r="Z60">
        <v>181</v>
      </c>
      <c r="AA60">
        <v>99.8</v>
      </c>
      <c r="AB60">
        <v>41</v>
      </c>
      <c r="AC60">
        <v>79.8</v>
      </c>
      <c r="AD60">
        <v>258</v>
      </c>
      <c r="AE60" t="s">
        <v>57</v>
      </c>
      <c r="AF60">
        <v>0</v>
      </c>
      <c r="AG60" t="s">
        <v>321</v>
      </c>
      <c r="AH60">
        <v>544</v>
      </c>
      <c r="AI60" t="s">
        <v>315</v>
      </c>
      <c r="AJ60" s="1">
        <v>30349</v>
      </c>
      <c r="AK60">
        <v>12</v>
      </c>
      <c r="AL60" s="2">
        <v>0.18</v>
      </c>
      <c r="AM60" s="3">
        <v>2.3638888888888889</v>
      </c>
      <c r="AN60" t="s">
        <v>320</v>
      </c>
      <c r="AO60" t="s">
        <v>322</v>
      </c>
      <c r="AP60" t="b">
        <v>0</v>
      </c>
      <c r="AQ60" t="b">
        <v>0</v>
      </c>
      <c r="AR60" t="b">
        <v>0</v>
      </c>
    </row>
    <row r="61" spans="1:45" x14ac:dyDescent="0.3">
      <c r="A61">
        <v>76</v>
      </c>
      <c r="B61">
        <v>63</v>
      </c>
      <c r="C61" t="s">
        <v>323</v>
      </c>
      <c r="D61" t="s">
        <v>45</v>
      </c>
      <c r="E61" t="s">
        <v>46</v>
      </c>
      <c r="F61" t="s">
        <v>77</v>
      </c>
      <c r="G61">
        <v>81.900000000000006</v>
      </c>
      <c r="H61">
        <v>55.5</v>
      </c>
      <c r="I61">
        <v>28.6</v>
      </c>
      <c r="J61">
        <v>78.8</v>
      </c>
      <c r="K61">
        <v>11</v>
      </c>
      <c r="L61">
        <v>32.799999999999997</v>
      </c>
      <c r="M61">
        <v>95.6</v>
      </c>
      <c r="N61">
        <v>68.7</v>
      </c>
      <c r="O61">
        <v>66.5</v>
      </c>
      <c r="P61">
        <v>65.3</v>
      </c>
      <c r="Q61">
        <v>25</v>
      </c>
      <c r="R61" t="s">
        <v>323</v>
      </c>
      <c r="S61">
        <v>85.3</v>
      </c>
      <c r="T61">
        <v>250</v>
      </c>
      <c r="U61">
        <v>78</v>
      </c>
      <c r="V61">
        <v>27</v>
      </c>
      <c r="W61">
        <v>83.5</v>
      </c>
      <c r="X61">
        <v>29</v>
      </c>
      <c r="Y61">
        <v>98.2</v>
      </c>
      <c r="Z61">
        <v>11</v>
      </c>
      <c r="AA61">
        <v>77.599999999999994</v>
      </c>
      <c r="AB61">
        <v>294</v>
      </c>
      <c r="AC61">
        <v>73.2</v>
      </c>
      <c r="AD61">
        <v>362</v>
      </c>
      <c r="AE61" t="s">
        <v>208</v>
      </c>
      <c r="AF61">
        <v>0</v>
      </c>
      <c r="AG61" t="s">
        <v>324</v>
      </c>
      <c r="AH61">
        <v>489</v>
      </c>
      <c r="AI61" t="s">
        <v>46</v>
      </c>
      <c r="AJ61" s="1">
        <v>49486</v>
      </c>
      <c r="AK61">
        <v>10.1</v>
      </c>
      <c r="AL61" s="2">
        <v>0.16</v>
      </c>
      <c r="AM61" s="3">
        <v>2.3638888888888889</v>
      </c>
      <c r="AN61" t="s">
        <v>323</v>
      </c>
      <c r="AO61" t="s">
        <v>325</v>
      </c>
      <c r="AP61" t="b">
        <v>0</v>
      </c>
      <c r="AQ61" t="b">
        <v>0</v>
      </c>
      <c r="AR61" t="b">
        <v>0</v>
      </c>
      <c r="AS61" t="s">
        <v>326</v>
      </c>
    </row>
    <row r="62" spans="1:45" x14ac:dyDescent="0.3">
      <c r="A62">
        <v>77</v>
      </c>
      <c r="B62">
        <v>72</v>
      </c>
      <c r="C62" t="s">
        <v>327</v>
      </c>
      <c r="D62" t="s">
        <v>87</v>
      </c>
      <c r="E62" t="s">
        <v>88</v>
      </c>
      <c r="F62" t="s">
        <v>56</v>
      </c>
      <c r="G62">
        <v>55.5</v>
      </c>
      <c r="H62">
        <v>41.8</v>
      </c>
      <c r="I62">
        <v>13.1</v>
      </c>
      <c r="J62">
        <v>98.8</v>
      </c>
      <c r="K62">
        <v>100</v>
      </c>
      <c r="L62">
        <v>99.8</v>
      </c>
      <c r="M62">
        <v>94.2</v>
      </c>
      <c r="N62">
        <v>78</v>
      </c>
      <c r="O62">
        <v>50.8</v>
      </c>
      <c r="P62">
        <v>65.2</v>
      </c>
      <c r="Q62">
        <f>143</f>
        <v>143</v>
      </c>
      <c r="R62" t="s">
        <v>327</v>
      </c>
      <c r="S62">
        <v>62.7</v>
      </c>
      <c r="T62">
        <v>1440</v>
      </c>
      <c r="U62">
        <v>37.700000000000003</v>
      </c>
      <c r="V62">
        <v>368</v>
      </c>
      <c r="W62">
        <v>48.6</v>
      </c>
      <c r="X62">
        <v>152</v>
      </c>
      <c r="Y62">
        <v>88.7</v>
      </c>
      <c r="Z62">
        <v>144</v>
      </c>
      <c r="AA62">
        <v>97.2</v>
      </c>
      <c r="AB62">
        <v>94</v>
      </c>
      <c r="AC62">
        <v>93.5</v>
      </c>
      <c r="AD62">
        <v>74</v>
      </c>
      <c r="AE62" t="s">
        <v>57</v>
      </c>
      <c r="AF62">
        <v>0</v>
      </c>
      <c r="AG62" t="s">
        <v>328</v>
      </c>
      <c r="AH62">
        <v>654</v>
      </c>
      <c r="AI62" t="s">
        <v>88</v>
      </c>
      <c r="AJ62" s="1">
        <v>19382</v>
      </c>
      <c r="AK62">
        <v>22.4</v>
      </c>
      <c r="AL62" s="2">
        <v>0.26</v>
      </c>
      <c r="AM62" s="3">
        <v>2.1180555555555554</v>
      </c>
      <c r="AN62" t="s">
        <v>327</v>
      </c>
      <c r="AO62" t="s">
        <v>329</v>
      </c>
      <c r="AP62" t="b">
        <v>0</v>
      </c>
      <c r="AQ62" t="b">
        <v>0</v>
      </c>
      <c r="AR62" t="b">
        <v>0</v>
      </c>
      <c r="AS62" t="s">
        <v>330</v>
      </c>
    </row>
    <row r="63" spans="1:45" x14ac:dyDescent="0.3">
      <c r="A63">
        <v>78</v>
      </c>
      <c r="B63">
        <v>76</v>
      </c>
      <c r="C63" t="s">
        <v>331</v>
      </c>
      <c r="D63" t="s">
        <v>54</v>
      </c>
      <c r="E63" t="s">
        <v>55</v>
      </c>
      <c r="F63" t="s">
        <v>77</v>
      </c>
      <c r="G63">
        <v>77.400000000000006</v>
      </c>
      <c r="H63">
        <v>67.7</v>
      </c>
      <c r="I63">
        <v>38</v>
      </c>
      <c r="J63">
        <v>32.5</v>
      </c>
      <c r="K63">
        <v>95.7</v>
      </c>
      <c r="L63">
        <v>99.4</v>
      </c>
      <c r="M63">
        <v>97.6</v>
      </c>
      <c r="N63">
        <v>33.5</v>
      </c>
      <c r="O63">
        <v>98.5</v>
      </c>
      <c r="P63">
        <v>65</v>
      </c>
      <c r="Q63">
        <f>87</f>
        <v>87</v>
      </c>
      <c r="R63" t="s">
        <v>331</v>
      </c>
      <c r="S63">
        <v>68.2</v>
      </c>
      <c r="T63">
        <v>870</v>
      </c>
      <c r="U63">
        <v>48.1</v>
      </c>
      <c r="V63">
        <v>157</v>
      </c>
      <c r="W63">
        <v>51.8</v>
      </c>
      <c r="X63">
        <v>128</v>
      </c>
      <c r="Y63">
        <v>96.8</v>
      </c>
      <c r="Z63">
        <v>32</v>
      </c>
      <c r="AA63">
        <v>69.7</v>
      </c>
      <c r="AB63">
        <v>438</v>
      </c>
      <c r="AC63">
        <v>96.1</v>
      </c>
      <c r="AD63">
        <v>30</v>
      </c>
      <c r="AE63" t="s">
        <v>57</v>
      </c>
      <c r="AF63">
        <v>11</v>
      </c>
      <c r="AG63" t="s">
        <v>332</v>
      </c>
      <c r="AH63">
        <v>566</v>
      </c>
      <c r="AI63" t="s">
        <v>55</v>
      </c>
      <c r="AJ63" s="1">
        <v>32270</v>
      </c>
      <c r="AK63">
        <v>14.4</v>
      </c>
      <c r="AL63" s="2">
        <v>0.43</v>
      </c>
      <c r="AM63" s="3">
        <v>2.4868055555555557</v>
      </c>
      <c r="AN63" t="s">
        <v>331</v>
      </c>
      <c r="AO63" t="s">
        <v>333</v>
      </c>
      <c r="AP63" t="b">
        <v>0</v>
      </c>
      <c r="AQ63" t="b">
        <v>0</v>
      </c>
      <c r="AR63" t="b">
        <v>0</v>
      </c>
    </row>
    <row r="64" spans="1:45" x14ac:dyDescent="0.3">
      <c r="A64">
        <v>79</v>
      </c>
      <c r="B64">
        <v>73</v>
      </c>
      <c r="C64" t="s">
        <v>334</v>
      </c>
      <c r="D64" t="s">
        <v>45</v>
      </c>
      <c r="E64" t="s">
        <v>46</v>
      </c>
      <c r="F64" t="s">
        <v>47</v>
      </c>
      <c r="G64">
        <v>59.9</v>
      </c>
      <c r="H64">
        <v>49.6</v>
      </c>
      <c r="I64">
        <v>77.7</v>
      </c>
      <c r="J64">
        <v>76.400000000000006</v>
      </c>
      <c r="K64">
        <v>79.900000000000006</v>
      </c>
      <c r="L64">
        <v>50.9</v>
      </c>
      <c r="M64">
        <v>83.2</v>
      </c>
      <c r="N64">
        <v>63.6</v>
      </c>
      <c r="O64">
        <v>46.6</v>
      </c>
      <c r="P64">
        <v>64.7</v>
      </c>
      <c r="Q64">
        <f>64</f>
        <v>64</v>
      </c>
      <c r="R64" t="s">
        <v>334</v>
      </c>
      <c r="S64">
        <v>73</v>
      </c>
      <c r="T64">
        <v>640</v>
      </c>
      <c r="U64">
        <v>69.8</v>
      </c>
      <c r="V64">
        <v>43</v>
      </c>
      <c r="W64">
        <v>59.6</v>
      </c>
      <c r="X64">
        <v>87</v>
      </c>
      <c r="Y64">
        <v>89.7</v>
      </c>
      <c r="Z64">
        <v>130</v>
      </c>
      <c r="AA64">
        <v>69.3</v>
      </c>
      <c r="AB64">
        <v>449</v>
      </c>
      <c r="AC64">
        <v>72.099999999999994</v>
      </c>
      <c r="AD64">
        <v>374</v>
      </c>
      <c r="AE64" t="s">
        <v>49</v>
      </c>
      <c r="AF64">
        <v>0</v>
      </c>
      <c r="AG64" t="s">
        <v>335</v>
      </c>
      <c r="AH64">
        <v>513</v>
      </c>
      <c r="AI64" t="s">
        <v>46</v>
      </c>
      <c r="AJ64" s="1">
        <v>9781</v>
      </c>
      <c r="AK64">
        <v>10.3</v>
      </c>
      <c r="AL64" s="2">
        <v>0.19</v>
      </c>
      <c r="AN64" t="s">
        <v>334</v>
      </c>
      <c r="AO64" t="s">
        <v>336</v>
      </c>
      <c r="AP64" t="b">
        <v>0</v>
      </c>
      <c r="AQ64" t="b">
        <v>0</v>
      </c>
      <c r="AR64" t="b">
        <v>0</v>
      </c>
      <c r="AS64" t="s">
        <v>337</v>
      </c>
    </row>
    <row r="65" spans="1:45" x14ac:dyDescent="0.3">
      <c r="A65">
        <v>80</v>
      </c>
      <c r="B65">
        <v>84</v>
      </c>
      <c r="C65" t="s">
        <v>338</v>
      </c>
      <c r="D65" t="s">
        <v>54</v>
      </c>
      <c r="E65" t="s">
        <v>55</v>
      </c>
      <c r="F65" t="s">
        <v>77</v>
      </c>
      <c r="G65">
        <v>68.900000000000006</v>
      </c>
      <c r="H65">
        <v>69</v>
      </c>
      <c r="I65">
        <v>39</v>
      </c>
      <c r="J65">
        <v>40.5</v>
      </c>
      <c r="K65">
        <v>92.6</v>
      </c>
      <c r="L65">
        <v>89.3</v>
      </c>
      <c r="M65">
        <v>97.5</v>
      </c>
      <c r="N65">
        <v>44.5</v>
      </c>
      <c r="O65">
        <v>96.8</v>
      </c>
      <c r="P65">
        <v>64.099999999999994</v>
      </c>
      <c r="Q65">
        <v>101</v>
      </c>
      <c r="R65" t="s">
        <v>338</v>
      </c>
      <c r="S65">
        <v>66.599999999999994</v>
      </c>
      <c r="T65">
        <v>1010</v>
      </c>
      <c r="U65">
        <v>46.1</v>
      </c>
      <c r="V65">
        <v>185</v>
      </c>
      <c r="W65">
        <v>49.3</v>
      </c>
      <c r="X65">
        <v>147</v>
      </c>
      <c r="Y65">
        <v>95.5</v>
      </c>
      <c r="Z65">
        <v>42</v>
      </c>
      <c r="AA65">
        <v>72.099999999999994</v>
      </c>
      <c r="AB65">
        <v>383</v>
      </c>
      <c r="AC65">
        <v>95.1</v>
      </c>
      <c r="AD65">
        <v>45</v>
      </c>
      <c r="AE65" t="s">
        <v>57</v>
      </c>
      <c r="AF65">
        <v>0</v>
      </c>
      <c r="AG65" t="s">
        <v>339</v>
      </c>
      <c r="AH65">
        <v>612</v>
      </c>
      <c r="AI65" t="s">
        <v>55</v>
      </c>
      <c r="AJ65" s="1">
        <v>32625</v>
      </c>
      <c r="AK65">
        <v>15.2</v>
      </c>
      <c r="AL65" s="2">
        <v>0.32</v>
      </c>
      <c r="AM65" s="3">
        <v>2.4458333333333333</v>
      </c>
      <c r="AN65" t="s">
        <v>338</v>
      </c>
      <c r="AO65" t="s">
        <v>340</v>
      </c>
      <c r="AP65" t="b">
        <v>0</v>
      </c>
      <c r="AQ65" t="b">
        <v>0</v>
      </c>
      <c r="AR65" t="b">
        <v>0</v>
      </c>
      <c r="AS65" t="s">
        <v>341</v>
      </c>
    </row>
    <row r="66" spans="1:45" x14ac:dyDescent="0.3">
      <c r="A66">
        <v>80</v>
      </c>
      <c r="B66">
        <v>81</v>
      </c>
      <c r="C66" t="s">
        <v>342</v>
      </c>
      <c r="D66" t="s">
        <v>54</v>
      </c>
      <c r="E66" t="s">
        <v>55</v>
      </c>
      <c r="F66" t="s">
        <v>56</v>
      </c>
      <c r="G66">
        <v>50.1</v>
      </c>
      <c r="H66">
        <v>44.3</v>
      </c>
      <c r="I66">
        <v>40.700000000000003</v>
      </c>
      <c r="J66">
        <v>83.4</v>
      </c>
      <c r="K66">
        <v>92.5</v>
      </c>
      <c r="L66">
        <v>98</v>
      </c>
      <c r="M66">
        <v>97.1</v>
      </c>
      <c r="N66">
        <v>49.2</v>
      </c>
      <c r="O66">
        <v>96.9</v>
      </c>
      <c r="P66">
        <v>64.099999999999994</v>
      </c>
      <c r="Q66">
        <f>97</f>
        <v>97</v>
      </c>
      <c r="R66" t="s">
        <v>342</v>
      </c>
      <c r="S66">
        <v>66.900000000000006</v>
      </c>
      <c r="T66">
        <v>980</v>
      </c>
      <c r="U66">
        <v>48.9</v>
      </c>
      <c r="V66">
        <v>143</v>
      </c>
      <c r="W66">
        <v>50.1</v>
      </c>
      <c r="X66">
        <v>140</v>
      </c>
      <c r="Y66">
        <v>92.7</v>
      </c>
      <c r="Z66">
        <v>82</v>
      </c>
      <c r="AA66">
        <v>73.099999999999994</v>
      </c>
      <c r="AB66">
        <v>368</v>
      </c>
      <c r="AC66">
        <v>96.5</v>
      </c>
      <c r="AD66">
        <v>26</v>
      </c>
      <c r="AE66" t="s">
        <v>57</v>
      </c>
      <c r="AF66">
        <v>0</v>
      </c>
      <c r="AG66" t="s">
        <v>343</v>
      </c>
      <c r="AH66">
        <v>593</v>
      </c>
      <c r="AI66" t="s">
        <v>55</v>
      </c>
      <c r="AJ66" s="1">
        <v>19920</v>
      </c>
      <c r="AK66">
        <v>13</v>
      </c>
      <c r="AL66" s="2">
        <v>0.35</v>
      </c>
      <c r="AM66" s="3">
        <v>2.1590277777777778</v>
      </c>
      <c r="AN66" t="s">
        <v>342</v>
      </c>
      <c r="AO66" t="s">
        <v>344</v>
      </c>
      <c r="AP66" t="b">
        <v>0</v>
      </c>
      <c r="AQ66" t="b">
        <v>0</v>
      </c>
      <c r="AR66" t="b">
        <v>0</v>
      </c>
      <c r="AS66" t="s">
        <v>345</v>
      </c>
    </row>
    <row r="67" spans="1:45" x14ac:dyDescent="0.3">
      <c r="A67">
        <v>82</v>
      </c>
      <c r="B67">
        <v>89</v>
      </c>
      <c r="C67" t="s">
        <v>346</v>
      </c>
      <c r="D67" t="s">
        <v>87</v>
      </c>
      <c r="E67" t="s">
        <v>88</v>
      </c>
      <c r="F67" t="s">
        <v>56</v>
      </c>
      <c r="G67">
        <v>56</v>
      </c>
      <c r="H67">
        <v>38.9</v>
      </c>
      <c r="I67">
        <v>17.899999999999999</v>
      </c>
      <c r="J67">
        <v>87</v>
      </c>
      <c r="K67">
        <v>100</v>
      </c>
      <c r="L67">
        <v>99.3</v>
      </c>
      <c r="M67">
        <v>93.6</v>
      </c>
      <c r="N67">
        <v>51.5</v>
      </c>
      <c r="O67">
        <v>95.7</v>
      </c>
      <c r="P67">
        <v>63.8</v>
      </c>
      <c r="Q67">
        <f>111</f>
        <v>111</v>
      </c>
      <c r="R67" t="s">
        <v>347</v>
      </c>
      <c r="S67">
        <v>65.8</v>
      </c>
      <c r="T67">
        <v>1110</v>
      </c>
      <c r="U67">
        <v>42.4</v>
      </c>
      <c r="V67">
        <v>254</v>
      </c>
      <c r="W67">
        <v>50.6</v>
      </c>
      <c r="X67">
        <v>138</v>
      </c>
      <c r="Y67">
        <v>92.8</v>
      </c>
      <c r="Z67">
        <v>78</v>
      </c>
      <c r="AA67">
        <v>95</v>
      </c>
      <c r="AB67">
        <v>119</v>
      </c>
      <c r="AC67">
        <v>92.9</v>
      </c>
      <c r="AD67">
        <v>84</v>
      </c>
      <c r="AE67" t="s">
        <v>57</v>
      </c>
      <c r="AF67">
        <v>11</v>
      </c>
      <c r="AG67" t="s">
        <v>348</v>
      </c>
      <c r="AH67">
        <v>665</v>
      </c>
      <c r="AI67" t="s">
        <v>88</v>
      </c>
      <c r="AJ67" s="1">
        <v>23792</v>
      </c>
      <c r="AK67">
        <v>36.4</v>
      </c>
      <c r="AL67" s="2">
        <v>0.31</v>
      </c>
      <c r="AM67" s="3">
        <v>2.0770833333333334</v>
      </c>
      <c r="AN67" t="s">
        <v>349</v>
      </c>
      <c r="AO67" t="s">
        <v>350</v>
      </c>
      <c r="AP67" t="b">
        <v>0</v>
      </c>
      <c r="AQ67" t="b">
        <v>0</v>
      </c>
      <c r="AR67" t="b">
        <v>0</v>
      </c>
    </row>
    <row r="68" spans="1:45" x14ac:dyDescent="0.3">
      <c r="A68">
        <v>82</v>
      </c>
      <c r="B68">
        <v>75</v>
      </c>
      <c r="C68" t="s">
        <v>351</v>
      </c>
      <c r="D68" t="s">
        <v>54</v>
      </c>
      <c r="E68" t="s">
        <v>55</v>
      </c>
      <c r="F68" t="s">
        <v>77</v>
      </c>
      <c r="G68">
        <v>70.5</v>
      </c>
      <c r="H68">
        <v>75.900000000000006</v>
      </c>
      <c r="I68">
        <v>36.4</v>
      </c>
      <c r="J68">
        <v>39.799999999999997</v>
      </c>
      <c r="K68">
        <v>82.5</v>
      </c>
      <c r="L68">
        <v>88.5</v>
      </c>
      <c r="M68">
        <v>98.8</v>
      </c>
      <c r="N68">
        <v>50.9</v>
      </c>
      <c r="O68">
        <v>71.8</v>
      </c>
      <c r="P68">
        <v>63.8</v>
      </c>
      <c r="Q68">
        <v>129</v>
      </c>
      <c r="R68" t="s">
        <v>351</v>
      </c>
      <c r="S68">
        <v>63.9</v>
      </c>
      <c r="T68">
        <v>1290</v>
      </c>
      <c r="U68">
        <v>46.1</v>
      </c>
      <c r="V68">
        <v>187</v>
      </c>
      <c r="W68">
        <v>49.1</v>
      </c>
      <c r="X68">
        <v>150</v>
      </c>
      <c r="Y68">
        <v>87.3</v>
      </c>
      <c r="Z68">
        <v>167</v>
      </c>
      <c r="AA68">
        <v>68.8</v>
      </c>
      <c r="AB68">
        <v>458</v>
      </c>
      <c r="AC68">
        <v>94.6</v>
      </c>
      <c r="AD68">
        <v>57</v>
      </c>
      <c r="AE68" t="s">
        <v>57</v>
      </c>
      <c r="AF68">
        <v>0</v>
      </c>
      <c r="AG68" t="s">
        <v>352</v>
      </c>
      <c r="AH68">
        <v>597</v>
      </c>
      <c r="AI68" t="s">
        <v>55</v>
      </c>
      <c r="AJ68" s="1">
        <v>33450</v>
      </c>
      <c r="AK68">
        <v>14.4</v>
      </c>
      <c r="AL68" s="2">
        <v>0.32</v>
      </c>
      <c r="AM68" s="3">
        <v>2.4868055555555557</v>
      </c>
      <c r="AN68" t="s">
        <v>351</v>
      </c>
      <c r="AO68" t="s">
        <v>353</v>
      </c>
      <c r="AP68" t="b">
        <v>0</v>
      </c>
      <c r="AQ68" t="b">
        <v>0</v>
      </c>
      <c r="AR68" t="b">
        <v>0</v>
      </c>
      <c r="AS68" t="s">
        <v>354</v>
      </c>
    </row>
    <row r="69" spans="1:45" x14ac:dyDescent="0.3">
      <c r="A69">
        <v>86</v>
      </c>
      <c r="B69">
        <v>80</v>
      </c>
      <c r="C69" t="s">
        <v>355</v>
      </c>
      <c r="D69" t="s">
        <v>175</v>
      </c>
      <c r="E69" t="s">
        <v>176</v>
      </c>
      <c r="F69" t="s">
        <v>56</v>
      </c>
      <c r="G69">
        <v>82.4</v>
      </c>
      <c r="H69">
        <v>87</v>
      </c>
      <c r="I69">
        <v>45.2</v>
      </c>
      <c r="J69">
        <v>54.9</v>
      </c>
      <c r="K69">
        <v>23.9</v>
      </c>
      <c r="L69">
        <v>12.2</v>
      </c>
      <c r="M69">
        <v>68.2</v>
      </c>
      <c r="N69">
        <v>33</v>
      </c>
      <c r="O69">
        <v>68</v>
      </c>
      <c r="P69">
        <v>63.5</v>
      </c>
      <c r="Q69">
        <f>175</f>
        <v>175</v>
      </c>
      <c r="R69" t="s">
        <v>355</v>
      </c>
      <c r="S69">
        <v>60.4</v>
      </c>
      <c r="T69">
        <v>1750</v>
      </c>
      <c r="U69">
        <v>62.5</v>
      </c>
      <c r="V69">
        <v>67</v>
      </c>
      <c r="W69">
        <v>65.7</v>
      </c>
      <c r="X69">
        <v>65</v>
      </c>
      <c r="Y69">
        <v>50.5</v>
      </c>
      <c r="Z69">
        <v>1008</v>
      </c>
      <c r="AA69">
        <v>100</v>
      </c>
      <c r="AB69">
        <v>20</v>
      </c>
      <c r="AC69">
        <v>51</v>
      </c>
      <c r="AD69">
        <v>773</v>
      </c>
      <c r="AE69" t="s">
        <v>57</v>
      </c>
      <c r="AF69">
        <v>0</v>
      </c>
      <c r="AG69" t="s">
        <v>356</v>
      </c>
      <c r="AH69">
        <v>583</v>
      </c>
      <c r="AI69" t="s">
        <v>176</v>
      </c>
      <c r="AJ69" s="1">
        <v>22274</v>
      </c>
      <c r="AK69">
        <v>10.4</v>
      </c>
      <c r="AL69" s="2">
        <v>0.1</v>
      </c>
      <c r="AM69" t="s">
        <v>357</v>
      </c>
      <c r="AN69" t="s">
        <v>358</v>
      </c>
      <c r="AO69" t="s">
        <v>359</v>
      </c>
      <c r="AP69" t="b">
        <v>0</v>
      </c>
      <c r="AQ69" t="b">
        <v>0</v>
      </c>
      <c r="AR69" t="b">
        <v>0</v>
      </c>
    </row>
    <row r="70" spans="1:45" x14ac:dyDescent="0.3">
      <c r="A70">
        <v>88</v>
      </c>
      <c r="B70">
        <v>90</v>
      </c>
      <c r="C70" t="s">
        <v>360</v>
      </c>
      <c r="D70" t="s">
        <v>87</v>
      </c>
      <c r="E70" t="s">
        <v>88</v>
      </c>
      <c r="F70" t="s">
        <v>56</v>
      </c>
      <c r="G70">
        <v>43.9</v>
      </c>
      <c r="H70">
        <v>55</v>
      </c>
      <c r="I70">
        <v>9.8000000000000007</v>
      </c>
      <c r="J70">
        <v>97.7</v>
      </c>
      <c r="K70">
        <v>96.6</v>
      </c>
      <c r="L70">
        <v>86</v>
      </c>
      <c r="M70">
        <v>91.4</v>
      </c>
      <c r="N70">
        <v>40.200000000000003</v>
      </c>
      <c r="O70">
        <v>96.3</v>
      </c>
      <c r="P70">
        <v>62.4</v>
      </c>
      <c r="Q70">
        <v>148</v>
      </c>
      <c r="R70" t="s">
        <v>360</v>
      </c>
      <c r="S70">
        <v>62.3</v>
      </c>
      <c r="T70">
        <v>1480</v>
      </c>
      <c r="U70">
        <v>36.200000000000003</v>
      </c>
      <c r="V70">
        <v>421</v>
      </c>
      <c r="W70">
        <v>43.3</v>
      </c>
      <c r="X70">
        <v>207</v>
      </c>
      <c r="Y70">
        <v>95.9</v>
      </c>
      <c r="Z70">
        <v>39</v>
      </c>
      <c r="AA70">
        <v>78.900000000000006</v>
      </c>
      <c r="AB70">
        <v>278</v>
      </c>
      <c r="AC70">
        <v>94.3</v>
      </c>
      <c r="AD70">
        <v>60</v>
      </c>
      <c r="AE70" t="s">
        <v>57</v>
      </c>
      <c r="AF70">
        <v>0</v>
      </c>
      <c r="AG70" t="s">
        <v>361</v>
      </c>
      <c r="AH70">
        <v>906</v>
      </c>
      <c r="AI70" t="s">
        <v>88</v>
      </c>
      <c r="AJ70" s="1">
        <v>28223</v>
      </c>
      <c r="AK70">
        <v>37.4</v>
      </c>
      <c r="AL70" s="2">
        <v>0.25</v>
      </c>
      <c r="AM70" s="3">
        <v>2.1180555555555554</v>
      </c>
      <c r="AN70" t="s">
        <v>362</v>
      </c>
      <c r="AO70" t="s">
        <v>363</v>
      </c>
      <c r="AP70" t="b">
        <v>0</v>
      </c>
      <c r="AQ70" t="b">
        <v>0</v>
      </c>
      <c r="AR70" t="b">
        <v>0</v>
      </c>
    </row>
    <row r="71" spans="1:45" x14ac:dyDescent="0.3">
      <c r="A71">
        <v>89</v>
      </c>
      <c r="B71">
        <v>78</v>
      </c>
      <c r="C71" t="s">
        <v>364</v>
      </c>
      <c r="D71" t="s">
        <v>54</v>
      </c>
      <c r="E71" t="s">
        <v>55</v>
      </c>
      <c r="F71" t="s">
        <v>56</v>
      </c>
      <c r="G71">
        <v>59.6</v>
      </c>
      <c r="H71">
        <v>83.9</v>
      </c>
      <c r="I71">
        <v>26.3</v>
      </c>
      <c r="J71">
        <v>40.9</v>
      </c>
      <c r="K71">
        <v>97.3</v>
      </c>
      <c r="L71">
        <v>84.9</v>
      </c>
      <c r="M71">
        <v>89.7</v>
      </c>
      <c r="N71">
        <v>39.4</v>
      </c>
      <c r="O71">
        <v>98.6</v>
      </c>
      <c r="P71">
        <v>61.7</v>
      </c>
      <c r="Q71">
        <v>174</v>
      </c>
      <c r="R71" t="s">
        <v>364</v>
      </c>
      <c r="S71">
        <v>60.6</v>
      </c>
      <c r="T71">
        <v>1740</v>
      </c>
      <c r="U71">
        <v>43.5</v>
      </c>
      <c r="V71">
        <v>231</v>
      </c>
      <c r="W71">
        <v>44.5</v>
      </c>
      <c r="X71">
        <v>194</v>
      </c>
      <c r="Y71">
        <v>83.5</v>
      </c>
      <c r="Z71">
        <v>245</v>
      </c>
      <c r="AA71">
        <v>65.599999999999994</v>
      </c>
      <c r="AB71">
        <v>534</v>
      </c>
      <c r="AC71">
        <v>95.8</v>
      </c>
      <c r="AD71">
        <v>32</v>
      </c>
      <c r="AE71" t="s">
        <v>57</v>
      </c>
      <c r="AF71">
        <v>0</v>
      </c>
      <c r="AG71" t="s">
        <v>365</v>
      </c>
      <c r="AH71">
        <v>547</v>
      </c>
      <c r="AI71" t="s">
        <v>55</v>
      </c>
      <c r="AJ71" s="1">
        <v>19575</v>
      </c>
      <c r="AK71">
        <v>14</v>
      </c>
      <c r="AL71" s="2">
        <v>0.32</v>
      </c>
      <c r="AM71" s="3">
        <v>2.2819444444444446</v>
      </c>
      <c r="AN71" t="s">
        <v>366</v>
      </c>
      <c r="AO71" t="s">
        <v>367</v>
      </c>
      <c r="AP71" t="b">
        <v>0</v>
      </c>
      <c r="AQ71" t="b">
        <v>0</v>
      </c>
      <c r="AR71" t="b">
        <v>0</v>
      </c>
      <c r="AS71" t="s">
        <v>368</v>
      </c>
    </row>
    <row r="72" spans="1:45" x14ac:dyDescent="0.3">
      <c r="A72">
        <v>93</v>
      </c>
      <c r="B72">
        <v>103</v>
      </c>
      <c r="C72" t="s">
        <v>369</v>
      </c>
      <c r="D72" t="s">
        <v>370</v>
      </c>
      <c r="E72" t="s">
        <v>371</v>
      </c>
      <c r="F72" t="s">
        <v>56</v>
      </c>
      <c r="G72">
        <v>93.7</v>
      </c>
      <c r="H72">
        <v>98</v>
      </c>
      <c r="I72">
        <v>23.7</v>
      </c>
      <c r="J72">
        <v>8.8000000000000007</v>
      </c>
      <c r="K72">
        <v>26</v>
      </c>
      <c r="L72">
        <v>3.7</v>
      </c>
      <c r="M72">
        <v>82.5</v>
      </c>
      <c r="N72">
        <v>99.9</v>
      </c>
      <c r="O72">
        <v>79.3</v>
      </c>
      <c r="P72">
        <v>61.5</v>
      </c>
      <c r="Q72" t="s">
        <v>372</v>
      </c>
      <c r="R72" t="s">
        <v>373</v>
      </c>
      <c r="S72" t="s">
        <v>374</v>
      </c>
      <c r="T72">
        <v>4700</v>
      </c>
      <c r="U72">
        <v>29.7</v>
      </c>
      <c r="V72">
        <v>707</v>
      </c>
      <c r="W72">
        <v>34.299999999999997</v>
      </c>
      <c r="X72">
        <v>369</v>
      </c>
      <c r="Y72">
        <v>67.599999999999994</v>
      </c>
      <c r="Z72">
        <v>610</v>
      </c>
      <c r="AA72">
        <v>84.7</v>
      </c>
      <c r="AB72">
        <v>213</v>
      </c>
      <c r="AC72">
        <v>57.9</v>
      </c>
      <c r="AD72">
        <v>624</v>
      </c>
      <c r="AE72" t="s">
        <v>57</v>
      </c>
      <c r="AF72">
        <v>0</v>
      </c>
      <c r="AG72" t="s">
        <v>375</v>
      </c>
      <c r="AH72">
        <v>852</v>
      </c>
      <c r="AI72" t="s">
        <v>371</v>
      </c>
      <c r="AJ72" s="1">
        <v>30448</v>
      </c>
      <c r="AK72">
        <v>15</v>
      </c>
      <c r="AL72" s="2">
        <v>0.03</v>
      </c>
      <c r="AN72" t="s">
        <v>373</v>
      </c>
      <c r="AO72" t="s">
        <v>376</v>
      </c>
      <c r="AP72" t="b">
        <v>0</v>
      </c>
      <c r="AQ72" t="b">
        <v>0</v>
      </c>
      <c r="AR72" t="b">
        <v>0</v>
      </c>
    </row>
    <row r="73" spans="1:45" x14ac:dyDescent="0.3">
      <c r="A73">
        <v>94</v>
      </c>
      <c r="B73">
        <v>87</v>
      </c>
      <c r="C73" t="s">
        <v>377</v>
      </c>
      <c r="D73" t="s">
        <v>378</v>
      </c>
      <c r="E73" t="s">
        <v>379</v>
      </c>
      <c r="F73" t="s">
        <v>77</v>
      </c>
      <c r="G73">
        <v>78</v>
      </c>
      <c r="H73">
        <v>82.3</v>
      </c>
      <c r="I73">
        <v>99.7</v>
      </c>
      <c r="J73">
        <v>4.0999999999999996</v>
      </c>
      <c r="K73">
        <v>19.7</v>
      </c>
      <c r="L73">
        <v>91.5</v>
      </c>
      <c r="M73">
        <v>88.1</v>
      </c>
      <c r="N73">
        <v>95.8</v>
      </c>
      <c r="O73">
        <v>3.5</v>
      </c>
      <c r="P73">
        <v>61.4</v>
      </c>
      <c r="Q73">
        <f>95</f>
        <v>95</v>
      </c>
      <c r="R73" t="s">
        <v>377</v>
      </c>
      <c r="S73">
        <v>67</v>
      </c>
      <c r="T73">
        <v>950</v>
      </c>
      <c r="U73">
        <v>87.5</v>
      </c>
      <c r="V73">
        <v>17</v>
      </c>
      <c r="W73">
        <v>75.2</v>
      </c>
      <c r="X73">
        <v>46</v>
      </c>
      <c r="Y73">
        <v>33.9</v>
      </c>
      <c r="Z73">
        <v>1352</v>
      </c>
      <c r="AA73">
        <v>91.1</v>
      </c>
      <c r="AB73">
        <v>155</v>
      </c>
      <c r="AC73">
        <v>73.8</v>
      </c>
      <c r="AD73">
        <v>354</v>
      </c>
      <c r="AE73" t="s">
        <v>57</v>
      </c>
      <c r="AF73">
        <v>0</v>
      </c>
      <c r="AG73" t="s">
        <v>380</v>
      </c>
      <c r="AH73">
        <v>753</v>
      </c>
      <c r="AI73" t="s">
        <v>381</v>
      </c>
      <c r="AJ73" s="1">
        <v>32680</v>
      </c>
      <c r="AK73">
        <v>9.6</v>
      </c>
      <c r="AL73" s="2">
        <v>0.37</v>
      </c>
      <c r="AM73" s="3">
        <v>2.1180555555555554</v>
      </c>
      <c r="AN73" t="s">
        <v>377</v>
      </c>
      <c r="AO73" t="s">
        <v>382</v>
      </c>
      <c r="AP73" t="b">
        <v>0</v>
      </c>
      <c r="AQ73" t="b">
        <v>0</v>
      </c>
      <c r="AR73" t="b">
        <v>1</v>
      </c>
    </row>
    <row r="74" spans="1:45" x14ac:dyDescent="0.3">
      <c r="A74">
        <v>96</v>
      </c>
      <c r="B74">
        <v>111</v>
      </c>
      <c r="C74" t="s">
        <v>383</v>
      </c>
      <c r="D74" t="s">
        <v>139</v>
      </c>
      <c r="E74" t="s">
        <v>140</v>
      </c>
      <c r="F74" t="s">
        <v>77</v>
      </c>
      <c r="G74">
        <v>57</v>
      </c>
      <c r="H74">
        <v>42.2</v>
      </c>
      <c r="I74">
        <v>39.1</v>
      </c>
      <c r="J74">
        <v>61.3</v>
      </c>
      <c r="K74">
        <v>98.3</v>
      </c>
      <c r="L74">
        <v>71</v>
      </c>
      <c r="M74">
        <v>96</v>
      </c>
      <c r="N74">
        <v>70</v>
      </c>
      <c r="O74">
        <v>97.6</v>
      </c>
      <c r="P74">
        <v>61.2</v>
      </c>
      <c r="Q74">
        <f>109</f>
        <v>109</v>
      </c>
      <c r="R74" t="s">
        <v>383</v>
      </c>
      <c r="S74">
        <v>65.900000000000006</v>
      </c>
      <c r="T74">
        <v>1100</v>
      </c>
      <c r="U74">
        <v>50.1</v>
      </c>
      <c r="V74">
        <v>132</v>
      </c>
      <c r="W74">
        <v>55.5</v>
      </c>
      <c r="X74">
        <v>109</v>
      </c>
      <c r="Y74">
        <v>80.900000000000006</v>
      </c>
      <c r="Z74">
        <v>301</v>
      </c>
      <c r="AA74">
        <v>99.9</v>
      </c>
      <c r="AB74">
        <v>29</v>
      </c>
      <c r="AC74">
        <v>90.7</v>
      </c>
      <c r="AD74">
        <v>121</v>
      </c>
      <c r="AE74" t="s">
        <v>57</v>
      </c>
      <c r="AF74">
        <v>0</v>
      </c>
      <c r="AG74" t="s">
        <v>384</v>
      </c>
      <c r="AH74">
        <v>564</v>
      </c>
      <c r="AI74" t="s">
        <v>140</v>
      </c>
      <c r="AJ74" s="1">
        <v>33730</v>
      </c>
      <c r="AK74">
        <v>22.8</v>
      </c>
      <c r="AL74" s="2">
        <v>0.27</v>
      </c>
      <c r="AN74" t="s">
        <v>383</v>
      </c>
      <c r="AO74" t="s">
        <v>385</v>
      </c>
      <c r="AP74" t="b">
        <v>0</v>
      </c>
      <c r="AQ74" t="b">
        <v>0</v>
      </c>
      <c r="AR74" t="b">
        <v>0</v>
      </c>
      <c r="AS74" t="s">
        <v>386</v>
      </c>
    </row>
    <row r="75" spans="1:45" x14ac:dyDescent="0.3">
      <c r="A75">
        <v>98</v>
      </c>
      <c r="B75">
        <v>100</v>
      </c>
      <c r="C75" t="s">
        <v>387</v>
      </c>
      <c r="D75" t="s">
        <v>166</v>
      </c>
      <c r="E75" t="s">
        <v>167</v>
      </c>
      <c r="F75" t="s">
        <v>388</v>
      </c>
      <c r="G75">
        <v>45.9</v>
      </c>
      <c r="H75">
        <v>80</v>
      </c>
      <c r="I75">
        <v>99.9</v>
      </c>
      <c r="J75">
        <v>96.9</v>
      </c>
      <c r="K75">
        <v>27.6</v>
      </c>
      <c r="L75">
        <v>2.7</v>
      </c>
      <c r="M75">
        <v>26.6</v>
      </c>
      <c r="N75">
        <v>11</v>
      </c>
      <c r="O75">
        <v>36.6</v>
      </c>
      <c r="P75">
        <v>60.3</v>
      </c>
      <c r="Q75">
        <v>149</v>
      </c>
      <c r="R75" t="s">
        <v>389</v>
      </c>
      <c r="S75">
        <v>62.2</v>
      </c>
      <c r="T75">
        <v>1490</v>
      </c>
      <c r="U75">
        <v>58.1</v>
      </c>
      <c r="V75">
        <v>85</v>
      </c>
      <c r="W75">
        <v>51.5</v>
      </c>
      <c r="X75">
        <v>130</v>
      </c>
      <c r="Y75">
        <v>77.2</v>
      </c>
      <c r="Z75">
        <v>391</v>
      </c>
      <c r="AA75">
        <v>100</v>
      </c>
      <c r="AB75">
        <v>21</v>
      </c>
      <c r="AC75">
        <v>40</v>
      </c>
      <c r="AD75">
        <v>1116</v>
      </c>
      <c r="AE75" t="s">
        <v>57</v>
      </c>
      <c r="AF75">
        <v>0</v>
      </c>
      <c r="AG75" t="s">
        <v>390</v>
      </c>
      <c r="AH75">
        <v>517</v>
      </c>
      <c r="AI75" t="s">
        <v>167</v>
      </c>
      <c r="AJ75" s="1">
        <v>3300</v>
      </c>
      <c r="AK75">
        <v>10.5</v>
      </c>
      <c r="AL75" s="2">
        <v>0.05</v>
      </c>
      <c r="AN75" t="s">
        <v>391</v>
      </c>
      <c r="AO75" t="s">
        <v>392</v>
      </c>
      <c r="AP75" t="b">
        <v>0</v>
      </c>
      <c r="AQ75" t="b">
        <v>0</v>
      </c>
      <c r="AR75" t="b">
        <v>0</v>
      </c>
    </row>
    <row r="76" spans="1:45" x14ac:dyDescent="0.3">
      <c r="A76">
        <v>99</v>
      </c>
      <c r="B76">
        <v>106</v>
      </c>
      <c r="C76" t="s">
        <v>393</v>
      </c>
      <c r="D76" t="s">
        <v>150</v>
      </c>
      <c r="E76" t="s">
        <v>151</v>
      </c>
      <c r="F76" t="s">
        <v>77</v>
      </c>
      <c r="G76">
        <v>46.6</v>
      </c>
      <c r="H76">
        <v>93.7</v>
      </c>
      <c r="I76">
        <v>6.3</v>
      </c>
      <c r="J76">
        <v>71.900000000000006</v>
      </c>
      <c r="K76">
        <v>48.6</v>
      </c>
      <c r="L76">
        <v>85.5</v>
      </c>
      <c r="M76">
        <v>86.1</v>
      </c>
      <c r="N76">
        <v>33.4</v>
      </c>
      <c r="O76">
        <v>84.8</v>
      </c>
      <c r="P76">
        <v>59.9</v>
      </c>
      <c r="Q76">
        <v>90</v>
      </c>
      <c r="R76" t="s">
        <v>393</v>
      </c>
      <c r="S76">
        <v>68</v>
      </c>
      <c r="T76">
        <v>900</v>
      </c>
      <c r="U76">
        <v>54.9</v>
      </c>
      <c r="V76">
        <v>101</v>
      </c>
      <c r="W76">
        <v>64.8</v>
      </c>
      <c r="X76">
        <v>67</v>
      </c>
      <c r="Y76">
        <v>78.900000000000006</v>
      </c>
      <c r="Z76">
        <v>347</v>
      </c>
      <c r="AA76">
        <v>100</v>
      </c>
      <c r="AB76">
        <v>22</v>
      </c>
      <c r="AC76">
        <v>71.2</v>
      </c>
      <c r="AD76">
        <v>390</v>
      </c>
      <c r="AE76" t="s">
        <v>57</v>
      </c>
      <c r="AF76">
        <v>0</v>
      </c>
      <c r="AG76" t="s">
        <v>394</v>
      </c>
      <c r="AH76">
        <v>632</v>
      </c>
      <c r="AI76" t="s">
        <v>151</v>
      </c>
      <c r="AJ76" s="1">
        <v>34914</v>
      </c>
      <c r="AK76">
        <v>43.3</v>
      </c>
      <c r="AL76" s="2">
        <v>0.28999999999999998</v>
      </c>
      <c r="AM76" t="s">
        <v>318</v>
      </c>
      <c r="AN76" t="s">
        <v>393</v>
      </c>
      <c r="AO76" t="s">
        <v>395</v>
      </c>
      <c r="AP76" t="b">
        <v>0</v>
      </c>
      <c r="AQ76" t="b">
        <v>0</v>
      </c>
      <c r="AR76" t="b">
        <v>0</v>
      </c>
    </row>
    <row r="77" spans="1:45" x14ac:dyDescent="0.3">
      <c r="A77">
        <v>100</v>
      </c>
      <c r="B77">
        <v>107</v>
      </c>
      <c r="C77" t="s">
        <v>396</v>
      </c>
      <c r="D77" t="s">
        <v>397</v>
      </c>
      <c r="E77" t="s">
        <v>398</v>
      </c>
      <c r="F77" t="s">
        <v>77</v>
      </c>
      <c r="G77">
        <v>74</v>
      </c>
      <c r="H77">
        <v>31.6</v>
      </c>
      <c r="I77">
        <v>99.8</v>
      </c>
      <c r="J77">
        <v>23.1</v>
      </c>
      <c r="K77">
        <v>84.9</v>
      </c>
      <c r="L77">
        <v>15.6</v>
      </c>
      <c r="M77">
        <v>98.2</v>
      </c>
      <c r="N77">
        <v>90.8</v>
      </c>
      <c r="O77">
        <v>73.2</v>
      </c>
      <c r="P77">
        <v>59.6</v>
      </c>
      <c r="Q77">
        <f>103</f>
        <v>103</v>
      </c>
      <c r="R77" t="s">
        <v>396</v>
      </c>
      <c r="S77">
        <v>66.3</v>
      </c>
      <c r="T77">
        <v>1030</v>
      </c>
      <c r="U77">
        <v>49.2</v>
      </c>
      <c r="V77">
        <v>139</v>
      </c>
      <c r="W77">
        <v>51.1</v>
      </c>
      <c r="X77">
        <v>134</v>
      </c>
      <c r="Y77">
        <v>91.3</v>
      </c>
      <c r="Z77">
        <v>102</v>
      </c>
      <c r="AA77">
        <v>89.5</v>
      </c>
      <c r="AB77">
        <v>171</v>
      </c>
      <c r="AC77">
        <v>80.099999999999994</v>
      </c>
      <c r="AD77">
        <v>255</v>
      </c>
      <c r="AE77" t="s">
        <v>57</v>
      </c>
      <c r="AF77">
        <v>0</v>
      </c>
      <c r="AG77" t="s">
        <v>399</v>
      </c>
      <c r="AH77">
        <v>599</v>
      </c>
      <c r="AI77" t="s">
        <v>398</v>
      </c>
      <c r="AJ77" s="1">
        <v>31728</v>
      </c>
      <c r="AK77">
        <v>4.3</v>
      </c>
      <c r="AL77" s="2">
        <v>0.14000000000000001</v>
      </c>
      <c r="AM77" s="3">
        <v>2.6097222222222221</v>
      </c>
      <c r="AN77" t="s">
        <v>396</v>
      </c>
      <c r="AO77" t="s">
        <v>400</v>
      </c>
      <c r="AP77" t="b">
        <v>0</v>
      </c>
      <c r="AQ77" t="b">
        <v>0</v>
      </c>
      <c r="AR77" t="b">
        <v>0</v>
      </c>
    </row>
    <row r="78" spans="1:45" x14ac:dyDescent="0.3">
      <c r="A78">
        <v>101</v>
      </c>
      <c r="B78">
        <v>180</v>
      </c>
      <c r="C78" t="s">
        <v>401</v>
      </c>
      <c r="D78" t="s">
        <v>402</v>
      </c>
      <c r="E78" t="s">
        <v>403</v>
      </c>
      <c r="F78" t="s">
        <v>47</v>
      </c>
      <c r="G78">
        <v>38</v>
      </c>
      <c r="H78">
        <v>46.5</v>
      </c>
      <c r="I78">
        <v>86</v>
      </c>
      <c r="J78">
        <v>78</v>
      </c>
      <c r="K78">
        <v>100</v>
      </c>
      <c r="L78">
        <v>47.6</v>
      </c>
      <c r="M78">
        <v>73.900000000000006</v>
      </c>
      <c r="N78">
        <v>97.8</v>
      </c>
      <c r="O78">
        <v>20.100000000000001</v>
      </c>
      <c r="P78">
        <v>59.5</v>
      </c>
      <c r="Q78" t="s">
        <v>292</v>
      </c>
      <c r="R78" t="s">
        <v>404</v>
      </c>
      <c r="S78" t="s">
        <v>293</v>
      </c>
      <c r="T78">
        <v>2180</v>
      </c>
      <c r="U78">
        <v>37.6</v>
      </c>
      <c r="V78">
        <v>374</v>
      </c>
      <c r="W78">
        <v>38.700000000000003</v>
      </c>
      <c r="X78">
        <v>266</v>
      </c>
      <c r="Y78">
        <v>86.3</v>
      </c>
      <c r="Z78">
        <v>187</v>
      </c>
      <c r="AA78">
        <v>90.9</v>
      </c>
      <c r="AB78">
        <v>158</v>
      </c>
      <c r="AC78">
        <v>84.8</v>
      </c>
      <c r="AD78">
        <v>192</v>
      </c>
      <c r="AE78" t="s">
        <v>57</v>
      </c>
      <c r="AF78">
        <v>0</v>
      </c>
      <c r="AG78" t="s">
        <v>405</v>
      </c>
      <c r="AH78">
        <v>916</v>
      </c>
      <c r="AI78" t="s">
        <v>403</v>
      </c>
      <c r="AJ78" s="1">
        <v>6801</v>
      </c>
      <c r="AK78">
        <v>8.5</v>
      </c>
      <c r="AL78" s="2">
        <v>0.15</v>
      </c>
      <c r="AM78">
        <v>0.3972222222222222</v>
      </c>
      <c r="AN78" t="s">
        <v>404</v>
      </c>
      <c r="AO78" t="s">
        <v>406</v>
      </c>
      <c r="AP78" t="b">
        <v>0</v>
      </c>
      <c r="AQ78" t="b">
        <v>0</v>
      </c>
      <c r="AR78" t="b">
        <v>0</v>
      </c>
    </row>
    <row r="79" spans="1:45" x14ac:dyDescent="0.3">
      <c r="A79">
        <v>102</v>
      </c>
      <c r="B79">
        <v>119</v>
      </c>
      <c r="C79" t="s">
        <v>407</v>
      </c>
      <c r="D79" t="s">
        <v>150</v>
      </c>
      <c r="E79" t="s">
        <v>151</v>
      </c>
      <c r="F79" t="s">
        <v>56</v>
      </c>
      <c r="G79">
        <v>44.9</v>
      </c>
      <c r="H79">
        <v>80.900000000000006</v>
      </c>
      <c r="I79">
        <v>39.4</v>
      </c>
      <c r="J79">
        <v>68.400000000000006</v>
      </c>
      <c r="K79">
        <v>70.5</v>
      </c>
      <c r="L79">
        <v>42.9</v>
      </c>
      <c r="M79">
        <v>86.4</v>
      </c>
      <c r="N79">
        <v>50.8</v>
      </c>
      <c r="O79">
        <v>75.3</v>
      </c>
      <c r="P79">
        <v>59.4</v>
      </c>
      <c r="Q79">
        <f>140</f>
        <v>140</v>
      </c>
      <c r="R79" t="s">
        <v>408</v>
      </c>
      <c r="S79">
        <v>62.8</v>
      </c>
      <c r="T79">
        <v>1400</v>
      </c>
      <c r="U79">
        <v>49.9</v>
      </c>
      <c r="V79">
        <v>137</v>
      </c>
      <c r="W79">
        <v>56.8</v>
      </c>
      <c r="X79">
        <v>102</v>
      </c>
      <c r="Y79">
        <v>72.5</v>
      </c>
      <c r="Z79">
        <v>498</v>
      </c>
      <c r="AA79">
        <v>99.9</v>
      </c>
      <c r="AB79">
        <v>32</v>
      </c>
      <c r="AC79">
        <v>77.599999999999994</v>
      </c>
      <c r="AD79">
        <v>286</v>
      </c>
      <c r="AE79" t="s">
        <v>57</v>
      </c>
      <c r="AF79">
        <v>0</v>
      </c>
      <c r="AG79" t="s">
        <v>409</v>
      </c>
      <c r="AH79">
        <v>660</v>
      </c>
      <c r="AI79" t="s">
        <v>151</v>
      </c>
      <c r="AJ79" s="1">
        <v>21448</v>
      </c>
      <c r="AK79">
        <v>20.5</v>
      </c>
      <c r="AL79" s="2">
        <v>0.25</v>
      </c>
      <c r="AM79" t="s">
        <v>410</v>
      </c>
      <c r="AN79" t="s">
        <v>408</v>
      </c>
      <c r="AO79" t="s">
        <v>411</v>
      </c>
      <c r="AP79" t="b">
        <v>0</v>
      </c>
      <c r="AQ79" t="b">
        <v>0</v>
      </c>
      <c r="AR79" t="b">
        <v>0</v>
      </c>
    </row>
    <row r="80" spans="1:45" x14ac:dyDescent="0.3">
      <c r="A80">
        <v>103</v>
      </c>
      <c r="B80">
        <v>105</v>
      </c>
      <c r="C80" t="s">
        <v>412</v>
      </c>
      <c r="D80" t="s">
        <v>314</v>
      </c>
      <c r="E80" t="s">
        <v>315</v>
      </c>
      <c r="F80" t="s">
        <v>56</v>
      </c>
      <c r="G80">
        <v>61.4</v>
      </c>
      <c r="H80">
        <v>33.700000000000003</v>
      </c>
      <c r="I80">
        <v>52</v>
      </c>
      <c r="J80">
        <v>42.3</v>
      </c>
      <c r="K80">
        <v>99.4</v>
      </c>
      <c r="L80">
        <v>81.099999999999994</v>
      </c>
      <c r="M80">
        <v>96.7</v>
      </c>
      <c r="N80">
        <v>68.400000000000006</v>
      </c>
      <c r="O80">
        <v>99.2</v>
      </c>
      <c r="P80">
        <v>59.3</v>
      </c>
      <c r="Q80">
        <f>140</f>
        <v>140</v>
      </c>
      <c r="R80" t="s">
        <v>412</v>
      </c>
      <c r="S80">
        <v>62.8</v>
      </c>
      <c r="T80">
        <v>1420</v>
      </c>
      <c r="U80">
        <v>43.9</v>
      </c>
      <c r="V80">
        <v>223</v>
      </c>
      <c r="W80">
        <v>55</v>
      </c>
      <c r="X80">
        <v>111</v>
      </c>
      <c r="Y80">
        <v>81.3</v>
      </c>
      <c r="Z80">
        <v>296</v>
      </c>
      <c r="AA80">
        <v>97.7</v>
      </c>
      <c r="AB80">
        <v>92</v>
      </c>
      <c r="AC80">
        <v>74.7</v>
      </c>
      <c r="AD80">
        <v>336</v>
      </c>
      <c r="AE80" t="s">
        <v>57</v>
      </c>
      <c r="AF80">
        <v>0</v>
      </c>
      <c r="AG80" t="s">
        <v>413</v>
      </c>
      <c r="AH80">
        <v>551</v>
      </c>
      <c r="AI80" t="s">
        <v>315</v>
      </c>
      <c r="AJ80" s="1">
        <v>24749</v>
      </c>
      <c r="AK80">
        <v>13.3</v>
      </c>
      <c r="AL80" s="2">
        <v>0.17</v>
      </c>
      <c r="AM80" s="3">
        <v>2.5277777777777777</v>
      </c>
      <c r="AN80" t="s">
        <v>412</v>
      </c>
      <c r="AO80" t="s">
        <v>414</v>
      </c>
      <c r="AP80" t="b">
        <v>0</v>
      </c>
      <c r="AQ80" t="b">
        <v>0</v>
      </c>
      <c r="AR80" t="b">
        <v>0</v>
      </c>
    </row>
    <row r="81" spans="1:45" x14ac:dyDescent="0.3">
      <c r="A81">
        <v>104</v>
      </c>
      <c r="B81">
        <v>95</v>
      </c>
      <c r="C81" t="s">
        <v>415</v>
      </c>
      <c r="D81" t="s">
        <v>54</v>
      </c>
      <c r="E81" t="s">
        <v>55</v>
      </c>
      <c r="F81" t="s">
        <v>47</v>
      </c>
      <c r="G81">
        <v>46.5</v>
      </c>
      <c r="H81">
        <v>63.2</v>
      </c>
      <c r="I81">
        <v>64.7</v>
      </c>
      <c r="J81">
        <v>49.2</v>
      </c>
      <c r="K81">
        <v>98.4</v>
      </c>
      <c r="L81">
        <v>100</v>
      </c>
      <c r="M81">
        <v>83.8</v>
      </c>
      <c r="N81">
        <v>18.5</v>
      </c>
      <c r="O81">
        <v>91.1</v>
      </c>
      <c r="P81">
        <v>59.2</v>
      </c>
      <c r="Q81">
        <f>193</f>
        <v>193</v>
      </c>
      <c r="R81" t="s">
        <v>415</v>
      </c>
      <c r="S81">
        <v>59</v>
      </c>
      <c r="T81">
        <v>1960</v>
      </c>
      <c r="U81">
        <v>46</v>
      </c>
      <c r="V81">
        <v>192</v>
      </c>
      <c r="W81">
        <v>42.6</v>
      </c>
      <c r="X81">
        <v>218</v>
      </c>
      <c r="Y81">
        <v>77.7</v>
      </c>
      <c r="Z81">
        <v>377</v>
      </c>
      <c r="AA81">
        <v>63.6</v>
      </c>
      <c r="AB81">
        <v>575</v>
      </c>
      <c r="AC81">
        <v>95.8</v>
      </c>
      <c r="AD81">
        <v>34</v>
      </c>
      <c r="AE81" t="s">
        <v>57</v>
      </c>
      <c r="AF81">
        <v>0</v>
      </c>
      <c r="AG81" t="s">
        <v>416</v>
      </c>
      <c r="AH81">
        <v>549</v>
      </c>
      <c r="AI81" t="s">
        <v>55</v>
      </c>
      <c r="AJ81" s="1">
        <v>10325</v>
      </c>
      <c r="AK81">
        <v>12.4</v>
      </c>
      <c r="AL81" s="2">
        <v>0.46</v>
      </c>
      <c r="AM81" s="3">
        <v>2.4458333333333333</v>
      </c>
      <c r="AN81" t="s">
        <v>415</v>
      </c>
      <c r="AO81" t="s">
        <v>417</v>
      </c>
      <c r="AP81" t="b">
        <v>0</v>
      </c>
      <c r="AQ81" t="b">
        <v>0</v>
      </c>
      <c r="AR81" t="b">
        <v>0</v>
      </c>
      <c r="AS81" t="s">
        <v>418</v>
      </c>
    </row>
    <row r="82" spans="1:45" x14ac:dyDescent="0.3">
      <c r="A82">
        <v>105</v>
      </c>
      <c r="B82">
        <v>104</v>
      </c>
      <c r="C82" t="s">
        <v>419</v>
      </c>
      <c r="D82" t="s">
        <v>54</v>
      </c>
      <c r="E82" t="s">
        <v>55</v>
      </c>
      <c r="F82" t="s">
        <v>56</v>
      </c>
      <c r="G82">
        <v>58.3</v>
      </c>
      <c r="H82">
        <v>48.7</v>
      </c>
      <c r="I82">
        <v>52.5</v>
      </c>
      <c r="J82">
        <v>43.9</v>
      </c>
      <c r="K82">
        <v>83.3</v>
      </c>
      <c r="L82">
        <v>96.8</v>
      </c>
      <c r="M82">
        <v>95.8</v>
      </c>
      <c r="N82">
        <v>33.799999999999997</v>
      </c>
      <c r="O82">
        <v>97.7</v>
      </c>
      <c r="P82">
        <v>59.1</v>
      </c>
      <c r="Q82">
        <v>105</v>
      </c>
      <c r="R82" t="s">
        <v>420</v>
      </c>
      <c r="S82">
        <v>66.2</v>
      </c>
      <c r="T82">
        <v>1050</v>
      </c>
      <c r="U82">
        <v>48</v>
      </c>
      <c r="V82">
        <v>161</v>
      </c>
      <c r="W82">
        <v>49.5</v>
      </c>
      <c r="X82">
        <v>144</v>
      </c>
      <c r="Y82">
        <v>92.3</v>
      </c>
      <c r="Z82">
        <v>88</v>
      </c>
      <c r="AA82">
        <v>77.5</v>
      </c>
      <c r="AB82">
        <v>297</v>
      </c>
      <c r="AC82">
        <v>92</v>
      </c>
      <c r="AD82">
        <v>100</v>
      </c>
      <c r="AE82" t="s">
        <v>57</v>
      </c>
      <c r="AF82">
        <v>11</v>
      </c>
      <c r="AG82" t="s">
        <v>421</v>
      </c>
      <c r="AH82">
        <v>565</v>
      </c>
      <c r="AI82" t="s">
        <v>55</v>
      </c>
      <c r="AJ82" s="1">
        <v>27860</v>
      </c>
      <c r="AK82">
        <v>15.4</v>
      </c>
      <c r="AL82" s="2">
        <v>0.4</v>
      </c>
      <c r="AM82" s="3">
        <v>2.2409722222222221</v>
      </c>
      <c r="AN82" t="s">
        <v>422</v>
      </c>
      <c r="AO82" t="s">
        <v>423</v>
      </c>
      <c r="AP82" t="b">
        <v>0</v>
      </c>
      <c r="AQ82" t="b">
        <v>0</v>
      </c>
      <c r="AR82" t="b">
        <v>0</v>
      </c>
      <c r="AS82" t="s">
        <v>424</v>
      </c>
    </row>
    <row r="83" spans="1:45" x14ac:dyDescent="0.3">
      <c r="A83">
        <v>107</v>
      </c>
      <c r="B83">
        <v>113</v>
      </c>
      <c r="C83" t="s">
        <v>425</v>
      </c>
      <c r="D83" t="s">
        <v>175</v>
      </c>
      <c r="E83" t="s">
        <v>176</v>
      </c>
      <c r="F83" t="s">
        <v>56</v>
      </c>
      <c r="G83">
        <v>73.8</v>
      </c>
      <c r="H83">
        <v>82.8</v>
      </c>
      <c r="I83">
        <v>97.8</v>
      </c>
      <c r="J83">
        <v>23.9</v>
      </c>
      <c r="K83">
        <v>14.1</v>
      </c>
      <c r="L83">
        <v>11.4</v>
      </c>
      <c r="M83">
        <v>68.3</v>
      </c>
      <c r="N83">
        <v>22.6</v>
      </c>
      <c r="O83">
        <v>78.599999999999994</v>
      </c>
      <c r="P83">
        <v>58.8</v>
      </c>
      <c r="Q83">
        <f>130</f>
        <v>130</v>
      </c>
      <c r="R83" t="s">
        <v>425</v>
      </c>
      <c r="S83">
        <v>63.8</v>
      </c>
      <c r="T83">
        <v>1310</v>
      </c>
      <c r="U83">
        <v>67.8</v>
      </c>
      <c r="V83">
        <v>48</v>
      </c>
      <c r="W83">
        <v>66.400000000000006</v>
      </c>
      <c r="X83">
        <v>61</v>
      </c>
      <c r="Y83">
        <v>53.8</v>
      </c>
      <c r="Z83">
        <v>924</v>
      </c>
      <c r="AA83">
        <v>99.9</v>
      </c>
      <c r="AB83">
        <v>37</v>
      </c>
      <c r="AC83">
        <v>58.5</v>
      </c>
      <c r="AD83">
        <v>613</v>
      </c>
      <c r="AE83" t="s">
        <v>57</v>
      </c>
      <c r="AF83">
        <v>0</v>
      </c>
      <c r="AG83" t="s">
        <v>426</v>
      </c>
      <c r="AH83">
        <v>584</v>
      </c>
      <c r="AI83" t="s">
        <v>176</v>
      </c>
      <c r="AJ83" s="1">
        <v>17409</v>
      </c>
      <c r="AK83">
        <v>11.8</v>
      </c>
      <c r="AL83" s="2">
        <v>0.12</v>
      </c>
      <c r="AM83" t="s">
        <v>427</v>
      </c>
      <c r="AN83" t="s">
        <v>425</v>
      </c>
      <c r="AO83" t="s">
        <v>428</v>
      </c>
      <c r="AP83" t="b">
        <v>0</v>
      </c>
      <c r="AQ83" t="b">
        <v>0</v>
      </c>
      <c r="AR83" t="b">
        <v>0</v>
      </c>
    </row>
    <row r="84" spans="1:45" x14ac:dyDescent="0.3">
      <c r="A84">
        <v>108</v>
      </c>
      <c r="B84">
        <v>100</v>
      </c>
      <c r="C84" t="s">
        <v>429</v>
      </c>
      <c r="D84" t="s">
        <v>54</v>
      </c>
      <c r="E84" t="s">
        <v>55</v>
      </c>
      <c r="F84" t="s">
        <v>77</v>
      </c>
      <c r="G84">
        <v>61.1</v>
      </c>
      <c r="H84">
        <v>65.8</v>
      </c>
      <c r="I84">
        <v>32.799999999999997</v>
      </c>
      <c r="J84">
        <v>37.6</v>
      </c>
      <c r="K84">
        <v>89.4</v>
      </c>
      <c r="L84">
        <v>70.5</v>
      </c>
      <c r="M84">
        <v>98</v>
      </c>
      <c r="N84">
        <v>38</v>
      </c>
      <c r="O84">
        <v>97</v>
      </c>
      <c r="P84">
        <v>58.5</v>
      </c>
      <c r="Q84">
        <f>130</f>
        <v>130</v>
      </c>
      <c r="R84" t="s">
        <v>429</v>
      </c>
      <c r="S84">
        <v>63.8</v>
      </c>
      <c r="T84">
        <v>1300</v>
      </c>
      <c r="U84">
        <v>45.6</v>
      </c>
      <c r="V84">
        <v>196</v>
      </c>
      <c r="W84">
        <v>45.9</v>
      </c>
      <c r="X84">
        <v>180</v>
      </c>
      <c r="Y84">
        <v>90.6</v>
      </c>
      <c r="Z84">
        <v>115</v>
      </c>
      <c r="AA84">
        <v>71.2</v>
      </c>
      <c r="AB84">
        <v>402</v>
      </c>
      <c r="AC84">
        <v>92.8</v>
      </c>
      <c r="AD84">
        <v>87</v>
      </c>
      <c r="AE84" t="s">
        <v>57</v>
      </c>
      <c r="AF84">
        <v>0</v>
      </c>
      <c r="AG84" t="s">
        <v>430</v>
      </c>
      <c r="AH84">
        <v>604</v>
      </c>
      <c r="AI84" t="s">
        <v>55</v>
      </c>
      <c r="AJ84" s="1">
        <v>33520</v>
      </c>
      <c r="AK84">
        <v>16</v>
      </c>
      <c r="AL84" s="2">
        <v>0.27</v>
      </c>
      <c r="AM84" s="3">
        <v>2.2819444444444446</v>
      </c>
      <c r="AN84" t="s">
        <v>429</v>
      </c>
      <c r="AO84" t="s">
        <v>431</v>
      </c>
      <c r="AP84" t="b">
        <v>0</v>
      </c>
      <c r="AQ84" t="b">
        <v>0</v>
      </c>
      <c r="AR84" t="b">
        <v>0</v>
      </c>
      <c r="AS84" t="s">
        <v>432</v>
      </c>
    </row>
    <row r="85" spans="1:45" x14ac:dyDescent="0.3">
      <c r="A85">
        <v>109</v>
      </c>
      <c r="B85">
        <v>121</v>
      </c>
      <c r="C85" t="s">
        <v>433</v>
      </c>
      <c r="D85" t="s">
        <v>397</v>
      </c>
      <c r="E85" t="s">
        <v>398</v>
      </c>
      <c r="F85" t="s">
        <v>47</v>
      </c>
      <c r="G85">
        <v>33.200000000000003</v>
      </c>
      <c r="H85">
        <v>22.1</v>
      </c>
      <c r="I85">
        <v>99.1</v>
      </c>
      <c r="J85">
        <v>84.4</v>
      </c>
      <c r="K85">
        <v>100</v>
      </c>
      <c r="L85">
        <v>87.7</v>
      </c>
      <c r="M85">
        <v>88.1</v>
      </c>
      <c r="N85">
        <v>43.6</v>
      </c>
      <c r="O85">
        <v>47.9</v>
      </c>
      <c r="P85">
        <v>58.3</v>
      </c>
      <c r="Q85">
        <v>126</v>
      </c>
      <c r="R85" t="s">
        <v>433</v>
      </c>
      <c r="S85">
        <v>64.599999999999994</v>
      </c>
      <c r="T85">
        <v>1260</v>
      </c>
      <c r="U85">
        <v>50.7</v>
      </c>
      <c r="V85">
        <v>129</v>
      </c>
      <c r="W85">
        <v>47.4</v>
      </c>
      <c r="X85">
        <v>162</v>
      </c>
      <c r="Y85">
        <v>83.2</v>
      </c>
      <c r="Z85">
        <v>257</v>
      </c>
      <c r="AA85">
        <v>99.7</v>
      </c>
      <c r="AB85">
        <v>52</v>
      </c>
      <c r="AC85">
        <v>92.2</v>
      </c>
      <c r="AD85">
        <v>98</v>
      </c>
      <c r="AE85" t="s">
        <v>57</v>
      </c>
      <c r="AF85">
        <v>0</v>
      </c>
      <c r="AG85" t="s">
        <v>434</v>
      </c>
      <c r="AH85">
        <v>643</v>
      </c>
      <c r="AI85" t="s">
        <v>398</v>
      </c>
      <c r="AJ85" s="1">
        <v>10410</v>
      </c>
      <c r="AK85">
        <v>7.7</v>
      </c>
      <c r="AL85" s="2">
        <v>0.28000000000000003</v>
      </c>
      <c r="AM85" t="s">
        <v>357</v>
      </c>
      <c r="AN85" t="s">
        <v>433</v>
      </c>
      <c r="AO85" t="s">
        <v>435</v>
      </c>
      <c r="AP85" t="b">
        <v>0</v>
      </c>
      <c r="AQ85" t="b">
        <v>0</v>
      </c>
      <c r="AR85" t="b">
        <v>0</v>
      </c>
    </row>
    <row r="86" spans="1:45" x14ac:dyDescent="0.3">
      <c r="A86">
        <v>109</v>
      </c>
      <c r="B86">
        <v>91</v>
      </c>
      <c r="C86" t="s">
        <v>436</v>
      </c>
      <c r="D86" t="s">
        <v>437</v>
      </c>
      <c r="E86" t="s">
        <v>438</v>
      </c>
      <c r="F86" t="s">
        <v>56</v>
      </c>
      <c r="G86">
        <v>59.9</v>
      </c>
      <c r="H86">
        <v>26.4</v>
      </c>
      <c r="I86">
        <v>92.2</v>
      </c>
      <c r="J86">
        <v>40.1</v>
      </c>
      <c r="K86">
        <v>100</v>
      </c>
      <c r="L86">
        <v>42.8</v>
      </c>
      <c r="M86">
        <v>94.3</v>
      </c>
      <c r="N86">
        <v>88.6</v>
      </c>
      <c r="O86">
        <v>58.7</v>
      </c>
      <c r="P86">
        <v>58.3</v>
      </c>
      <c r="Q86">
        <v>80</v>
      </c>
      <c r="R86" t="s">
        <v>436</v>
      </c>
      <c r="S86">
        <v>69.900000000000006</v>
      </c>
      <c r="T86">
        <v>800</v>
      </c>
      <c r="U86">
        <v>54.8</v>
      </c>
      <c r="V86">
        <v>103</v>
      </c>
      <c r="W86">
        <v>53.4</v>
      </c>
      <c r="X86">
        <v>121</v>
      </c>
      <c r="Y86">
        <v>91.8</v>
      </c>
      <c r="Z86">
        <v>96</v>
      </c>
      <c r="AA86">
        <v>93.7</v>
      </c>
      <c r="AB86">
        <v>131</v>
      </c>
      <c r="AC86">
        <v>92.4</v>
      </c>
      <c r="AD86">
        <v>96</v>
      </c>
      <c r="AE86" t="s">
        <v>57</v>
      </c>
      <c r="AF86">
        <v>0</v>
      </c>
      <c r="AG86" t="s">
        <v>439</v>
      </c>
      <c r="AH86">
        <v>525</v>
      </c>
      <c r="AI86" t="s">
        <v>438</v>
      </c>
      <c r="AJ86" s="1">
        <v>25608</v>
      </c>
      <c r="AK86">
        <v>14.7</v>
      </c>
      <c r="AL86" s="2">
        <v>0.24</v>
      </c>
      <c r="AM86" s="3">
        <v>2.4458333333333333</v>
      </c>
      <c r="AN86" t="s">
        <v>436</v>
      </c>
      <c r="AO86" t="s">
        <v>440</v>
      </c>
      <c r="AP86" t="b">
        <v>0</v>
      </c>
      <c r="AQ86" t="b">
        <v>0</v>
      </c>
      <c r="AR86" t="b">
        <v>0</v>
      </c>
    </row>
    <row r="87" spans="1:45" x14ac:dyDescent="0.3">
      <c r="A87">
        <v>111</v>
      </c>
      <c r="B87">
        <v>123</v>
      </c>
      <c r="C87" t="s">
        <v>441</v>
      </c>
      <c r="D87" t="s">
        <v>442</v>
      </c>
      <c r="E87" t="s">
        <v>443</v>
      </c>
      <c r="F87" t="s">
        <v>77</v>
      </c>
      <c r="G87">
        <v>70.8</v>
      </c>
      <c r="H87">
        <v>77</v>
      </c>
      <c r="I87">
        <v>5.8</v>
      </c>
      <c r="J87">
        <v>40.200000000000003</v>
      </c>
      <c r="K87">
        <v>67.400000000000006</v>
      </c>
      <c r="L87">
        <v>56.8</v>
      </c>
      <c r="M87">
        <v>88.1</v>
      </c>
      <c r="N87">
        <v>52.9</v>
      </c>
      <c r="O87">
        <v>72.599999999999994</v>
      </c>
      <c r="P87">
        <v>58.2</v>
      </c>
      <c r="Q87" t="s">
        <v>292</v>
      </c>
      <c r="R87" t="s">
        <v>441</v>
      </c>
      <c r="S87" t="s">
        <v>293</v>
      </c>
      <c r="T87">
        <v>2310</v>
      </c>
      <c r="U87">
        <v>42.9</v>
      </c>
      <c r="V87">
        <v>243</v>
      </c>
      <c r="W87">
        <v>49.7</v>
      </c>
      <c r="X87">
        <v>141</v>
      </c>
      <c r="Y87">
        <v>71.900000000000006</v>
      </c>
      <c r="Z87">
        <v>510</v>
      </c>
      <c r="AA87">
        <v>95.3</v>
      </c>
      <c r="AB87">
        <v>115</v>
      </c>
      <c r="AC87">
        <v>65.3</v>
      </c>
      <c r="AD87">
        <v>479</v>
      </c>
      <c r="AE87" t="s">
        <v>57</v>
      </c>
      <c r="AF87">
        <v>11</v>
      </c>
      <c r="AG87" t="s">
        <v>444</v>
      </c>
      <c r="AH87">
        <v>797</v>
      </c>
      <c r="AI87" t="s">
        <v>443</v>
      </c>
      <c r="AJ87" s="1">
        <v>38978</v>
      </c>
      <c r="AK87">
        <v>25.7</v>
      </c>
      <c r="AL87" s="2">
        <v>0.19</v>
      </c>
      <c r="AM87" t="s">
        <v>445</v>
      </c>
      <c r="AN87" t="s">
        <v>441</v>
      </c>
      <c r="AO87" t="s">
        <v>446</v>
      </c>
      <c r="AP87" t="b">
        <v>0</v>
      </c>
      <c r="AQ87" t="b">
        <v>0</v>
      </c>
      <c r="AR87" t="b">
        <v>0</v>
      </c>
    </row>
    <row r="88" spans="1:45" x14ac:dyDescent="0.3">
      <c r="A88">
        <v>108</v>
      </c>
      <c r="B88">
        <v>93</v>
      </c>
      <c r="C88" t="s">
        <v>447</v>
      </c>
      <c r="D88" t="s">
        <v>45</v>
      </c>
      <c r="E88" t="s">
        <v>46</v>
      </c>
      <c r="F88" t="s">
        <v>56</v>
      </c>
      <c r="G88">
        <v>61.9</v>
      </c>
      <c r="H88">
        <v>69.099999999999994</v>
      </c>
      <c r="I88">
        <v>38.299999999999997</v>
      </c>
      <c r="J88">
        <v>41.3</v>
      </c>
      <c r="K88">
        <v>34.299999999999997</v>
      </c>
      <c r="L88">
        <v>88.9</v>
      </c>
      <c r="M88">
        <v>86.9</v>
      </c>
      <c r="N88">
        <v>77.2</v>
      </c>
      <c r="O88">
        <v>65.900000000000006</v>
      </c>
      <c r="P88">
        <v>58.1</v>
      </c>
      <c r="Q88">
        <v>78</v>
      </c>
      <c r="R88" t="s">
        <v>447</v>
      </c>
      <c r="S88">
        <v>70.099999999999994</v>
      </c>
      <c r="T88">
        <v>780</v>
      </c>
      <c r="U88">
        <v>59.6</v>
      </c>
      <c r="V88">
        <v>76</v>
      </c>
      <c r="W88">
        <v>54.1</v>
      </c>
      <c r="X88">
        <v>115</v>
      </c>
      <c r="Y88">
        <v>94.3</v>
      </c>
      <c r="Z88">
        <v>56</v>
      </c>
      <c r="AA88">
        <v>76.400000000000006</v>
      </c>
      <c r="AB88">
        <v>311</v>
      </c>
      <c r="AC88">
        <v>74.099999999999994</v>
      </c>
      <c r="AD88">
        <v>347</v>
      </c>
      <c r="AE88" t="s">
        <v>49</v>
      </c>
      <c r="AF88">
        <v>0</v>
      </c>
      <c r="AG88" t="s">
        <v>448</v>
      </c>
      <c r="AH88">
        <v>518</v>
      </c>
      <c r="AI88" t="s">
        <v>46</v>
      </c>
      <c r="AJ88" s="1">
        <v>26677</v>
      </c>
      <c r="AK88">
        <v>10.8</v>
      </c>
      <c r="AL88" s="2">
        <v>0.28999999999999998</v>
      </c>
      <c r="AM88" s="3">
        <v>2.4458333333333333</v>
      </c>
      <c r="AN88" t="s">
        <v>447</v>
      </c>
      <c r="AO88" t="s">
        <v>449</v>
      </c>
      <c r="AP88" t="b">
        <v>0</v>
      </c>
      <c r="AQ88" t="b">
        <v>0</v>
      </c>
      <c r="AR88" t="b">
        <v>0</v>
      </c>
      <c r="AS88" t="s">
        <v>450</v>
      </c>
    </row>
    <row r="89" spans="1:45" x14ac:dyDescent="0.3">
      <c r="A89">
        <v>113</v>
      </c>
      <c r="B89">
        <v>109</v>
      </c>
      <c r="C89" t="s">
        <v>451</v>
      </c>
      <c r="D89" t="s">
        <v>452</v>
      </c>
      <c r="E89" t="s">
        <v>453</v>
      </c>
      <c r="F89" t="s">
        <v>56</v>
      </c>
      <c r="G89">
        <v>45.7</v>
      </c>
      <c r="H89">
        <v>40.6</v>
      </c>
      <c r="I89">
        <v>33.200000000000003</v>
      </c>
      <c r="J89">
        <v>73.599999999999994</v>
      </c>
      <c r="K89">
        <v>95.2</v>
      </c>
      <c r="L89">
        <v>40.1</v>
      </c>
      <c r="M89">
        <v>78.2</v>
      </c>
      <c r="N89">
        <v>95.1</v>
      </c>
      <c r="O89">
        <v>94.7</v>
      </c>
      <c r="P89">
        <v>57.9</v>
      </c>
      <c r="Q89" t="s">
        <v>292</v>
      </c>
      <c r="R89" t="s">
        <v>451</v>
      </c>
      <c r="S89" t="s">
        <v>293</v>
      </c>
      <c r="T89">
        <v>2030</v>
      </c>
      <c r="U89">
        <v>42</v>
      </c>
      <c r="V89">
        <v>262</v>
      </c>
      <c r="W89">
        <v>43.1</v>
      </c>
      <c r="X89">
        <v>208</v>
      </c>
      <c r="Y89">
        <v>79.7</v>
      </c>
      <c r="Z89">
        <v>326</v>
      </c>
      <c r="AA89">
        <v>87.2</v>
      </c>
      <c r="AB89">
        <v>184</v>
      </c>
      <c r="AC89">
        <v>81.8</v>
      </c>
      <c r="AD89">
        <v>224</v>
      </c>
      <c r="AE89" t="s">
        <v>57</v>
      </c>
      <c r="AF89">
        <v>0</v>
      </c>
      <c r="AG89" t="s">
        <v>454</v>
      </c>
      <c r="AH89">
        <v>767</v>
      </c>
      <c r="AI89" t="s">
        <v>453</v>
      </c>
      <c r="AJ89" s="1">
        <v>14427</v>
      </c>
      <c r="AK89">
        <v>20.399999999999999</v>
      </c>
      <c r="AL89" s="2">
        <v>0.23</v>
      </c>
      <c r="AM89" t="s">
        <v>455</v>
      </c>
      <c r="AN89" t="s">
        <v>451</v>
      </c>
      <c r="AO89" t="s">
        <v>456</v>
      </c>
      <c r="AP89" t="b">
        <v>0</v>
      </c>
      <c r="AQ89" t="b">
        <v>0</v>
      </c>
      <c r="AR89" t="b">
        <v>0</v>
      </c>
    </row>
    <row r="90" spans="1:45" x14ac:dyDescent="0.3">
      <c r="A90">
        <v>114</v>
      </c>
      <c r="B90">
        <v>97</v>
      </c>
      <c r="C90" t="s">
        <v>457</v>
      </c>
      <c r="D90" t="s">
        <v>45</v>
      </c>
      <c r="E90" t="s">
        <v>46</v>
      </c>
      <c r="F90" t="s">
        <v>77</v>
      </c>
      <c r="G90">
        <v>67.099999999999994</v>
      </c>
      <c r="H90">
        <v>82.6</v>
      </c>
      <c r="I90">
        <v>20.3</v>
      </c>
      <c r="J90">
        <v>52.8</v>
      </c>
      <c r="K90">
        <v>21.3</v>
      </c>
      <c r="L90">
        <v>66.400000000000006</v>
      </c>
      <c r="M90">
        <v>75.5</v>
      </c>
      <c r="N90">
        <v>43.1</v>
      </c>
      <c r="O90">
        <v>39.5</v>
      </c>
      <c r="P90">
        <v>57.3</v>
      </c>
      <c r="Q90">
        <v>36</v>
      </c>
      <c r="R90" t="s">
        <v>457</v>
      </c>
      <c r="S90">
        <v>80</v>
      </c>
      <c r="T90">
        <v>360</v>
      </c>
      <c r="U90">
        <v>63.4</v>
      </c>
      <c r="V90">
        <v>63</v>
      </c>
      <c r="W90">
        <v>78.900000000000006</v>
      </c>
      <c r="X90">
        <v>33</v>
      </c>
      <c r="Y90">
        <v>94.1</v>
      </c>
      <c r="Z90">
        <v>57</v>
      </c>
      <c r="AA90">
        <v>94.6</v>
      </c>
      <c r="AB90">
        <v>123</v>
      </c>
      <c r="AC90">
        <v>84.8</v>
      </c>
      <c r="AD90">
        <v>190</v>
      </c>
      <c r="AE90" t="s">
        <v>208</v>
      </c>
      <c r="AF90">
        <v>0</v>
      </c>
      <c r="AG90" t="s">
        <v>458</v>
      </c>
      <c r="AH90">
        <v>488</v>
      </c>
      <c r="AI90" t="s">
        <v>46</v>
      </c>
      <c r="AJ90" s="1">
        <v>32079</v>
      </c>
      <c r="AK90">
        <v>28</v>
      </c>
      <c r="AL90" s="2">
        <v>0.28999999999999998</v>
      </c>
      <c r="AM90" t="s">
        <v>318</v>
      </c>
      <c r="AN90" t="s">
        <v>457</v>
      </c>
      <c r="AO90" t="s">
        <v>459</v>
      </c>
      <c r="AP90" t="b">
        <v>0</v>
      </c>
      <c r="AQ90" t="b">
        <v>0</v>
      </c>
      <c r="AR90" t="b">
        <v>0</v>
      </c>
      <c r="AS90" t="s">
        <v>460</v>
      </c>
    </row>
    <row r="91" spans="1:45" x14ac:dyDescent="0.3">
      <c r="A91">
        <v>115</v>
      </c>
      <c r="B91">
        <v>112</v>
      </c>
      <c r="C91" t="s">
        <v>461</v>
      </c>
      <c r="D91" t="s">
        <v>139</v>
      </c>
      <c r="E91" t="s">
        <v>140</v>
      </c>
      <c r="F91" t="s">
        <v>77</v>
      </c>
      <c r="G91">
        <v>40.4</v>
      </c>
      <c r="H91">
        <v>64.2</v>
      </c>
      <c r="I91">
        <v>6.5</v>
      </c>
      <c r="J91">
        <v>78.900000000000006</v>
      </c>
      <c r="K91">
        <v>75.8</v>
      </c>
      <c r="L91">
        <v>71.3</v>
      </c>
      <c r="M91">
        <v>84.6</v>
      </c>
      <c r="N91">
        <v>58.9</v>
      </c>
      <c r="O91">
        <v>93.3</v>
      </c>
      <c r="P91">
        <v>57.2</v>
      </c>
      <c r="Q91">
        <f>158</f>
        <v>158</v>
      </c>
      <c r="R91" t="s">
        <v>461</v>
      </c>
      <c r="S91">
        <v>61.7</v>
      </c>
      <c r="T91">
        <v>1590</v>
      </c>
      <c r="U91">
        <v>42.2</v>
      </c>
      <c r="V91">
        <v>261</v>
      </c>
      <c r="W91">
        <v>49.3</v>
      </c>
      <c r="X91">
        <v>148</v>
      </c>
      <c r="Y91">
        <v>83.7</v>
      </c>
      <c r="Z91">
        <v>243</v>
      </c>
      <c r="AA91">
        <v>78.3</v>
      </c>
      <c r="AB91">
        <v>286</v>
      </c>
      <c r="AC91">
        <v>89.3</v>
      </c>
      <c r="AD91">
        <v>133</v>
      </c>
      <c r="AE91" t="s">
        <v>57</v>
      </c>
      <c r="AF91">
        <v>0</v>
      </c>
      <c r="AG91" t="s">
        <v>462</v>
      </c>
      <c r="AH91">
        <v>689</v>
      </c>
      <c r="AI91" t="s">
        <v>140</v>
      </c>
      <c r="AJ91" s="1">
        <v>36904</v>
      </c>
      <c r="AK91">
        <v>24.2</v>
      </c>
      <c r="AL91" s="2">
        <v>0.23</v>
      </c>
      <c r="AM91" s="3">
        <v>1.9951388888888888</v>
      </c>
      <c r="AN91" t="s">
        <v>461</v>
      </c>
      <c r="AO91" t="s">
        <v>463</v>
      </c>
      <c r="AP91" t="b">
        <v>0</v>
      </c>
      <c r="AQ91" t="b">
        <v>0</v>
      </c>
      <c r="AR91" t="b">
        <v>0</v>
      </c>
    </row>
    <row r="92" spans="1:45" x14ac:dyDescent="0.3">
      <c r="A92">
        <v>116</v>
      </c>
      <c r="B92">
        <v>102</v>
      </c>
      <c r="C92" t="s">
        <v>464</v>
      </c>
      <c r="D92" t="s">
        <v>45</v>
      </c>
      <c r="E92" t="s">
        <v>46</v>
      </c>
      <c r="F92" t="s">
        <v>77</v>
      </c>
      <c r="G92">
        <v>77.7</v>
      </c>
      <c r="H92">
        <v>47.8</v>
      </c>
      <c r="I92">
        <v>74.3</v>
      </c>
      <c r="J92">
        <v>23.7</v>
      </c>
      <c r="K92">
        <v>35.299999999999997</v>
      </c>
      <c r="L92">
        <v>23.6</v>
      </c>
      <c r="M92">
        <v>91.6</v>
      </c>
      <c r="N92">
        <v>81.599999999999994</v>
      </c>
      <c r="O92">
        <v>59.6</v>
      </c>
      <c r="P92">
        <v>57.1</v>
      </c>
      <c r="Q92">
        <v>63</v>
      </c>
      <c r="R92" t="s">
        <v>464</v>
      </c>
      <c r="S92">
        <v>73.3</v>
      </c>
      <c r="T92">
        <v>630</v>
      </c>
      <c r="U92">
        <v>68.5</v>
      </c>
      <c r="V92">
        <v>46</v>
      </c>
      <c r="W92">
        <v>67.5</v>
      </c>
      <c r="X92">
        <v>59</v>
      </c>
      <c r="Y92">
        <v>85.5</v>
      </c>
      <c r="Z92">
        <v>200</v>
      </c>
      <c r="AA92">
        <v>79.8</v>
      </c>
      <c r="AB92">
        <v>267</v>
      </c>
      <c r="AC92">
        <v>62.8</v>
      </c>
      <c r="AD92">
        <v>526</v>
      </c>
      <c r="AE92" t="s">
        <v>208</v>
      </c>
      <c r="AF92">
        <v>0</v>
      </c>
      <c r="AG92" t="s">
        <v>465</v>
      </c>
      <c r="AH92">
        <v>491</v>
      </c>
      <c r="AI92" t="s">
        <v>46</v>
      </c>
      <c r="AJ92" s="1">
        <v>41209</v>
      </c>
      <c r="AK92">
        <v>9.9</v>
      </c>
      <c r="AL92" s="2">
        <v>0.13</v>
      </c>
      <c r="AN92" t="s">
        <v>464</v>
      </c>
      <c r="AO92" t="s">
        <v>466</v>
      </c>
      <c r="AP92" t="b">
        <v>0</v>
      </c>
      <c r="AQ92" t="b">
        <v>0</v>
      </c>
      <c r="AR92" t="b">
        <v>0</v>
      </c>
      <c r="AS92" t="s">
        <v>467</v>
      </c>
    </row>
    <row r="93" spans="1:45" x14ac:dyDescent="0.3">
      <c r="A93">
        <v>117</v>
      </c>
      <c r="B93">
        <v>115</v>
      </c>
      <c r="C93" t="s">
        <v>468</v>
      </c>
      <c r="D93" t="s">
        <v>452</v>
      </c>
      <c r="E93" t="s">
        <v>453</v>
      </c>
      <c r="F93" t="s">
        <v>56</v>
      </c>
      <c r="G93">
        <v>62.3</v>
      </c>
      <c r="H93">
        <v>29.1</v>
      </c>
      <c r="I93">
        <v>59.4</v>
      </c>
      <c r="J93">
        <v>49.6</v>
      </c>
      <c r="K93">
        <v>73.400000000000006</v>
      </c>
      <c r="L93">
        <v>5.7</v>
      </c>
      <c r="M93">
        <v>96.9</v>
      </c>
      <c r="N93">
        <v>90.5</v>
      </c>
      <c r="O93">
        <v>94.5</v>
      </c>
      <c r="P93">
        <v>56.8</v>
      </c>
      <c r="Q93">
        <v>121</v>
      </c>
      <c r="R93" t="s">
        <v>468</v>
      </c>
      <c r="S93">
        <v>65.099999999999994</v>
      </c>
      <c r="T93">
        <v>1210</v>
      </c>
      <c r="U93">
        <v>48.1</v>
      </c>
      <c r="V93">
        <v>158</v>
      </c>
      <c r="W93">
        <v>57.6</v>
      </c>
      <c r="X93">
        <v>97</v>
      </c>
      <c r="Y93">
        <v>90.6</v>
      </c>
      <c r="Z93">
        <v>114</v>
      </c>
      <c r="AA93">
        <v>69.2</v>
      </c>
      <c r="AB93">
        <v>451</v>
      </c>
      <c r="AC93">
        <v>56.7</v>
      </c>
      <c r="AD93">
        <v>647</v>
      </c>
      <c r="AE93" t="s">
        <v>57</v>
      </c>
      <c r="AF93">
        <v>0</v>
      </c>
      <c r="AG93" t="s">
        <v>469</v>
      </c>
      <c r="AH93">
        <v>555</v>
      </c>
      <c r="AI93" t="s">
        <v>453</v>
      </c>
      <c r="AJ93" s="1">
        <v>22887</v>
      </c>
      <c r="AK93">
        <v>15.9</v>
      </c>
      <c r="AL93" s="2">
        <v>0.05</v>
      </c>
      <c r="AM93" s="3">
        <v>2.8145833333333332</v>
      </c>
      <c r="AN93" t="s">
        <v>468</v>
      </c>
      <c r="AO93" t="s">
        <v>470</v>
      </c>
      <c r="AP93" t="b">
        <v>0</v>
      </c>
      <c r="AQ93" t="b">
        <v>0</v>
      </c>
      <c r="AR93" t="b">
        <v>0</v>
      </c>
    </row>
    <row r="94" spans="1:45" x14ac:dyDescent="0.3">
      <c r="A94">
        <v>119</v>
      </c>
      <c r="B94">
        <v>117</v>
      </c>
      <c r="C94" t="s">
        <v>471</v>
      </c>
      <c r="D94" t="s">
        <v>472</v>
      </c>
      <c r="E94" t="s">
        <v>473</v>
      </c>
      <c r="F94" t="s">
        <v>56</v>
      </c>
      <c r="G94">
        <v>55.6</v>
      </c>
      <c r="H94">
        <v>16</v>
      </c>
      <c r="I94">
        <v>73.8</v>
      </c>
      <c r="J94">
        <v>55.7</v>
      </c>
      <c r="K94">
        <v>91.6</v>
      </c>
      <c r="L94">
        <v>31.7</v>
      </c>
      <c r="M94">
        <v>97.3</v>
      </c>
      <c r="N94">
        <v>80.900000000000006</v>
      </c>
      <c r="O94">
        <v>72.099999999999994</v>
      </c>
      <c r="P94">
        <v>56.1</v>
      </c>
      <c r="Q94">
        <v>127</v>
      </c>
      <c r="R94" t="s">
        <v>471</v>
      </c>
      <c r="S94">
        <v>64.3</v>
      </c>
      <c r="T94">
        <v>1270</v>
      </c>
      <c r="U94">
        <v>45.6</v>
      </c>
      <c r="V94">
        <v>197</v>
      </c>
      <c r="W94">
        <v>50.6</v>
      </c>
      <c r="X94">
        <v>139</v>
      </c>
      <c r="Y94">
        <v>92.1</v>
      </c>
      <c r="Z94">
        <v>91</v>
      </c>
      <c r="AA94">
        <v>72.3</v>
      </c>
      <c r="AB94">
        <v>379</v>
      </c>
      <c r="AC94">
        <v>75.599999999999994</v>
      </c>
      <c r="AD94">
        <v>319</v>
      </c>
      <c r="AE94" t="s">
        <v>57</v>
      </c>
      <c r="AF94">
        <v>0</v>
      </c>
      <c r="AG94" t="s">
        <v>474</v>
      </c>
      <c r="AH94">
        <v>647</v>
      </c>
      <c r="AI94" t="s">
        <v>473</v>
      </c>
      <c r="AJ94" s="1">
        <v>20967</v>
      </c>
      <c r="AK94">
        <v>12.5</v>
      </c>
      <c r="AL94" s="2">
        <v>0.15</v>
      </c>
      <c r="AM94" s="3">
        <v>2.7736111111111112</v>
      </c>
      <c r="AN94" t="s">
        <v>471</v>
      </c>
      <c r="AO94" t="s">
        <v>475</v>
      </c>
      <c r="AP94" t="b">
        <v>0</v>
      </c>
      <c r="AQ94" t="b">
        <v>0</v>
      </c>
      <c r="AR94" t="b">
        <v>0</v>
      </c>
    </row>
    <row r="95" spans="1:45" x14ac:dyDescent="0.3">
      <c r="A95">
        <v>120</v>
      </c>
      <c r="B95">
        <v>145</v>
      </c>
      <c r="C95" t="s">
        <v>476</v>
      </c>
      <c r="D95" t="s">
        <v>54</v>
      </c>
      <c r="E95" t="s">
        <v>55</v>
      </c>
      <c r="F95" t="s">
        <v>56</v>
      </c>
      <c r="G95">
        <v>48.3</v>
      </c>
      <c r="H95">
        <v>36.9</v>
      </c>
      <c r="I95">
        <v>30.4</v>
      </c>
      <c r="J95">
        <v>62.8</v>
      </c>
      <c r="K95">
        <v>99.5</v>
      </c>
      <c r="L95">
        <v>99.2</v>
      </c>
      <c r="M95">
        <v>92.5</v>
      </c>
      <c r="N95">
        <v>21.4</v>
      </c>
      <c r="O95">
        <v>95.6</v>
      </c>
      <c r="P95">
        <v>55.8</v>
      </c>
      <c r="Q95">
        <v>135</v>
      </c>
      <c r="R95" t="s">
        <v>476</v>
      </c>
      <c r="S95">
        <v>63.1</v>
      </c>
      <c r="T95">
        <v>1350</v>
      </c>
      <c r="U95">
        <v>37.6</v>
      </c>
      <c r="V95">
        <v>376</v>
      </c>
      <c r="W95">
        <v>42.6</v>
      </c>
      <c r="X95">
        <v>216</v>
      </c>
      <c r="Y95">
        <v>97.9</v>
      </c>
      <c r="Z95">
        <v>14</v>
      </c>
      <c r="AA95">
        <v>73.900000000000006</v>
      </c>
      <c r="AB95">
        <v>350</v>
      </c>
      <c r="AC95">
        <v>98.1</v>
      </c>
      <c r="AD95">
        <v>7</v>
      </c>
      <c r="AE95" t="s">
        <v>57</v>
      </c>
      <c r="AF95">
        <v>0</v>
      </c>
      <c r="AG95" t="s">
        <v>477</v>
      </c>
      <c r="AH95">
        <v>131678</v>
      </c>
      <c r="AI95" t="s">
        <v>55</v>
      </c>
      <c r="AJ95" s="1">
        <v>22205</v>
      </c>
      <c r="AK95">
        <v>14.6</v>
      </c>
      <c r="AL95" s="2">
        <v>0.45</v>
      </c>
      <c r="AM95" s="3">
        <v>2.2819444444444446</v>
      </c>
      <c r="AN95" t="s">
        <v>476</v>
      </c>
      <c r="AO95" t="s">
        <v>478</v>
      </c>
      <c r="AP95" t="b">
        <v>0</v>
      </c>
      <c r="AQ95" t="b">
        <v>0</v>
      </c>
      <c r="AR95" t="b">
        <v>0</v>
      </c>
    </row>
    <row r="96" spans="1:45" x14ac:dyDescent="0.3">
      <c r="A96">
        <v>120</v>
      </c>
      <c r="B96">
        <v>114</v>
      </c>
      <c r="C96" t="s">
        <v>479</v>
      </c>
      <c r="D96" t="s">
        <v>139</v>
      </c>
      <c r="E96" t="s">
        <v>140</v>
      </c>
      <c r="F96" t="s">
        <v>77</v>
      </c>
      <c r="G96">
        <v>32.6</v>
      </c>
      <c r="H96">
        <v>38.9</v>
      </c>
      <c r="I96">
        <v>3.3</v>
      </c>
      <c r="J96">
        <v>93.4</v>
      </c>
      <c r="K96">
        <v>99.8</v>
      </c>
      <c r="L96">
        <v>49.5</v>
      </c>
      <c r="M96">
        <v>81.5</v>
      </c>
      <c r="N96">
        <v>96.7</v>
      </c>
      <c r="O96">
        <v>99.3</v>
      </c>
      <c r="P96">
        <v>55.8</v>
      </c>
      <c r="Q96" t="s">
        <v>292</v>
      </c>
      <c r="R96" t="s">
        <v>479</v>
      </c>
      <c r="S96" t="s">
        <v>293</v>
      </c>
      <c r="T96">
        <v>2490</v>
      </c>
      <c r="U96">
        <v>40.200000000000003</v>
      </c>
      <c r="V96">
        <v>306</v>
      </c>
      <c r="W96">
        <v>42.9</v>
      </c>
      <c r="X96">
        <v>212</v>
      </c>
      <c r="Y96">
        <v>75.2</v>
      </c>
      <c r="Z96">
        <v>436</v>
      </c>
      <c r="AA96">
        <v>99.6</v>
      </c>
      <c r="AB96">
        <v>57</v>
      </c>
      <c r="AC96">
        <v>87.5</v>
      </c>
      <c r="AD96">
        <v>158</v>
      </c>
      <c r="AE96" t="s">
        <v>57</v>
      </c>
      <c r="AF96">
        <v>6</v>
      </c>
      <c r="AG96" t="s">
        <v>480</v>
      </c>
      <c r="AH96">
        <v>690</v>
      </c>
      <c r="AI96" t="s">
        <v>140</v>
      </c>
      <c r="AJ96" s="1">
        <v>30176</v>
      </c>
      <c r="AK96">
        <v>33</v>
      </c>
      <c r="AL96" s="2">
        <v>0.24</v>
      </c>
      <c r="AM96" s="3">
        <v>2.3638888888888889</v>
      </c>
      <c r="AN96" t="s">
        <v>479</v>
      </c>
      <c r="AO96" t="s">
        <v>481</v>
      </c>
      <c r="AP96" t="b">
        <v>0</v>
      </c>
      <c r="AQ96" t="b">
        <v>0</v>
      </c>
      <c r="AR96" t="b">
        <v>0</v>
      </c>
      <c r="AS96" t="s">
        <v>482</v>
      </c>
    </row>
    <row r="97" spans="1:45" x14ac:dyDescent="0.3">
      <c r="A97">
        <v>122</v>
      </c>
      <c r="B97">
        <v>173</v>
      </c>
      <c r="C97" t="s">
        <v>483</v>
      </c>
      <c r="D97" t="s">
        <v>484</v>
      </c>
      <c r="E97" t="s">
        <v>485</v>
      </c>
      <c r="F97" t="s">
        <v>47</v>
      </c>
      <c r="G97">
        <v>29.8</v>
      </c>
      <c r="H97">
        <v>50.6</v>
      </c>
      <c r="I97">
        <v>68.099999999999994</v>
      </c>
      <c r="J97">
        <v>48.2</v>
      </c>
      <c r="K97">
        <v>100</v>
      </c>
      <c r="L97">
        <v>96.5</v>
      </c>
      <c r="M97">
        <v>89.4</v>
      </c>
      <c r="N97">
        <v>98.6</v>
      </c>
      <c r="O97">
        <v>74</v>
      </c>
      <c r="P97">
        <v>55.7</v>
      </c>
      <c r="Q97" t="s">
        <v>486</v>
      </c>
      <c r="R97" t="s">
        <v>483</v>
      </c>
      <c r="S97" t="s">
        <v>487</v>
      </c>
      <c r="T97">
        <v>2810</v>
      </c>
      <c r="U97">
        <v>31.3</v>
      </c>
      <c r="V97">
        <v>625</v>
      </c>
      <c r="W97">
        <v>35.6</v>
      </c>
      <c r="X97">
        <v>332</v>
      </c>
      <c r="Y97">
        <v>83.4</v>
      </c>
      <c r="Z97">
        <v>250</v>
      </c>
      <c r="AA97">
        <v>61.8</v>
      </c>
      <c r="AB97">
        <v>618</v>
      </c>
      <c r="AC97">
        <v>96</v>
      </c>
      <c r="AD97">
        <v>31</v>
      </c>
      <c r="AE97" t="s">
        <v>57</v>
      </c>
      <c r="AF97">
        <v>0</v>
      </c>
      <c r="AG97" t="s">
        <v>488</v>
      </c>
      <c r="AH97">
        <v>131534</v>
      </c>
      <c r="AI97" t="s">
        <v>485</v>
      </c>
      <c r="AJ97" s="1">
        <v>10081</v>
      </c>
      <c r="AK97">
        <v>8.4</v>
      </c>
      <c r="AL97" s="2">
        <v>0.36</v>
      </c>
      <c r="AM97" s="3">
        <v>3.2243055555555555</v>
      </c>
      <c r="AN97" t="s">
        <v>483</v>
      </c>
      <c r="AO97" t="s">
        <v>489</v>
      </c>
      <c r="AP97" t="b">
        <v>0</v>
      </c>
      <c r="AQ97" t="b">
        <v>0</v>
      </c>
      <c r="AR97" t="b">
        <v>0</v>
      </c>
    </row>
    <row r="98" spans="1:45" x14ac:dyDescent="0.3">
      <c r="A98">
        <v>123</v>
      </c>
      <c r="B98">
        <v>140</v>
      </c>
      <c r="C98" t="s">
        <v>490</v>
      </c>
      <c r="D98" t="s">
        <v>87</v>
      </c>
      <c r="E98" t="s">
        <v>88</v>
      </c>
      <c r="F98" t="s">
        <v>77</v>
      </c>
      <c r="G98">
        <v>40.4</v>
      </c>
      <c r="H98">
        <v>48</v>
      </c>
      <c r="I98">
        <v>5.2</v>
      </c>
      <c r="J98">
        <v>77.7</v>
      </c>
      <c r="K98">
        <v>100</v>
      </c>
      <c r="L98">
        <v>91.4</v>
      </c>
      <c r="M98">
        <v>83.2</v>
      </c>
      <c r="N98">
        <v>38.4</v>
      </c>
      <c r="O98">
        <v>93.9</v>
      </c>
      <c r="P98">
        <v>55.5</v>
      </c>
      <c r="Q98" t="s">
        <v>486</v>
      </c>
      <c r="R98" t="s">
        <v>490</v>
      </c>
      <c r="S98" t="s">
        <v>487</v>
      </c>
      <c r="T98">
        <v>2840</v>
      </c>
      <c r="U98">
        <v>35.5</v>
      </c>
      <c r="V98">
        <v>449</v>
      </c>
      <c r="W98">
        <v>36.200000000000003</v>
      </c>
      <c r="X98">
        <v>323</v>
      </c>
      <c r="Y98">
        <v>83.2</v>
      </c>
      <c r="Z98">
        <v>254</v>
      </c>
      <c r="AA98">
        <v>73.2</v>
      </c>
      <c r="AB98">
        <v>366</v>
      </c>
      <c r="AC98">
        <v>92.8</v>
      </c>
      <c r="AD98">
        <v>88</v>
      </c>
      <c r="AE98" t="s">
        <v>57</v>
      </c>
      <c r="AF98">
        <v>0</v>
      </c>
      <c r="AG98" t="s">
        <v>491</v>
      </c>
      <c r="AH98">
        <v>915</v>
      </c>
      <c r="AI98" t="s">
        <v>88</v>
      </c>
      <c r="AJ98" s="1">
        <v>32574</v>
      </c>
      <c r="AK98">
        <v>24</v>
      </c>
      <c r="AL98" s="2">
        <v>0.34</v>
      </c>
      <c r="AM98" s="3">
        <v>2.036111111111111</v>
      </c>
      <c r="AN98" t="s">
        <v>492</v>
      </c>
      <c r="AO98" t="s">
        <v>493</v>
      </c>
      <c r="AP98" t="b">
        <v>0</v>
      </c>
      <c r="AQ98" t="b">
        <v>0</v>
      </c>
      <c r="AR98" t="b">
        <v>0</v>
      </c>
      <c r="AS98" t="s">
        <v>494</v>
      </c>
    </row>
    <row r="99" spans="1:45" x14ac:dyDescent="0.3">
      <c r="A99">
        <v>123</v>
      </c>
      <c r="B99">
        <v>145</v>
      </c>
      <c r="C99" t="s">
        <v>495</v>
      </c>
      <c r="D99" t="s">
        <v>166</v>
      </c>
      <c r="E99" t="s">
        <v>167</v>
      </c>
      <c r="F99" t="s">
        <v>56</v>
      </c>
      <c r="G99">
        <v>57.9</v>
      </c>
      <c r="H99">
        <v>70.7</v>
      </c>
      <c r="I99">
        <v>80.5</v>
      </c>
      <c r="J99">
        <v>41.3</v>
      </c>
      <c r="K99">
        <v>17.5</v>
      </c>
      <c r="L99">
        <v>41.7</v>
      </c>
      <c r="M99">
        <v>54.2</v>
      </c>
      <c r="N99">
        <v>36.5</v>
      </c>
      <c r="O99">
        <v>79.099999999999994</v>
      </c>
      <c r="P99">
        <v>55.5</v>
      </c>
      <c r="Q99">
        <f>145</f>
        <v>145</v>
      </c>
      <c r="R99" t="s">
        <v>496</v>
      </c>
      <c r="S99">
        <v>62.5</v>
      </c>
      <c r="T99">
        <v>1460</v>
      </c>
      <c r="U99">
        <v>55.5</v>
      </c>
      <c r="V99">
        <v>94</v>
      </c>
      <c r="W99">
        <v>54.2</v>
      </c>
      <c r="X99">
        <v>114</v>
      </c>
      <c r="Y99">
        <v>72.900000000000006</v>
      </c>
      <c r="Z99">
        <v>485</v>
      </c>
      <c r="AA99">
        <v>98.8</v>
      </c>
      <c r="AB99">
        <v>73</v>
      </c>
      <c r="AC99">
        <v>61.3</v>
      </c>
      <c r="AD99">
        <v>554</v>
      </c>
      <c r="AE99" t="s">
        <v>57</v>
      </c>
      <c r="AF99">
        <v>0</v>
      </c>
      <c r="AG99" t="s">
        <v>497</v>
      </c>
      <c r="AH99">
        <v>805</v>
      </c>
      <c r="AI99" t="s">
        <v>167</v>
      </c>
      <c r="AJ99" s="1">
        <v>23402</v>
      </c>
      <c r="AK99">
        <v>19.399999999999999</v>
      </c>
      <c r="AL99" s="2">
        <v>0.19</v>
      </c>
      <c r="AN99" t="s">
        <v>496</v>
      </c>
      <c r="AO99" t="s">
        <v>498</v>
      </c>
      <c r="AP99" t="b">
        <v>0</v>
      </c>
      <c r="AQ99" t="b">
        <v>0</v>
      </c>
      <c r="AR99" t="b">
        <v>0</v>
      </c>
    </row>
    <row r="100" spans="1:45" x14ac:dyDescent="0.3">
      <c r="A100">
        <v>125</v>
      </c>
      <c r="B100">
        <v>116</v>
      </c>
      <c r="C100" t="s">
        <v>499</v>
      </c>
      <c r="D100" t="s">
        <v>45</v>
      </c>
      <c r="E100" t="s">
        <v>46</v>
      </c>
      <c r="F100" t="s">
        <v>77</v>
      </c>
      <c r="G100">
        <v>50.4</v>
      </c>
      <c r="H100">
        <v>54.5</v>
      </c>
      <c r="I100">
        <v>17.3</v>
      </c>
      <c r="J100">
        <v>58</v>
      </c>
      <c r="K100">
        <v>26</v>
      </c>
      <c r="L100">
        <v>74.099999999999994</v>
      </c>
      <c r="M100">
        <v>85.8</v>
      </c>
      <c r="N100">
        <v>92.6</v>
      </c>
      <c r="O100">
        <v>97.7</v>
      </c>
      <c r="P100">
        <v>55.2</v>
      </c>
      <c r="Q100">
        <v>74</v>
      </c>
      <c r="R100" t="s">
        <v>499</v>
      </c>
      <c r="S100">
        <v>70.8</v>
      </c>
      <c r="T100">
        <v>740</v>
      </c>
      <c r="U100">
        <v>59.2</v>
      </c>
      <c r="V100">
        <v>79</v>
      </c>
      <c r="W100">
        <v>58.8</v>
      </c>
      <c r="X100">
        <v>90</v>
      </c>
      <c r="Y100">
        <v>92.5</v>
      </c>
      <c r="Z100">
        <v>85</v>
      </c>
      <c r="AA100">
        <v>74.400000000000006</v>
      </c>
      <c r="AB100">
        <v>345</v>
      </c>
      <c r="AC100">
        <v>74.3</v>
      </c>
      <c r="AD100">
        <v>345</v>
      </c>
      <c r="AE100" t="s">
        <v>49</v>
      </c>
      <c r="AF100">
        <v>0</v>
      </c>
      <c r="AG100" t="s">
        <v>500</v>
      </c>
      <c r="AH100">
        <v>519</v>
      </c>
      <c r="AI100" t="s">
        <v>46</v>
      </c>
      <c r="AJ100" s="1">
        <v>44083</v>
      </c>
      <c r="AK100">
        <v>14.2</v>
      </c>
      <c r="AL100" s="2">
        <v>0.24</v>
      </c>
      <c r="AM100" s="3">
        <v>2.0770833333333334</v>
      </c>
      <c r="AN100" t="s">
        <v>499</v>
      </c>
      <c r="AO100" t="s">
        <v>501</v>
      </c>
      <c r="AP100" t="b">
        <v>0</v>
      </c>
      <c r="AQ100" t="b">
        <v>0</v>
      </c>
      <c r="AR100" t="b">
        <v>0</v>
      </c>
      <c r="AS100" t="s">
        <v>502</v>
      </c>
    </row>
    <row r="101" spans="1:45" x14ac:dyDescent="0.3">
      <c r="A101">
        <v>126</v>
      </c>
      <c r="B101">
        <v>171</v>
      </c>
      <c r="C101" t="s">
        <v>503</v>
      </c>
      <c r="D101" t="s">
        <v>504</v>
      </c>
      <c r="E101" t="s">
        <v>505</v>
      </c>
      <c r="F101" t="s">
        <v>56</v>
      </c>
      <c r="G101">
        <v>51.4</v>
      </c>
      <c r="H101">
        <v>43.5</v>
      </c>
      <c r="I101">
        <v>16.600000000000001</v>
      </c>
      <c r="J101">
        <v>46.4</v>
      </c>
      <c r="K101">
        <v>99.1</v>
      </c>
      <c r="L101">
        <v>74.8</v>
      </c>
      <c r="M101">
        <v>87.2</v>
      </c>
      <c r="N101">
        <v>89.8</v>
      </c>
      <c r="O101">
        <v>95.6</v>
      </c>
      <c r="P101">
        <v>55</v>
      </c>
      <c r="Q101" t="s">
        <v>292</v>
      </c>
      <c r="R101" t="s">
        <v>503</v>
      </c>
      <c r="S101" t="s">
        <v>293</v>
      </c>
      <c r="T101">
        <v>2460</v>
      </c>
      <c r="U101">
        <v>34.299999999999997</v>
      </c>
      <c r="V101">
        <v>484</v>
      </c>
      <c r="W101">
        <v>41.3</v>
      </c>
      <c r="X101">
        <v>232</v>
      </c>
      <c r="Y101">
        <v>84</v>
      </c>
      <c r="Z101">
        <v>238</v>
      </c>
      <c r="AA101">
        <v>75.099999999999994</v>
      </c>
      <c r="AB101">
        <v>337</v>
      </c>
      <c r="AC101">
        <v>88.1</v>
      </c>
      <c r="AD101">
        <v>150</v>
      </c>
      <c r="AE101" t="s">
        <v>57</v>
      </c>
      <c r="AF101">
        <v>0</v>
      </c>
      <c r="AG101" t="s">
        <v>506</v>
      </c>
      <c r="AH101">
        <v>623</v>
      </c>
      <c r="AI101" t="s">
        <v>505</v>
      </c>
      <c r="AJ101" s="1">
        <v>23405</v>
      </c>
      <c r="AK101">
        <v>20.7</v>
      </c>
      <c r="AL101" s="2">
        <v>0.25</v>
      </c>
      <c r="AN101" t="s">
        <v>503</v>
      </c>
      <c r="AO101" t="s">
        <v>507</v>
      </c>
      <c r="AP101" t="b">
        <v>0</v>
      </c>
      <c r="AQ101" t="b">
        <v>0</v>
      </c>
      <c r="AR101" t="b">
        <v>0</v>
      </c>
    </row>
    <row r="102" spans="1:45" x14ac:dyDescent="0.3">
      <c r="A102">
        <v>128</v>
      </c>
      <c r="B102">
        <v>118</v>
      </c>
      <c r="C102" t="s">
        <v>508</v>
      </c>
      <c r="D102" t="s">
        <v>314</v>
      </c>
      <c r="E102" t="s">
        <v>315</v>
      </c>
      <c r="F102" t="s">
        <v>56</v>
      </c>
      <c r="G102">
        <v>52.5</v>
      </c>
      <c r="H102">
        <v>21</v>
      </c>
      <c r="I102">
        <v>26.7</v>
      </c>
      <c r="J102">
        <v>64.5</v>
      </c>
      <c r="K102">
        <v>80.7</v>
      </c>
      <c r="L102">
        <v>89.8</v>
      </c>
      <c r="M102">
        <v>95.7</v>
      </c>
      <c r="N102">
        <v>86.6</v>
      </c>
      <c r="O102">
        <v>58.7</v>
      </c>
      <c r="P102">
        <v>54.8</v>
      </c>
      <c r="Q102">
        <f>185</f>
        <v>185</v>
      </c>
      <c r="R102" t="s">
        <v>508</v>
      </c>
      <c r="S102">
        <v>59.6</v>
      </c>
      <c r="T102">
        <v>1850</v>
      </c>
      <c r="U102">
        <v>32.1</v>
      </c>
      <c r="V102">
        <v>587</v>
      </c>
      <c r="W102">
        <v>49.6</v>
      </c>
      <c r="X102">
        <v>143</v>
      </c>
      <c r="Y102">
        <v>91</v>
      </c>
      <c r="Z102">
        <v>108</v>
      </c>
      <c r="AA102">
        <v>59.2</v>
      </c>
      <c r="AB102">
        <v>659</v>
      </c>
      <c r="AC102">
        <v>81.2</v>
      </c>
      <c r="AD102">
        <v>236</v>
      </c>
      <c r="AE102" t="s">
        <v>57</v>
      </c>
      <c r="AF102">
        <v>0</v>
      </c>
      <c r="AG102" t="s">
        <v>509</v>
      </c>
      <c r="AH102">
        <v>596</v>
      </c>
      <c r="AI102" t="s">
        <v>315</v>
      </c>
      <c r="AJ102" s="1">
        <v>29774</v>
      </c>
      <c r="AK102">
        <v>20.3</v>
      </c>
      <c r="AL102" s="2">
        <v>0.13</v>
      </c>
      <c r="AN102" t="s">
        <v>508</v>
      </c>
      <c r="AO102" t="s">
        <v>510</v>
      </c>
      <c r="AP102" t="b">
        <v>0</v>
      </c>
      <c r="AQ102" t="b">
        <v>0</v>
      </c>
      <c r="AR102" t="b">
        <v>0</v>
      </c>
    </row>
    <row r="103" spans="1:45" x14ac:dyDescent="0.3">
      <c r="A103">
        <v>129</v>
      </c>
      <c r="B103">
        <v>110</v>
      </c>
      <c r="C103" t="s">
        <v>511</v>
      </c>
      <c r="D103" t="s">
        <v>54</v>
      </c>
      <c r="E103" t="s">
        <v>55</v>
      </c>
      <c r="F103" t="s">
        <v>56</v>
      </c>
      <c r="G103">
        <v>50</v>
      </c>
      <c r="H103">
        <v>59.3</v>
      </c>
      <c r="I103">
        <v>39.200000000000003</v>
      </c>
      <c r="J103">
        <v>38.700000000000003</v>
      </c>
      <c r="K103">
        <v>89.5</v>
      </c>
      <c r="L103">
        <v>68.599999999999994</v>
      </c>
      <c r="M103">
        <v>97.1</v>
      </c>
      <c r="N103">
        <v>31.3</v>
      </c>
      <c r="O103">
        <v>97.1</v>
      </c>
      <c r="P103">
        <v>54.5</v>
      </c>
      <c r="Q103" t="s">
        <v>292</v>
      </c>
      <c r="R103" t="s">
        <v>512</v>
      </c>
      <c r="S103" t="s">
        <v>293</v>
      </c>
      <c r="T103">
        <v>2280</v>
      </c>
      <c r="U103">
        <v>33.799999999999997</v>
      </c>
      <c r="V103">
        <v>502</v>
      </c>
      <c r="W103">
        <v>38.799999999999997</v>
      </c>
      <c r="X103">
        <v>264</v>
      </c>
      <c r="Y103">
        <v>85.5</v>
      </c>
      <c r="Z103">
        <v>199</v>
      </c>
      <c r="AA103">
        <v>76.5</v>
      </c>
      <c r="AB103">
        <v>310</v>
      </c>
      <c r="AC103">
        <v>83.4</v>
      </c>
      <c r="AD103">
        <v>204</v>
      </c>
      <c r="AE103" t="s">
        <v>57</v>
      </c>
      <c r="AF103">
        <v>0</v>
      </c>
      <c r="AG103" t="s">
        <v>513</v>
      </c>
      <c r="AH103">
        <v>757</v>
      </c>
      <c r="AI103" t="s">
        <v>88</v>
      </c>
      <c r="AJ103" s="1">
        <v>24608</v>
      </c>
      <c r="AK103">
        <v>31.3</v>
      </c>
      <c r="AL103" s="2">
        <v>0.16</v>
      </c>
      <c r="AM103" s="3">
        <v>2.4048611111111109</v>
      </c>
      <c r="AN103" t="s">
        <v>512</v>
      </c>
      <c r="AO103" t="s">
        <v>514</v>
      </c>
      <c r="AP103" t="b">
        <v>0</v>
      </c>
      <c r="AQ103" t="b">
        <v>0</v>
      </c>
      <c r="AR103" t="b">
        <v>0</v>
      </c>
      <c r="AS103" t="s">
        <v>515</v>
      </c>
    </row>
    <row r="104" spans="1:45" x14ac:dyDescent="0.3">
      <c r="A104">
        <v>130</v>
      </c>
      <c r="B104">
        <v>118</v>
      </c>
      <c r="C104" t="s">
        <v>516</v>
      </c>
      <c r="D104" t="s">
        <v>45</v>
      </c>
      <c r="E104" t="s">
        <v>46</v>
      </c>
      <c r="F104" t="s">
        <v>77</v>
      </c>
      <c r="G104">
        <v>63</v>
      </c>
      <c r="H104">
        <v>48</v>
      </c>
      <c r="I104">
        <v>23.5</v>
      </c>
      <c r="J104">
        <v>52.5</v>
      </c>
      <c r="K104">
        <v>72.7</v>
      </c>
      <c r="L104">
        <v>51.3</v>
      </c>
      <c r="M104">
        <v>90.6</v>
      </c>
      <c r="N104">
        <v>22.8</v>
      </c>
      <c r="O104">
        <v>76.099999999999994</v>
      </c>
      <c r="P104">
        <v>54.4</v>
      </c>
      <c r="Q104">
        <v>59</v>
      </c>
      <c r="R104" t="s">
        <v>516</v>
      </c>
      <c r="S104">
        <v>74.099999999999994</v>
      </c>
      <c r="T104">
        <v>590</v>
      </c>
      <c r="U104">
        <v>63.7</v>
      </c>
      <c r="V104">
        <v>61</v>
      </c>
      <c r="W104">
        <v>67.8</v>
      </c>
      <c r="X104">
        <v>57</v>
      </c>
      <c r="Y104">
        <v>87.2</v>
      </c>
      <c r="Z104">
        <v>170</v>
      </c>
      <c r="AA104">
        <v>91.5</v>
      </c>
      <c r="AB104">
        <v>147</v>
      </c>
      <c r="AC104">
        <v>78.7</v>
      </c>
      <c r="AD104">
        <v>271</v>
      </c>
      <c r="AE104" t="s">
        <v>208</v>
      </c>
      <c r="AF104">
        <v>0</v>
      </c>
      <c r="AG104" t="s">
        <v>517</v>
      </c>
      <c r="AH104">
        <v>503</v>
      </c>
      <c r="AI104" t="s">
        <v>46</v>
      </c>
      <c r="AJ104" s="1">
        <v>37926</v>
      </c>
      <c r="AK104">
        <v>13.3</v>
      </c>
      <c r="AL104" s="2">
        <v>0.18</v>
      </c>
      <c r="AM104" s="3">
        <v>2.5277777777777777</v>
      </c>
      <c r="AN104" t="s">
        <v>516</v>
      </c>
      <c r="AO104" t="s">
        <v>518</v>
      </c>
      <c r="AP104" t="b">
        <v>0</v>
      </c>
      <c r="AQ104" t="b">
        <v>0</v>
      </c>
      <c r="AR104" t="b">
        <v>0</v>
      </c>
      <c r="AS104" t="s">
        <v>519</v>
      </c>
    </row>
    <row r="105" spans="1:45" x14ac:dyDescent="0.3">
      <c r="A105">
        <v>131</v>
      </c>
      <c r="B105">
        <v>124</v>
      </c>
      <c r="C105" t="s">
        <v>520</v>
      </c>
      <c r="D105" t="s">
        <v>437</v>
      </c>
      <c r="E105" t="s">
        <v>438</v>
      </c>
      <c r="F105" t="s">
        <v>47</v>
      </c>
      <c r="G105">
        <v>26.6</v>
      </c>
      <c r="H105">
        <v>13.5</v>
      </c>
      <c r="I105">
        <v>61.4</v>
      </c>
      <c r="J105">
        <v>94.5</v>
      </c>
      <c r="K105">
        <v>100</v>
      </c>
      <c r="L105">
        <v>85.8</v>
      </c>
      <c r="M105">
        <v>89.4</v>
      </c>
      <c r="N105">
        <v>69.900000000000006</v>
      </c>
      <c r="O105">
        <v>44.6</v>
      </c>
      <c r="P105">
        <v>54.3</v>
      </c>
      <c r="Q105">
        <f>123</f>
        <v>123</v>
      </c>
      <c r="R105" t="s">
        <v>520</v>
      </c>
      <c r="S105">
        <v>64.900000000000006</v>
      </c>
      <c r="T105">
        <v>1230</v>
      </c>
      <c r="U105">
        <v>50.8</v>
      </c>
      <c r="V105">
        <v>127</v>
      </c>
      <c r="W105">
        <v>42.9</v>
      </c>
      <c r="X105">
        <v>210</v>
      </c>
      <c r="Y105">
        <v>87.7</v>
      </c>
      <c r="Z105">
        <v>157</v>
      </c>
      <c r="AA105">
        <v>99.4</v>
      </c>
      <c r="AB105">
        <v>62</v>
      </c>
      <c r="AC105">
        <v>95.4</v>
      </c>
      <c r="AD105">
        <v>42</v>
      </c>
      <c r="AE105" t="s">
        <v>57</v>
      </c>
      <c r="AF105">
        <v>0</v>
      </c>
      <c r="AG105" t="s">
        <v>521</v>
      </c>
      <c r="AH105">
        <v>575</v>
      </c>
      <c r="AI105" t="s">
        <v>438</v>
      </c>
      <c r="AJ105" s="1">
        <v>8536</v>
      </c>
      <c r="AK105">
        <v>10.4</v>
      </c>
      <c r="AL105" s="2">
        <v>0.31</v>
      </c>
      <c r="AM105" s="3">
        <v>2.3638888888888889</v>
      </c>
      <c r="AN105" t="s">
        <v>520</v>
      </c>
      <c r="AO105" t="s">
        <v>522</v>
      </c>
      <c r="AP105" t="b">
        <v>0</v>
      </c>
      <c r="AQ105" t="b">
        <v>0</v>
      </c>
      <c r="AR105" t="b">
        <v>0</v>
      </c>
    </row>
    <row r="106" spans="1:45" x14ac:dyDescent="0.3">
      <c r="A106">
        <v>132</v>
      </c>
      <c r="B106">
        <v>134</v>
      </c>
      <c r="C106" t="s">
        <v>523</v>
      </c>
      <c r="D106" t="s">
        <v>442</v>
      </c>
      <c r="E106" t="s">
        <v>443</v>
      </c>
      <c r="F106" t="s">
        <v>77</v>
      </c>
      <c r="G106">
        <v>80.7</v>
      </c>
      <c r="H106">
        <v>48.5</v>
      </c>
      <c r="I106">
        <v>5</v>
      </c>
      <c r="J106">
        <v>45.3</v>
      </c>
      <c r="K106">
        <v>3.1</v>
      </c>
      <c r="L106">
        <v>8</v>
      </c>
      <c r="M106">
        <v>97.1</v>
      </c>
      <c r="N106">
        <v>88</v>
      </c>
      <c r="O106">
        <v>72.3</v>
      </c>
      <c r="P106">
        <v>54.2</v>
      </c>
      <c r="Q106">
        <v>181</v>
      </c>
      <c r="R106" t="s">
        <v>523</v>
      </c>
      <c r="S106">
        <v>60</v>
      </c>
      <c r="T106">
        <v>1810</v>
      </c>
      <c r="U106">
        <v>53.5</v>
      </c>
      <c r="V106">
        <v>108</v>
      </c>
      <c r="W106">
        <v>48.1</v>
      </c>
      <c r="X106">
        <v>157</v>
      </c>
      <c r="Y106">
        <v>77.900000000000006</v>
      </c>
      <c r="Z106">
        <v>371</v>
      </c>
      <c r="AA106">
        <v>85.4</v>
      </c>
      <c r="AB106">
        <v>202</v>
      </c>
      <c r="AC106">
        <v>46.5</v>
      </c>
      <c r="AD106">
        <v>917</v>
      </c>
      <c r="AE106" t="s">
        <v>57</v>
      </c>
      <c r="AF106">
        <v>0</v>
      </c>
      <c r="AG106" t="s">
        <v>524</v>
      </c>
      <c r="AH106">
        <v>800</v>
      </c>
      <c r="AI106" t="s">
        <v>443</v>
      </c>
      <c r="AJ106" s="1">
        <v>60522</v>
      </c>
      <c r="AK106">
        <v>22.2</v>
      </c>
      <c r="AL106" s="2">
        <v>0.09</v>
      </c>
      <c r="AM106" s="3">
        <v>2.5687500000000001</v>
      </c>
      <c r="AN106" t="s">
        <v>523</v>
      </c>
      <c r="AO106" t="s">
        <v>525</v>
      </c>
      <c r="AP106" t="b">
        <v>0</v>
      </c>
      <c r="AQ106" t="b">
        <v>0</v>
      </c>
      <c r="AR106" t="b">
        <v>0</v>
      </c>
    </row>
    <row r="107" spans="1:45" x14ac:dyDescent="0.3">
      <c r="A107">
        <v>133</v>
      </c>
      <c r="B107">
        <v>130</v>
      </c>
      <c r="C107" t="s">
        <v>526</v>
      </c>
      <c r="D107" t="s">
        <v>87</v>
      </c>
      <c r="E107" t="s">
        <v>88</v>
      </c>
      <c r="F107" t="s">
        <v>56</v>
      </c>
      <c r="G107">
        <v>33.4</v>
      </c>
      <c r="H107">
        <v>39.200000000000003</v>
      </c>
      <c r="I107">
        <v>9.1</v>
      </c>
      <c r="J107">
        <v>79.599999999999994</v>
      </c>
      <c r="K107">
        <v>99.9</v>
      </c>
      <c r="L107">
        <v>91.6</v>
      </c>
      <c r="M107">
        <v>90.9</v>
      </c>
      <c r="N107">
        <v>54.1</v>
      </c>
      <c r="O107">
        <v>95</v>
      </c>
      <c r="P107">
        <v>54.1</v>
      </c>
      <c r="Q107">
        <v>180</v>
      </c>
      <c r="R107" t="s">
        <v>526</v>
      </c>
      <c r="S107">
        <v>60.1</v>
      </c>
      <c r="T107">
        <v>1800</v>
      </c>
      <c r="U107">
        <v>36.700000000000003</v>
      </c>
      <c r="V107">
        <v>405</v>
      </c>
      <c r="W107">
        <v>44.2</v>
      </c>
      <c r="X107">
        <v>198</v>
      </c>
      <c r="Y107">
        <v>87.4</v>
      </c>
      <c r="Z107">
        <v>165</v>
      </c>
      <c r="AA107">
        <v>90.9</v>
      </c>
      <c r="AB107">
        <v>159</v>
      </c>
      <c r="AC107">
        <v>88.6</v>
      </c>
      <c r="AD107">
        <v>142</v>
      </c>
      <c r="AE107" t="s">
        <v>57</v>
      </c>
      <c r="AF107">
        <v>0</v>
      </c>
      <c r="AG107" t="s">
        <v>527</v>
      </c>
      <c r="AH107">
        <v>703</v>
      </c>
      <c r="AI107" t="s">
        <v>88</v>
      </c>
      <c r="AJ107" s="1">
        <v>30371</v>
      </c>
      <c r="AK107">
        <v>51.7</v>
      </c>
      <c r="AL107" s="2">
        <v>0.22</v>
      </c>
      <c r="AN107" t="s">
        <v>526</v>
      </c>
      <c r="AO107" t="s">
        <v>528</v>
      </c>
      <c r="AP107" t="b">
        <v>0</v>
      </c>
      <c r="AQ107" t="b">
        <v>0</v>
      </c>
      <c r="AR107" t="b">
        <v>0</v>
      </c>
    </row>
    <row r="108" spans="1:45" x14ac:dyDescent="0.3">
      <c r="A108">
        <v>145</v>
      </c>
      <c r="B108">
        <v>141</v>
      </c>
      <c r="C108" t="s">
        <v>529</v>
      </c>
      <c r="D108" t="s">
        <v>95</v>
      </c>
      <c r="E108" t="s">
        <v>96</v>
      </c>
      <c r="F108" t="s">
        <v>77</v>
      </c>
      <c r="G108">
        <v>57.1</v>
      </c>
      <c r="H108">
        <v>32.5</v>
      </c>
      <c r="I108">
        <v>35.6</v>
      </c>
      <c r="J108">
        <v>93</v>
      </c>
      <c r="K108">
        <v>61.9</v>
      </c>
      <c r="L108">
        <v>7.6</v>
      </c>
      <c r="M108">
        <v>67.099999999999994</v>
      </c>
      <c r="N108">
        <v>29</v>
      </c>
      <c r="O108">
        <v>16.5</v>
      </c>
      <c r="P108">
        <v>53</v>
      </c>
      <c r="Q108">
        <v>73</v>
      </c>
      <c r="R108" t="s">
        <v>529</v>
      </c>
      <c r="S108">
        <v>70.900000000000006</v>
      </c>
      <c r="T108">
        <v>730</v>
      </c>
      <c r="U108">
        <v>64</v>
      </c>
      <c r="V108">
        <v>59</v>
      </c>
      <c r="W108">
        <v>61.7</v>
      </c>
      <c r="X108">
        <v>78</v>
      </c>
      <c r="Y108">
        <v>85.3</v>
      </c>
      <c r="Z108">
        <v>203</v>
      </c>
      <c r="AA108">
        <v>96.8</v>
      </c>
      <c r="AB108">
        <v>97</v>
      </c>
      <c r="AC108">
        <v>61.8</v>
      </c>
      <c r="AD108">
        <v>544</v>
      </c>
      <c r="AE108" t="s">
        <v>57</v>
      </c>
      <c r="AF108">
        <v>0</v>
      </c>
      <c r="AG108" t="s">
        <v>530</v>
      </c>
      <c r="AH108">
        <v>727</v>
      </c>
      <c r="AI108" t="s">
        <v>98</v>
      </c>
      <c r="AJ108" s="1">
        <v>36711</v>
      </c>
      <c r="AK108">
        <v>16.7</v>
      </c>
      <c r="AL108" s="2">
        <v>0.08</v>
      </c>
      <c r="AM108" s="3">
        <v>2.2819444444444446</v>
      </c>
      <c r="AN108" t="s">
        <v>529</v>
      </c>
      <c r="AO108" t="s">
        <v>531</v>
      </c>
      <c r="AP108" t="b">
        <v>0</v>
      </c>
      <c r="AQ108" t="b">
        <v>0</v>
      </c>
      <c r="AR108" t="b">
        <v>0</v>
      </c>
    </row>
    <row r="109" spans="1:45" x14ac:dyDescent="0.3">
      <c r="A109">
        <v>136</v>
      </c>
      <c r="B109">
        <v>124</v>
      </c>
      <c r="C109" t="s">
        <v>532</v>
      </c>
      <c r="D109" t="s">
        <v>231</v>
      </c>
      <c r="E109" t="s">
        <v>232</v>
      </c>
      <c r="F109" t="s">
        <v>47</v>
      </c>
      <c r="G109">
        <v>28.7</v>
      </c>
      <c r="H109">
        <v>72.099999999999994</v>
      </c>
      <c r="I109">
        <v>35.700000000000003</v>
      </c>
      <c r="J109">
        <v>79.3</v>
      </c>
      <c r="K109">
        <v>100</v>
      </c>
      <c r="L109">
        <v>82.7</v>
      </c>
      <c r="M109">
        <v>70.8</v>
      </c>
      <c r="N109">
        <v>24.2</v>
      </c>
      <c r="O109">
        <v>29.8</v>
      </c>
      <c r="P109">
        <v>54</v>
      </c>
      <c r="Q109">
        <f>168</f>
        <v>168</v>
      </c>
      <c r="R109" t="s">
        <v>532</v>
      </c>
      <c r="S109">
        <v>60.8</v>
      </c>
      <c r="T109">
        <v>1690</v>
      </c>
      <c r="U109">
        <v>47.4</v>
      </c>
      <c r="V109">
        <v>169</v>
      </c>
      <c r="W109">
        <v>51.5</v>
      </c>
      <c r="X109">
        <v>129</v>
      </c>
      <c r="Y109">
        <v>71.3</v>
      </c>
      <c r="Z109">
        <v>528</v>
      </c>
      <c r="AA109">
        <v>100</v>
      </c>
      <c r="AB109">
        <v>7</v>
      </c>
      <c r="AC109">
        <v>87.3</v>
      </c>
      <c r="AD109">
        <v>161</v>
      </c>
      <c r="AE109" t="s">
        <v>57</v>
      </c>
      <c r="AF109">
        <v>0</v>
      </c>
      <c r="AG109" t="s">
        <v>533</v>
      </c>
      <c r="AH109">
        <v>579</v>
      </c>
      <c r="AI109" t="s">
        <v>232</v>
      </c>
      <c r="AJ109" s="1">
        <v>10611</v>
      </c>
      <c r="AK109">
        <v>21.4</v>
      </c>
      <c r="AL109" s="2">
        <v>0.27</v>
      </c>
      <c r="AN109" t="s">
        <v>532</v>
      </c>
      <c r="AO109" t="s">
        <v>534</v>
      </c>
      <c r="AP109" t="b">
        <v>0</v>
      </c>
      <c r="AQ109" t="b">
        <v>0</v>
      </c>
      <c r="AR109" t="b">
        <v>0</v>
      </c>
    </row>
    <row r="110" spans="1:45" x14ac:dyDescent="0.3">
      <c r="A110">
        <v>137</v>
      </c>
      <c r="B110">
        <v>130</v>
      </c>
      <c r="C110" t="s">
        <v>535</v>
      </c>
      <c r="D110" t="s">
        <v>536</v>
      </c>
      <c r="E110" t="s">
        <v>537</v>
      </c>
      <c r="F110" t="s">
        <v>77</v>
      </c>
      <c r="G110">
        <v>70.900000000000006</v>
      </c>
      <c r="H110">
        <v>40.4</v>
      </c>
      <c r="I110">
        <v>23.2</v>
      </c>
      <c r="J110">
        <v>13</v>
      </c>
      <c r="K110">
        <v>100</v>
      </c>
      <c r="L110">
        <v>92</v>
      </c>
      <c r="M110">
        <v>96</v>
      </c>
      <c r="N110">
        <v>89.7</v>
      </c>
      <c r="O110">
        <v>60.9</v>
      </c>
      <c r="P110">
        <v>53.9</v>
      </c>
      <c r="Q110">
        <f>119</f>
        <v>119</v>
      </c>
      <c r="R110" t="s">
        <v>535</v>
      </c>
      <c r="S110">
        <v>65.2</v>
      </c>
      <c r="T110">
        <v>1200</v>
      </c>
      <c r="U110">
        <v>48.7</v>
      </c>
      <c r="V110">
        <v>149</v>
      </c>
      <c r="W110">
        <v>60.3</v>
      </c>
      <c r="X110">
        <v>84</v>
      </c>
      <c r="Y110">
        <v>77.400000000000006</v>
      </c>
      <c r="Z110">
        <v>385</v>
      </c>
      <c r="AA110">
        <v>75.900000000000006</v>
      </c>
      <c r="AB110">
        <v>320</v>
      </c>
      <c r="AC110">
        <v>94.9</v>
      </c>
      <c r="AD110">
        <v>50</v>
      </c>
      <c r="AE110" t="s">
        <v>57</v>
      </c>
      <c r="AF110">
        <v>0</v>
      </c>
      <c r="AG110" t="s">
        <v>538</v>
      </c>
      <c r="AH110">
        <v>603</v>
      </c>
      <c r="AI110" t="s">
        <v>537</v>
      </c>
      <c r="AJ110" s="1">
        <v>31318</v>
      </c>
      <c r="AK110">
        <v>37.4</v>
      </c>
      <c r="AL110" s="2">
        <v>0.31</v>
      </c>
      <c r="AM110" s="3">
        <v>2.7736111111111112</v>
      </c>
      <c r="AN110" t="s">
        <v>535</v>
      </c>
      <c r="AO110" t="s">
        <v>539</v>
      </c>
      <c r="AP110" t="b">
        <v>0</v>
      </c>
      <c r="AQ110" t="b">
        <v>0</v>
      </c>
      <c r="AR110" t="b">
        <v>0</v>
      </c>
    </row>
    <row r="111" spans="1:45" x14ac:dyDescent="0.3">
      <c r="A111">
        <v>138</v>
      </c>
      <c r="B111">
        <v>159</v>
      </c>
      <c r="C111" t="s">
        <v>540</v>
      </c>
      <c r="D111" t="s">
        <v>541</v>
      </c>
      <c r="E111" t="s">
        <v>542</v>
      </c>
      <c r="F111" t="s">
        <v>56</v>
      </c>
      <c r="G111">
        <v>61.7</v>
      </c>
      <c r="H111">
        <v>66.400000000000006</v>
      </c>
      <c r="I111">
        <v>80.400000000000006</v>
      </c>
      <c r="J111">
        <v>14.1</v>
      </c>
      <c r="K111">
        <v>45.7</v>
      </c>
      <c r="L111">
        <v>78.8</v>
      </c>
      <c r="M111">
        <v>83.7</v>
      </c>
      <c r="N111">
        <v>22.5</v>
      </c>
      <c r="O111">
        <v>64.400000000000006</v>
      </c>
      <c r="P111">
        <v>53.8</v>
      </c>
      <c r="Q111" t="s">
        <v>372</v>
      </c>
      <c r="R111" t="s">
        <v>543</v>
      </c>
      <c r="S111" t="s">
        <v>374</v>
      </c>
      <c r="T111">
        <v>4460</v>
      </c>
      <c r="U111">
        <v>45.7</v>
      </c>
      <c r="V111">
        <v>194</v>
      </c>
      <c r="W111">
        <v>27.8</v>
      </c>
      <c r="X111">
        <v>517</v>
      </c>
      <c r="Y111">
        <v>58.7</v>
      </c>
      <c r="Z111">
        <v>805</v>
      </c>
      <c r="AA111">
        <v>47.4</v>
      </c>
      <c r="AB111">
        <v>856</v>
      </c>
      <c r="AC111">
        <v>74.900000000000006</v>
      </c>
      <c r="AD111">
        <v>330</v>
      </c>
      <c r="AE111" t="s">
        <v>57</v>
      </c>
      <c r="AF111">
        <v>0</v>
      </c>
      <c r="AG111" t="s">
        <v>544</v>
      </c>
      <c r="AH111">
        <v>920</v>
      </c>
      <c r="AI111" t="s">
        <v>542</v>
      </c>
      <c r="AJ111" s="1">
        <v>16764</v>
      </c>
      <c r="AK111">
        <v>10.1</v>
      </c>
      <c r="AL111" s="2">
        <v>0.18</v>
      </c>
      <c r="AM111" s="3">
        <v>2.4048611111111109</v>
      </c>
      <c r="AN111" t="s">
        <v>543</v>
      </c>
      <c r="AO111" t="s">
        <v>545</v>
      </c>
      <c r="AP111" t="b">
        <v>0</v>
      </c>
      <c r="AQ111" t="b">
        <v>0</v>
      </c>
      <c r="AR111" t="b">
        <v>0</v>
      </c>
    </row>
    <row r="112" spans="1:45" x14ac:dyDescent="0.3">
      <c r="A112">
        <v>139</v>
      </c>
      <c r="B112">
        <v>129</v>
      </c>
      <c r="C112" t="s">
        <v>546</v>
      </c>
      <c r="D112" t="s">
        <v>314</v>
      </c>
      <c r="E112" t="s">
        <v>315</v>
      </c>
      <c r="F112" t="s">
        <v>47</v>
      </c>
      <c r="G112">
        <v>26.3</v>
      </c>
      <c r="H112">
        <v>50.4</v>
      </c>
      <c r="I112">
        <v>50.5</v>
      </c>
      <c r="J112">
        <v>77.400000000000006</v>
      </c>
      <c r="K112">
        <v>100</v>
      </c>
      <c r="L112">
        <v>63.1</v>
      </c>
      <c r="M112">
        <v>77</v>
      </c>
      <c r="N112">
        <v>31.7</v>
      </c>
      <c r="O112">
        <v>87</v>
      </c>
      <c r="P112">
        <v>53.7</v>
      </c>
      <c r="Q112">
        <v>189</v>
      </c>
      <c r="R112" t="s">
        <v>546</v>
      </c>
      <c r="S112">
        <v>59.4</v>
      </c>
      <c r="T112">
        <v>1890</v>
      </c>
      <c r="U112">
        <v>42.7</v>
      </c>
      <c r="V112">
        <v>247</v>
      </c>
      <c r="W112">
        <v>46.6</v>
      </c>
      <c r="X112">
        <v>172</v>
      </c>
      <c r="Y112">
        <v>79.400000000000006</v>
      </c>
      <c r="Z112">
        <v>333</v>
      </c>
      <c r="AA112">
        <v>97.1</v>
      </c>
      <c r="AB112">
        <v>95</v>
      </c>
      <c r="AC112">
        <v>74.099999999999994</v>
      </c>
      <c r="AD112">
        <v>348</v>
      </c>
      <c r="AE112" t="s">
        <v>57</v>
      </c>
      <c r="AF112">
        <v>0</v>
      </c>
      <c r="AG112" t="s">
        <v>547</v>
      </c>
      <c r="AH112">
        <v>695</v>
      </c>
      <c r="AI112" t="s">
        <v>315</v>
      </c>
      <c r="AJ112" s="1">
        <v>10103</v>
      </c>
      <c r="AK112">
        <v>15.4</v>
      </c>
      <c r="AL112" s="2">
        <v>0.17</v>
      </c>
      <c r="AM112" t="s">
        <v>357</v>
      </c>
      <c r="AN112" t="s">
        <v>546</v>
      </c>
      <c r="AO112" t="s">
        <v>548</v>
      </c>
      <c r="AP112" t="b">
        <v>0</v>
      </c>
      <c r="AQ112" t="b">
        <v>0</v>
      </c>
      <c r="AR112" t="b">
        <v>0</v>
      </c>
    </row>
    <row r="113" spans="1:45" x14ac:dyDescent="0.3">
      <c r="A113">
        <v>141</v>
      </c>
      <c r="B113">
        <v>122</v>
      </c>
      <c r="C113" t="s">
        <v>549</v>
      </c>
      <c r="D113" t="s">
        <v>54</v>
      </c>
      <c r="E113" t="s">
        <v>55</v>
      </c>
      <c r="F113" t="s">
        <v>56</v>
      </c>
      <c r="G113">
        <v>38.9</v>
      </c>
      <c r="H113">
        <v>36.700000000000003</v>
      </c>
      <c r="I113">
        <v>27.7</v>
      </c>
      <c r="J113">
        <v>69.599999999999994</v>
      </c>
      <c r="K113">
        <v>93.3</v>
      </c>
      <c r="L113">
        <v>92.3</v>
      </c>
      <c r="M113">
        <v>89.7</v>
      </c>
      <c r="N113">
        <v>28.8</v>
      </c>
      <c r="O113">
        <v>96.2</v>
      </c>
      <c r="P113">
        <v>53.6</v>
      </c>
      <c r="Q113">
        <f>155</f>
        <v>155</v>
      </c>
      <c r="R113" t="s">
        <v>549</v>
      </c>
      <c r="S113">
        <v>61.8</v>
      </c>
      <c r="T113">
        <v>1570</v>
      </c>
      <c r="U113">
        <v>40.200000000000003</v>
      </c>
      <c r="V113">
        <v>304</v>
      </c>
      <c r="W113">
        <v>40.700000000000003</v>
      </c>
      <c r="X113">
        <v>240</v>
      </c>
      <c r="Y113">
        <v>93.9</v>
      </c>
      <c r="Z113">
        <v>59</v>
      </c>
      <c r="AA113">
        <v>66.599999999999994</v>
      </c>
      <c r="AB113">
        <v>514</v>
      </c>
      <c r="AC113">
        <v>96.8</v>
      </c>
      <c r="AD113">
        <v>24</v>
      </c>
      <c r="AE113" t="s">
        <v>57</v>
      </c>
      <c r="AF113">
        <v>0</v>
      </c>
      <c r="AG113" t="s">
        <v>550</v>
      </c>
      <c r="AH113">
        <v>595</v>
      </c>
      <c r="AI113" t="s">
        <v>55</v>
      </c>
      <c r="AJ113" s="1">
        <v>15385</v>
      </c>
      <c r="AK113">
        <v>13.9</v>
      </c>
      <c r="AL113" s="2">
        <v>0.38</v>
      </c>
      <c r="AM113" s="3">
        <v>2.1590277777777778</v>
      </c>
      <c r="AN113" t="s">
        <v>549</v>
      </c>
      <c r="AO113" t="s">
        <v>551</v>
      </c>
      <c r="AP113" t="b">
        <v>0</v>
      </c>
      <c r="AQ113" t="b">
        <v>0</v>
      </c>
      <c r="AR113" t="b">
        <v>0</v>
      </c>
      <c r="AS113" t="s">
        <v>552</v>
      </c>
    </row>
    <row r="114" spans="1:45" x14ac:dyDescent="0.3">
      <c r="A114">
        <v>141</v>
      </c>
      <c r="B114">
        <v>126</v>
      </c>
      <c r="C114" t="s">
        <v>553</v>
      </c>
      <c r="D114" t="s">
        <v>231</v>
      </c>
      <c r="E114" t="s">
        <v>232</v>
      </c>
      <c r="F114" t="s">
        <v>77</v>
      </c>
      <c r="G114">
        <v>68.400000000000006</v>
      </c>
      <c r="H114">
        <v>32.9</v>
      </c>
      <c r="I114">
        <v>21.3</v>
      </c>
      <c r="J114">
        <v>54.5</v>
      </c>
      <c r="K114">
        <v>85</v>
      </c>
      <c r="L114">
        <v>51.7</v>
      </c>
      <c r="M114">
        <v>95.2</v>
      </c>
      <c r="N114">
        <v>48.8</v>
      </c>
      <c r="O114">
        <v>25.5</v>
      </c>
      <c r="P114">
        <v>53.6</v>
      </c>
      <c r="Q114">
        <v>77</v>
      </c>
      <c r="R114" t="s">
        <v>553</v>
      </c>
      <c r="S114">
        <v>70.2</v>
      </c>
      <c r="T114">
        <v>770</v>
      </c>
      <c r="U114">
        <v>46</v>
      </c>
      <c r="V114">
        <v>190</v>
      </c>
      <c r="W114">
        <v>62.7</v>
      </c>
      <c r="X114">
        <v>75</v>
      </c>
      <c r="Y114">
        <v>93</v>
      </c>
      <c r="Z114">
        <v>75</v>
      </c>
      <c r="AA114">
        <v>98.1</v>
      </c>
      <c r="AB114">
        <v>87</v>
      </c>
      <c r="AC114">
        <v>87.8</v>
      </c>
      <c r="AD114">
        <v>153</v>
      </c>
      <c r="AE114" t="s">
        <v>57</v>
      </c>
      <c r="AF114">
        <v>6</v>
      </c>
      <c r="AG114" t="s">
        <v>554</v>
      </c>
      <c r="AH114">
        <v>543</v>
      </c>
      <c r="AI114" t="s">
        <v>232</v>
      </c>
      <c r="AJ114" s="1">
        <v>35072</v>
      </c>
      <c r="AK114">
        <v>19.3</v>
      </c>
      <c r="AL114" s="2">
        <v>0.21</v>
      </c>
      <c r="AM114" s="3">
        <v>2.5277777777777777</v>
      </c>
      <c r="AN114" t="s">
        <v>553</v>
      </c>
      <c r="AO114" t="s">
        <v>555</v>
      </c>
      <c r="AP114" t="b">
        <v>0</v>
      </c>
      <c r="AQ114" t="b">
        <v>0</v>
      </c>
      <c r="AR114" t="b">
        <v>0</v>
      </c>
    </row>
    <row r="115" spans="1:45" x14ac:dyDescent="0.3">
      <c r="A115">
        <v>141</v>
      </c>
      <c r="B115">
        <v>145</v>
      </c>
      <c r="C115" t="s">
        <v>556</v>
      </c>
      <c r="D115" t="s">
        <v>45</v>
      </c>
      <c r="E115" t="s">
        <v>46</v>
      </c>
      <c r="F115" t="s">
        <v>47</v>
      </c>
      <c r="G115">
        <v>39.1</v>
      </c>
      <c r="H115">
        <v>27.3</v>
      </c>
      <c r="I115">
        <v>62.5</v>
      </c>
      <c r="J115">
        <v>87.9</v>
      </c>
      <c r="K115">
        <v>77.5</v>
      </c>
      <c r="L115">
        <v>94.1</v>
      </c>
      <c r="M115">
        <v>62.2</v>
      </c>
      <c r="N115">
        <v>29.5</v>
      </c>
      <c r="O115">
        <v>20.6</v>
      </c>
      <c r="P115">
        <v>53.6</v>
      </c>
      <c r="Q115">
        <f>119</f>
        <v>119</v>
      </c>
      <c r="R115" t="s">
        <v>556</v>
      </c>
      <c r="S115">
        <v>65.2</v>
      </c>
      <c r="T115">
        <v>1190</v>
      </c>
      <c r="U115">
        <v>56.4</v>
      </c>
      <c r="V115">
        <v>89</v>
      </c>
      <c r="W115">
        <v>45.6</v>
      </c>
      <c r="X115">
        <v>184</v>
      </c>
      <c r="Y115">
        <v>86.5</v>
      </c>
      <c r="Z115">
        <v>183</v>
      </c>
      <c r="AA115">
        <v>73.900000000000006</v>
      </c>
      <c r="AB115">
        <v>351</v>
      </c>
      <c r="AC115">
        <v>85.8</v>
      </c>
      <c r="AD115">
        <v>179</v>
      </c>
      <c r="AE115" t="s">
        <v>49</v>
      </c>
      <c r="AF115">
        <v>0</v>
      </c>
      <c r="AG115" t="s">
        <v>557</v>
      </c>
      <c r="AH115">
        <v>536</v>
      </c>
      <c r="AI115" t="s">
        <v>46</v>
      </c>
      <c r="AJ115" s="1">
        <v>7318</v>
      </c>
      <c r="AK115">
        <v>9.8000000000000007</v>
      </c>
      <c r="AL115" s="2">
        <v>0.26</v>
      </c>
      <c r="AM115" s="3">
        <v>1.7902777777777779</v>
      </c>
      <c r="AN115" t="s">
        <v>556</v>
      </c>
      <c r="AO115" t="s">
        <v>558</v>
      </c>
      <c r="AP115" t="b">
        <v>0</v>
      </c>
      <c r="AQ115" t="b">
        <v>0</v>
      </c>
      <c r="AR115" t="b">
        <v>0</v>
      </c>
      <c r="AS115" t="s">
        <v>559</v>
      </c>
    </row>
    <row r="116" spans="1:45" x14ac:dyDescent="0.3">
      <c r="A116">
        <v>144</v>
      </c>
      <c r="B116">
        <v>143</v>
      </c>
      <c r="C116" t="s">
        <v>560</v>
      </c>
      <c r="D116" t="s">
        <v>397</v>
      </c>
      <c r="E116" t="s">
        <v>398</v>
      </c>
      <c r="F116" t="s">
        <v>56</v>
      </c>
      <c r="G116">
        <v>54.7</v>
      </c>
      <c r="H116">
        <v>27.6</v>
      </c>
      <c r="I116">
        <v>30.8</v>
      </c>
      <c r="J116">
        <v>63.8</v>
      </c>
      <c r="K116">
        <v>89.8</v>
      </c>
      <c r="L116">
        <v>11.9</v>
      </c>
      <c r="M116">
        <v>96.1</v>
      </c>
      <c r="N116">
        <v>69.5</v>
      </c>
      <c r="O116">
        <v>76.400000000000006</v>
      </c>
      <c r="P116">
        <v>53.3</v>
      </c>
      <c r="Q116">
        <f>109</f>
        <v>109</v>
      </c>
      <c r="R116" t="s">
        <v>560</v>
      </c>
      <c r="S116">
        <v>65.900000000000006</v>
      </c>
      <c r="T116">
        <v>1090</v>
      </c>
      <c r="U116">
        <v>44.9</v>
      </c>
      <c r="V116">
        <v>206</v>
      </c>
      <c r="W116">
        <v>59</v>
      </c>
      <c r="X116">
        <v>89</v>
      </c>
      <c r="Y116">
        <v>86.3</v>
      </c>
      <c r="Z116">
        <v>186</v>
      </c>
      <c r="AA116">
        <v>98.7</v>
      </c>
      <c r="AB116">
        <v>75</v>
      </c>
      <c r="AC116">
        <v>76.3</v>
      </c>
      <c r="AD116">
        <v>306</v>
      </c>
      <c r="AE116" t="s">
        <v>57</v>
      </c>
      <c r="AF116">
        <v>1</v>
      </c>
      <c r="AG116" t="s">
        <v>561</v>
      </c>
      <c r="AH116">
        <v>589</v>
      </c>
      <c r="AI116" t="s">
        <v>398</v>
      </c>
      <c r="AJ116" s="1">
        <v>26996</v>
      </c>
      <c r="AK116">
        <v>13.5</v>
      </c>
      <c r="AL116" s="2">
        <v>0.09</v>
      </c>
      <c r="AM116" s="3">
        <v>2.3638888888888889</v>
      </c>
      <c r="AN116" t="s">
        <v>560</v>
      </c>
      <c r="AO116" t="s">
        <v>562</v>
      </c>
      <c r="AP116" t="b">
        <v>0</v>
      </c>
      <c r="AQ116" t="b">
        <v>0</v>
      </c>
      <c r="AR116" t="b">
        <v>0</v>
      </c>
    </row>
    <row r="117" spans="1:45" x14ac:dyDescent="0.3">
      <c r="A117">
        <v>133</v>
      </c>
      <c r="B117">
        <v>137</v>
      </c>
      <c r="C117" t="s">
        <v>563</v>
      </c>
      <c r="D117" t="s">
        <v>95</v>
      </c>
      <c r="E117" t="s">
        <v>96</v>
      </c>
      <c r="F117" t="s">
        <v>56</v>
      </c>
      <c r="G117">
        <v>50</v>
      </c>
      <c r="H117">
        <v>23.7</v>
      </c>
      <c r="I117">
        <v>94.7</v>
      </c>
      <c r="J117">
        <v>97.7</v>
      </c>
      <c r="K117">
        <v>11.6</v>
      </c>
      <c r="L117">
        <v>5.0999999999999996</v>
      </c>
      <c r="M117">
        <v>75.7</v>
      </c>
      <c r="N117">
        <v>31.9</v>
      </c>
      <c r="O117">
        <v>11.9</v>
      </c>
      <c r="P117">
        <v>54.1</v>
      </c>
      <c r="Q117">
        <v>57</v>
      </c>
      <c r="R117" t="s">
        <v>563</v>
      </c>
      <c r="S117">
        <v>74.8</v>
      </c>
      <c r="T117">
        <v>570</v>
      </c>
      <c r="U117">
        <v>74.3</v>
      </c>
      <c r="V117">
        <v>34</v>
      </c>
      <c r="W117">
        <v>66.3</v>
      </c>
      <c r="X117">
        <v>62</v>
      </c>
      <c r="Y117">
        <v>88.2</v>
      </c>
      <c r="Z117">
        <v>152</v>
      </c>
      <c r="AA117">
        <v>95.6</v>
      </c>
      <c r="AB117">
        <v>112</v>
      </c>
      <c r="AC117">
        <v>45.4</v>
      </c>
      <c r="AD117">
        <v>951</v>
      </c>
      <c r="AE117" t="s">
        <v>57</v>
      </c>
      <c r="AF117">
        <v>11</v>
      </c>
      <c r="AG117" t="s">
        <v>564</v>
      </c>
      <c r="AH117">
        <v>656</v>
      </c>
      <c r="AI117" t="s">
        <v>98</v>
      </c>
      <c r="AJ117" s="1">
        <v>20252</v>
      </c>
      <c r="AK117">
        <v>8.1</v>
      </c>
      <c r="AL117" s="2">
        <v>0.05</v>
      </c>
      <c r="AN117" t="s">
        <v>565</v>
      </c>
      <c r="AO117" t="s">
        <v>566</v>
      </c>
      <c r="AP117" t="b">
        <v>0</v>
      </c>
      <c r="AQ117" t="b">
        <v>0</v>
      </c>
      <c r="AR117" t="b">
        <v>0</v>
      </c>
    </row>
    <row r="118" spans="1:45" x14ac:dyDescent="0.3">
      <c r="A118">
        <v>146</v>
      </c>
      <c r="B118">
        <v>137</v>
      </c>
      <c r="C118" t="s">
        <v>567</v>
      </c>
      <c r="D118" t="s">
        <v>541</v>
      </c>
      <c r="E118" t="s">
        <v>542</v>
      </c>
      <c r="F118" t="s">
        <v>56</v>
      </c>
      <c r="G118">
        <v>63.3</v>
      </c>
      <c r="H118">
        <v>69.7</v>
      </c>
      <c r="I118">
        <v>46.4</v>
      </c>
      <c r="J118">
        <v>19.600000000000001</v>
      </c>
      <c r="K118">
        <v>24.3</v>
      </c>
      <c r="L118">
        <v>96.4</v>
      </c>
      <c r="M118">
        <v>87.8</v>
      </c>
      <c r="N118">
        <v>20.100000000000001</v>
      </c>
      <c r="O118">
        <v>71.2</v>
      </c>
      <c r="P118">
        <v>52.7</v>
      </c>
      <c r="Q118" t="s">
        <v>372</v>
      </c>
      <c r="R118" t="s">
        <v>568</v>
      </c>
      <c r="S118" t="s">
        <v>374</v>
      </c>
      <c r="T118">
        <v>4780</v>
      </c>
      <c r="U118">
        <v>42.9</v>
      </c>
      <c r="V118">
        <v>244</v>
      </c>
      <c r="W118">
        <v>27.8</v>
      </c>
      <c r="X118">
        <v>519</v>
      </c>
      <c r="Y118">
        <v>60</v>
      </c>
      <c r="Z118">
        <v>783</v>
      </c>
      <c r="AA118">
        <v>53.7</v>
      </c>
      <c r="AB118">
        <v>741</v>
      </c>
      <c r="AC118">
        <v>71.900000000000006</v>
      </c>
      <c r="AD118">
        <v>376</v>
      </c>
      <c r="AE118" t="s">
        <v>57</v>
      </c>
      <c r="AF118">
        <v>0</v>
      </c>
      <c r="AG118" t="s">
        <v>569</v>
      </c>
      <c r="AH118">
        <v>131486</v>
      </c>
      <c r="AI118" t="s">
        <v>542</v>
      </c>
      <c r="AJ118" s="1">
        <v>24850</v>
      </c>
      <c r="AK118">
        <v>12.1</v>
      </c>
      <c r="AL118" s="2">
        <v>0.28000000000000003</v>
      </c>
      <c r="AM118" s="3">
        <v>2.6506944444444445</v>
      </c>
      <c r="AN118" t="s">
        <v>568</v>
      </c>
      <c r="AO118" t="s">
        <v>570</v>
      </c>
      <c r="AP118" t="b">
        <v>0</v>
      </c>
      <c r="AQ118" t="b">
        <v>0</v>
      </c>
      <c r="AR118" t="b">
        <v>0</v>
      </c>
    </row>
    <row r="119" spans="1:45" x14ac:dyDescent="0.3">
      <c r="A119">
        <v>148</v>
      </c>
      <c r="B119">
        <v>158</v>
      </c>
      <c r="C119" t="s">
        <v>571</v>
      </c>
      <c r="D119" t="s">
        <v>541</v>
      </c>
      <c r="E119" t="s">
        <v>542</v>
      </c>
      <c r="F119" t="s">
        <v>56</v>
      </c>
      <c r="G119">
        <v>61</v>
      </c>
      <c r="H119">
        <v>61.9</v>
      </c>
      <c r="I119">
        <v>58.8</v>
      </c>
      <c r="J119">
        <v>25.7</v>
      </c>
      <c r="K119">
        <v>36.1</v>
      </c>
      <c r="L119">
        <v>92</v>
      </c>
      <c r="M119">
        <v>80.5</v>
      </c>
      <c r="N119">
        <v>17.5</v>
      </c>
      <c r="O119">
        <v>53.5</v>
      </c>
      <c r="P119">
        <v>52.3</v>
      </c>
      <c r="Q119" t="s">
        <v>572</v>
      </c>
      <c r="R119" t="s">
        <v>573</v>
      </c>
      <c r="S119" t="s">
        <v>574</v>
      </c>
      <c r="T119">
        <v>5770</v>
      </c>
      <c r="U119">
        <v>36</v>
      </c>
      <c r="V119">
        <v>427</v>
      </c>
      <c r="W119">
        <v>30.5</v>
      </c>
      <c r="X119">
        <v>457</v>
      </c>
      <c r="Y119">
        <v>51.2</v>
      </c>
      <c r="Z119">
        <v>991</v>
      </c>
      <c r="AA119">
        <v>64.900000000000006</v>
      </c>
      <c r="AB119">
        <v>552</v>
      </c>
      <c r="AC119">
        <v>80.7</v>
      </c>
      <c r="AD119">
        <v>246</v>
      </c>
      <c r="AE119" t="s">
        <v>57</v>
      </c>
      <c r="AF119">
        <v>0</v>
      </c>
      <c r="AG119" t="s">
        <v>575</v>
      </c>
      <c r="AH119">
        <v>1007</v>
      </c>
      <c r="AI119" t="s">
        <v>542</v>
      </c>
      <c r="AJ119" s="1">
        <v>19001</v>
      </c>
      <c r="AK119">
        <v>11.3</v>
      </c>
      <c r="AL119" s="2">
        <v>0.27</v>
      </c>
      <c r="AM119" s="3">
        <v>2.7326388888888888</v>
      </c>
      <c r="AN119" t="s">
        <v>573</v>
      </c>
      <c r="AO119" t="s">
        <v>576</v>
      </c>
      <c r="AP119" t="b">
        <v>0</v>
      </c>
      <c r="AQ119" t="b">
        <v>0</v>
      </c>
      <c r="AR119" t="b">
        <v>0</v>
      </c>
    </row>
    <row r="120" spans="1:45" x14ac:dyDescent="0.3">
      <c r="A120">
        <v>150</v>
      </c>
      <c r="B120">
        <v>148</v>
      </c>
      <c r="C120" t="s">
        <v>577</v>
      </c>
      <c r="D120" t="s">
        <v>54</v>
      </c>
      <c r="E120" t="s">
        <v>55</v>
      </c>
      <c r="F120" t="s">
        <v>56</v>
      </c>
      <c r="G120">
        <v>35.799999999999997</v>
      </c>
      <c r="H120">
        <v>67.900000000000006</v>
      </c>
      <c r="I120">
        <v>18.3</v>
      </c>
      <c r="J120">
        <v>52</v>
      </c>
      <c r="K120">
        <v>94.3</v>
      </c>
      <c r="L120">
        <v>80</v>
      </c>
      <c r="M120">
        <v>84.2</v>
      </c>
      <c r="N120">
        <v>35.200000000000003</v>
      </c>
      <c r="O120">
        <v>90.4</v>
      </c>
      <c r="P120">
        <v>52.1</v>
      </c>
      <c r="Q120" t="s">
        <v>486</v>
      </c>
      <c r="R120" t="s">
        <v>577</v>
      </c>
      <c r="S120" t="s">
        <v>487</v>
      </c>
      <c r="T120">
        <v>2510</v>
      </c>
      <c r="U120">
        <v>34.700000000000003</v>
      </c>
      <c r="V120">
        <v>471</v>
      </c>
      <c r="W120">
        <v>35.1</v>
      </c>
      <c r="X120">
        <v>345</v>
      </c>
      <c r="Y120">
        <v>80.5</v>
      </c>
      <c r="Z120">
        <v>310</v>
      </c>
      <c r="AA120">
        <v>65.3</v>
      </c>
      <c r="AB120">
        <v>541</v>
      </c>
      <c r="AC120">
        <v>95</v>
      </c>
      <c r="AD120">
        <v>48</v>
      </c>
      <c r="AE120" t="s">
        <v>57</v>
      </c>
      <c r="AF120">
        <v>0</v>
      </c>
      <c r="AG120" t="s">
        <v>578</v>
      </c>
      <c r="AH120">
        <v>716</v>
      </c>
      <c r="AI120" t="s">
        <v>55</v>
      </c>
      <c r="AJ120" s="1">
        <v>15280</v>
      </c>
      <c r="AK120">
        <v>15.8</v>
      </c>
      <c r="AL120" s="2">
        <v>0.31</v>
      </c>
      <c r="AM120" s="3">
        <v>1.9131944444444444</v>
      </c>
      <c r="AN120" t="s">
        <v>577</v>
      </c>
      <c r="AO120" t="s">
        <v>579</v>
      </c>
      <c r="AP120" t="b">
        <v>0</v>
      </c>
      <c r="AQ120" t="b">
        <v>0</v>
      </c>
      <c r="AR120" t="b">
        <v>0</v>
      </c>
      <c r="AS120" t="s">
        <v>580</v>
      </c>
    </row>
    <row r="121" spans="1:45" x14ac:dyDescent="0.3">
      <c r="A121">
        <v>152</v>
      </c>
      <c r="B121">
        <v>136</v>
      </c>
      <c r="C121" t="s">
        <v>581</v>
      </c>
      <c r="D121" t="s">
        <v>45</v>
      </c>
      <c r="E121" t="s">
        <v>46</v>
      </c>
      <c r="F121" t="s">
        <v>77</v>
      </c>
      <c r="G121">
        <v>59.5</v>
      </c>
      <c r="H121">
        <v>48.6</v>
      </c>
      <c r="I121">
        <v>11.4</v>
      </c>
      <c r="J121">
        <v>50.3</v>
      </c>
      <c r="K121">
        <v>54.5</v>
      </c>
      <c r="L121">
        <v>12.4</v>
      </c>
      <c r="M121">
        <v>97.5</v>
      </c>
      <c r="N121">
        <v>57.1</v>
      </c>
      <c r="O121">
        <v>96.3</v>
      </c>
      <c r="P121">
        <v>51.9</v>
      </c>
      <c r="Q121">
        <f>116</f>
        <v>116</v>
      </c>
      <c r="R121" t="s">
        <v>581</v>
      </c>
      <c r="S121">
        <v>65.400000000000006</v>
      </c>
      <c r="T121">
        <v>1170</v>
      </c>
      <c r="U121">
        <v>54.8</v>
      </c>
      <c r="V121">
        <v>102</v>
      </c>
      <c r="W121">
        <v>52.3</v>
      </c>
      <c r="X121">
        <v>125</v>
      </c>
      <c r="Y121">
        <v>86.2</v>
      </c>
      <c r="Z121">
        <v>189</v>
      </c>
      <c r="AA121">
        <v>70</v>
      </c>
      <c r="AB121">
        <v>432</v>
      </c>
      <c r="AC121">
        <v>71.400000000000006</v>
      </c>
      <c r="AD121">
        <v>387</v>
      </c>
      <c r="AE121" t="s">
        <v>208</v>
      </c>
      <c r="AF121">
        <v>0</v>
      </c>
      <c r="AG121" t="s">
        <v>582</v>
      </c>
      <c r="AH121">
        <v>560</v>
      </c>
      <c r="AI121" t="s">
        <v>46</v>
      </c>
      <c r="AJ121" s="1">
        <v>44514</v>
      </c>
      <c r="AK121">
        <v>16.100000000000001</v>
      </c>
      <c r="AL121" s="2">
        <v>0.11</v>
      </c>
      <c r="AM121" s="3">
        <v>2.2000000000000002</v>
      </c>
      <c r="AN121" t="s">
        <v>581</v>
      </c>
      <c r="AO121" t="s">
        <v>583</v>
      </c>
      <c r="AP121" t="b">
        <v>0</v>
      </c>
      <c r="AQ121" t="b">
        <v>0</v>
      </c>
      <c r="AR121" t="b">
        <v>0</v>
      </c>
      <c r="AS121" t="s">
        <v>584</v>
      </c>
    </row>
    <row r="122" spans="1:45" x14ac:dyDescent="0.3">
      <c r="A122">
        <v>152</v>
      </c>
      <c r="B122">
        <v>176</v>
      </c>
      <c r="C122" t="s">
        <v>585</v>
      </c>
      <c r="D122" t="s">
        <v>175</v>
      </c>
      <c r="E122" t="s">
        <v>176</v>
      </c>
      <c r="F122" t="s">
        <v>56</v>
      </c>
      <c r="G122">
        <v>63.2</v>
      </c>
      <c r="H122">
        <v>65.8</v>
      </c>
      <c r="I122">
        <v>84.7</v>
      </c>
      <c r="J122">
        <v>25.4</v>
      </c>
      <c r="K122">
        <v>14.5</v>
      </c>
      <c r="L122">
        <v>19.600000000000001</v>
      </c>
      <c r="M122">
        <v>64.8</v>
      </c>
      <c r="N122">
        <v>21.5</v>
      </c>
      <c r="O122">
        <v>75</v>
      </c>
      <c r="P122">
        <v>51.9</v>
      </c>
      <c r="Q122" t="s">
        <v>292</v>
      </c>
      <c r="R122" t="s">
        <v>585</v>
      </c>
      <c r="S122" t="s">
        <v>293</v>
      </c>
      <c r="T122">
        <v>2270</v>
      </c>
      <c r="U122">
        <v>55.3</v>
      </c>
      <c r="V122">
        <v>97</v>
      </c>
      <c r="W122">
        <v>55.7</v>
      </c>
      <c r="X122">
        <v>107</v>
      </c>
      <c r="Y122">
        <v>54.3</v>
      </c>
      <c r="Z122">
        <v>907</v>
      </c>
      <c r="AA122">
        <v>99.5</v>
      </c>
      <c r="AB122">
        <v>60</v>
      </c>
      <c r="AC122">
        <v>41.9</v>
      </c>
      <c r="AD122">
        <v>1057</v>
      </c>
      <c r="AE122" t="s">
        <v>57</v>
      </c>
      <c r="AF122">
        <v>0</v>
      </c>
      <c r="AG122" t="s">
        <v>586</v>
      </c>
      <c r="AH122">
        <v>679</v>
      </c>
      <c r="AI122" t="s">
        <v>176</v>
      </c>
      <c r="AJ122" s="1">
        <v>15224</v>
      </c>
      <c r="AK122">
        <v>13</v>
      </c>
      <c r="AL122" s="2">
        <v>0.12</v>
      </c>
      <c r="AM122" t="s">
        <v>587</v>
      </c>
      <c r="AN122" t="s">
        <v>585</v>
      </c>
      <c r="AO122" t="s">
        <v>588</v>
      </c>
      <c r="AP122" t="b">
        <v>0</v>
      </c>
      <c r="AQ122" t="b">
        <v>0</v>
      </c>
      <c r="AR122" t="b">
        <v>0</v>
      </c>
    </row>
    <row r="123" spans="1:45" x14ac:dyDescent="0.3">
      <c r="A123">
        <v>154</v>
      </c>
      <c r="B123">
        <v>134</v>
      </c>
      <c r="C123" t="s">
        <v>589</v>
      </c>
      <c r="D123" t="s">
        <v>45</v>
      </c>
      <c r="E123" t="s">
        <v>46</v>
      </c>
      <c r="F123" t="s">
        <v>77</v>
      </c>
      <c r="G123">
        <v>61.2</v>
      </c>
      <c r="H123">
        <v>66</v>
      </c>
      <c r="I123">
        <v>4.4000000000000004</v>
      </c>
      <c r="J123">
        <v>64.3</v>
      </c>
      <c r="K123">
        <v>21.9</v>
      </c>
      <c r="L123">
        <v>12.1</v>
      </c>
      <c r="M123">
        <v>92.6</v>
      </c>
      <c r="N123">
        <v>44.4</v>
      </c>
      <c r="O123">
        <v>39.5</v>
      </c>
      <c r="P123">
        <v>51.8</v>
      </c>
      <c r="Q123">
        <v>118</v>
      </c>
      <c r="R123" t="s">
        <v>589</v>
      </c>
      <c r="S123">
        <v>65.3</v>
      </c>
      <c r="T123">
        <v>1180</v>
      </c>
      <c r="U123">
        <v>55.2</v>
      </c>
      <c r="V123">
        <v>98</v>
      </c>
      <c r="W123">
        <v>62.1</v>
      </c>
      <c r="X123">
        <v>77</v>
      </c>
      <c r="Y123">
        <v>77.3</v>
      </c>
      <c r="Z123">
        <v>388</v>
      </c>
      <c r="AA123">
        <v>76.400000000000006</v>
      </c>
      <c r="AB123">
        <v>313</v>
      </c>
      <c r="AC123">
        <v>64.099999999999994</v>
      </c>
      <c r="AD123">
        <v>501</v>
      </c>
      <c r="AE123" t="s">
        <v>208</v>
      </c>
      <c r="AF123">
        <v>0</v>
      </c>
      <c r="AG123" t="s">
        <v>590</v>
      </c>
      <c r="AH123">
        <v>629</v>
      </c>
      <c r="AI123" t="s">
        <v>46</v>
      </c>
      <c r="AJ123" s="1">
        <v>64427</v>
      </c>
      <c r="AK123">
        <v>20.5</v>
      </c>
      <c r="AL123" s="2">
        <v>0.06</v>
      </c>
      <c r="AM123" s="3">
        <v>1.9951388888888888</v>
      </c>
      <c r="AN123" t="s">
        <v>589</v>
      </c>
      <c r="AO123" t="s">
        <v>591</v>
      </c>
      <c r="AP123" t="b">
        <v>0</v>
      </c>
      <c r="AQ123" t="b">
        <v>0</v>
      </c>
      <c r="AR123" t="b">
        <v>0</v>
      </c>
    </row>
    <row r="124" spans="1:45" x14ac:dyDescent="0.3">
      <c r="A124">
        <v>155</v>
      </c>
      <c r="B124">
        <v>128</v>
      </c>
      <c r="C124" t="s">
        <v>592</v>
      </c>
      <c r="D124" t="s">
        <v>437</v>
      </c>
      <c r="E124" t="s">
        <v>438</v>
      </c>
      <c r="F124" t="s">
        <v>56</v>
      </c>
      <c r="G124">
        <v>45.5</v>
      </c>
      <c r="H124">
        <v>17.2</v>
      </c>
      <c r="I124">
        <v>40.4</v>
      </c>
      <c r="J124">
        <v>62.4</v>
      </c>
      <c r="K124">
        <v>100</v>
      </c>
      <c r="L124">
        <v>97.6</v>
      </c>
      <c r="M124">
        <v>94.2</v>
      </c>
      <c r="N124">
        <v>49.5</v>
      </c>
      <c r="O124">
        <v>42.3</v>
      </c>
      <c r="P124">
        <v>51.6</v>
      </c>
      <c r="Q124">
        <v>183</v>
      </c>
      <c r="R124" t="s">
        <v>592</v>
      </c>
      <c r="S124">
        <v>59.8</v>
      </c>
      <c r="T124">
        <v>1830</v>
      </c>
      <c r="U124">
        <v>41.8</v>
      </c>
      <c r="V124">
        <v>266</v>
      </c>
      <c r="W124">
        <v>38</v>
      </c>
      <c r="X124">
        <v>287</v>
      </c>
      <c r="Y124">
        <v>86.7</v>
      </c>
      <c r="Z124">
        <v>179</v>
      </c>
      <c r="AA124">
        <v>80.7</v>
      </c>
      <c r="AB124">
        <v>254</v>
      </c>
      <c r="AC124">
        <v>97.1</v>
      </c>
      <c r="AD124">
        <v>20</v>
      </c>
      <c r="AE124" t="s">
        <v>57</v>
      </c>
      <c r="AF124">
        <v>0</v>
      </c>
      <c r="AG124" t="s">
        <v>593</v>
      </c>
      <c r="AH124">
        <v>594</v>
      </c>
      <c r="AI124" t="s">
        <v>438</v>
      </c>
      <c r="AJ124" s="1">
        <v>18865</v>
      </c>
      <c r="AK124">
        <v>8.4</v>
      </c>
      <c r="AL124" s="2">
        <v>0.4</v>
      </c>
      <c r="AM124" s="3">
        <v>2.6097222222222221</v>
      </c>
      <c r="AN124" t="s">
        <v>592</v>
      </c>
      <c r="AO124" t="s">
        <v>594</v>
      </c>
      <c r="AP124" t="b">
        <v>0</v>
      </c>
      <c r="AQ124" t="b">
        <v>0</v>
      </c>
      <c r="AR124" t="b">
        <v>0</v>
      </c>
    </row>
    <row r="125" spans="1:45" x14ac:dyDescent="0.3">
      <c r="A125">
        <v>155</v>
      </c>
      <c r="B125">
        <v>132</v>
      </c>
      <c r="C125" t="s">
        <v>595</v>
      </c>
      <c r="D125" t="s">
        <v>45</v>
      </c>
      <c r="E125" t="s">
        <v>46</v>
      </c>
      <c r="F125" t="s">
        <v>77</v>
      </c>
      <c r="G125">
        <v>61.4</v>
      </c>
      <c r="H125">
        <v>36.5</v>
      </c>
      <c r="I125">
        <v>72.900000000000006</v>
      </c>
      <c r="J125">
        <v>47.2</v>
      </c>
      <c r="K125">
        <v>23.5</v>
      </c>
      <c r="L125">
        <v>11.1</v>
      </c>
      <c r="M125">
        <v>91.6</v>
      </c>
      <c r="N125">
        <v>55.2</v>
      </c>
      <c r="O125">
        <v>44.6</v>
      </c>
      <c r="P125">
        <v>51.6</v>
      </c>
      <c r="Q125">
        <v>72</v>
      </c>
      <c r="R125" t="s">
        <v>596</v>
      </c>
      <c r="S125">
        <v>71.2</v>
      </c>
      <c r="T125">
        <v>720</v>
      </c>
      <c r="U125">
        <v>63.4</v>
      </c>
      <c r="V125">
        <v>64</v>
      </c>
      <c r="W125">
        <v>60.3</v>
      </c>
      <c r="X125">
        <v>83</v>
      </c>
      <c r="Y125">
        <v>93.9</v>
      </c>
      <c r="Z125">
        <v>60</v>
      </c>
      <c r="AA125">
        <v>75.8</v>
      </c>
      <c r="AB125">
        <v>321</v>
      </c>
      <c r="AC125">
        <v>50.9</v>
      </c>
      <c r="AD125">
        <v>775</v>
      </c>
      <c r="AE125" t="s">
        <v>208</v>
      </c>
      <c r="AF125">
        <v>0</v>
      </c>
      <c r="AG125" t="s">
        <v>597</v>
      </c>
      <c r="AH125">
        <v>507</v>
      </c>
      <c r="AI125" t="s">
        <v>46</v>
      </c>
      <c r="AJ125" s="1">
        <v>30782</v>
      </c>
      <c r="AK125">
        <v>7.7</v>
      </c>
      <c r="AL125" s="2">
        <v>0.08</v>
      </c>
      <c r="AM125" s="3">
        <v>2.5277777777777777</v>
      </c>
      <c r="AN125" t="s">
        <v>596</v>
      </c>
      <c r="AO125" t="s">
        <v>598</v>
      </c>
      <c r="AP125" t="b">
        <v>0</v>
      </c>
      <c r="AQ125" t="b">
        <v>0</v>
      </c>
      <c r="AR125" t="b">
        <v>0</v>
      </c>
      <c r="AS125" t="s">
        <v>599</v>
      </c>
    </row>
    <row r="126" spans="1:45" x14ac:dyDescent="0.3">
      <c r="A126">
        <v>155</v>
      </c>
      <c r="B126">
        <v>151</v>
      </c>
      <c r="C126" t="s">
        <v>600</v>
      </c>
      <c r="D126" t="s">
        <v>231</v>
      </c>
      <c r="E126" t="s">
        <v>232</v>
      </c>
      <c r="F126" t="s">
        <v>56</v>
      </c>
      <c r="G126">
        <v>42.1</v>
      </c>
      <c r="H126">
        <v>23.8</v>
      </c>
      <c r="I126">
        <v>98.6</v>
      </c>
      <c r="J126">
        <v>41.3</v>
      </c>
      <c r="K126">
        <v>59.4</v>
      </c>
      <c r="L126">
        <v>81.2</v>
      </c>
      <c r="M126">
        <v>97.9</v>
      </c>
      <c r="N126">
        <v>21.1</v>
      </c>
      <c r="O126">
        <v>92.3</v>
      </c>
      <c r="P126">
        <v>51.6</v>
      </c>
      <c r="Q126">
        <f>64</f>
        <v>64</v>
      </c>
      <c r="R126" t="s">
        <v>600</v>
      </c>
      <c r="S126">
        <v>73</v>
      </c>
      <c r="T126">
        <v>660</v>
      </c>
      <c r="U126">
        <v>56.4</v>
      </c>
      <c r="V126">
        <v>90</v>
      </c>
      <c r="W126">
        <v>59.8</v>
      </c>
      <c r="X126">
        <v>85</v>
      </c>
      <c r="Y126">
        <v>93.8</v>
      </c>
      <c r="Z126">
        <v>63</v>
      </c>
      <c r="AA126">
        <v>98.8</v>
      </c>
      <c r="AB126">
        <v>74</v>
      </c>
      <c r="AC126">
        <v>92.4</v>
      </c>
      <c r="AD126">
        <v>95</v>
      </c>
      <c r="AE126" t="s">
        <v>57</v>
      </c>
      <c r="AF126">
        <v>0</v>
      </c>
      <c r="AG126" t="s">
        <v>601</v>
      </c>
      <c r="AH126">
        <v>540</v>
      </c>
      <c r="AI126" t="s">
        <v>232</v>
      </c>
      <c r="AJ126" s="1">
        <v>15899</v>
      </c>
      <c r="AK126">
        <v>18.100000000000001</v>
      </c>
      <c r="AL126" s="2">
        <v>0.28000000000000003</v>
      </c>
      <c r="AM126" s="3">
        <v>2.2819444444444446</v>
      </c>
      <c r="AN126" t="s">
        <v>600</v>
      </c>
      <c r="AO126" t="s">
        <v>602</v>
      </c>
      <c r="AP126" t="b">
        <v>0</v>
      </c>
      <c r="AQ126" t="b">
        <v>0</v>
      </c>
      <c r="AR126" t="b">
        <v>0</v>
      </c>
    </row>
    <row r="127" spans="1:45" x14ac:dyDescent="0.3">
      <c r="A127">
        <v>158</v>
      </c>
      <c r="B127">
        <v>176</v>
      </c>
      <c r="C127" t="s">
        <v>603</v>
      </c>
      <c r="D127" t="s">
        <v>231</v>
      </c>
      <c r="E127" t="s">
        <v>232</v>
      </c>
      <c r="F127" t="s">
        <v>56</v>
      </c>
      <c r="G127">
        <v>37</v>
      </c>
      <c r="H127">
        <v>58.2</v>
      </c>
      <c r="I127">
        <v>18.100000000000001</v>
      </c>
      <c r="J127">
        <v>63.3</v>
      </c>
      <c r="K127">
        <v>76</v>
      </c>
      <c r="L127">
        <v>70</v>
      </c>
      <c r="M127">
        <v>85.4</v>
      </c>
      <c r="N127">
        <v>89.3</v>
      </c>
      <c r="O127">
        <v>28.7</v>
      </c>
      <c r="P127">
        <v>51.5</v>
      </c>
      <c r="Q127">
        <f>99</f>
        <v>99</v>
      </c>
      <c r="R127" t="s">
        <v>604</v>
      </c>
      <c r="S127">
        <v>66.7</v>
      </c>
      <c r="T127">
        <v>990</v>
      </c>
      <c r="U127">
        <v>38.5</v>
      </c>
      <c r="V127">
        <v>347</v>
      </c>
      <c r="W127">
        <v>54.1</v>
      </c>
      <c r="X127">
        <v>116</v>
      </c>
      <c r="Y127">
        <v>96.9</v>
      </c>
      <c r="Z127">
        <v>31</v>
      </c>
      <c r="AA127">
        <v>94.7</v>
      </c>
      <c r="AB127">
        <v>122</v>
      </c>
      <c r="AC127">
        <v>90.6</v>
      </c>
      <c r="AD127">
        <v>124</v>
      </c>
      <c r="AE127" t="s">
        <v>57</v>
      </c>
      <c r="AF127">
        <v>6</v>
      </c>
      <c r="AG127" t="s">
        <v>605</v>
      </c>
      <c r="AH127">
        <v>621</v>
      </c>
      <c r="AI127" t="s">
        <v>232</v>
      </c>
      <c r="AJ127" s="1">
        <v>33874</v>
      </c>
      <c r="AK127">
        <v>36</v>
      </c>
      <c r="AL127" s="2">
        <v>0.25</v>
      </c>
      <c r="AM127" s="3">
        <v>2.2819444444444446</v>
      </c>
      <c r="AN127" t="s">
        <v>604</v>
      </c>
      <c r="AO127" t="s">
        <v>606</v>
      </c>
      <c r="AP127" t="b">
        <v>0</v>
      </c>
      <c r="AQ127" t="b">
        <v>0</v>
      </c>
      <c r="AR127" t="b">
        <v>0</v>
      </c>
    </row>
    <row r="128" spans="1:45" x14ac:dyDescent="0.3">
      <c r="A128">
        <v>159</v>
      </c>
      <c r="B128">
        <v>139</v>
      </c>
      <c r="C128" t="s">
        <v>607</v>
      </c>
      <c r="D128" t="s">
        <v>231</v>
      </c>
      <c r="E128" t="s">
        <v>232</v>
      </c>
      <c r="F128" t="s">
        <v>77</v>
      </c>
      <c r="G128">
        <v>52.3</v>
      </c>
      <c r="H128">
        <v>34.4</v>
      </c>
      <c r="I128">
        <v>49.3</v>
      </c>
      <c r="J128">
        <v>41.2</v>
      </c>
      <c r="K128">
        <v>93.2</v>
      </c>
      <c r="L128">
        <v>83.5</v>
      </c>
      <c r="M128">
        <v>94.1</v>
      </c>
      <c r="N128">
        <v>40</v>
      </c>
      <c r="O128">
        <v>40.1</v>
      </c>
      <c r="P128">
        <v>51.3</v>
      </c>
      <c r="Q128">
        <v>79</v>
      </c>
      <c r="R128" t="s">
        <v>607</v>
      </c>
      <c r="S128">
        <v>70</v>
      </c>
      <c r="T128">
        <v>790</v>
      </c>
      <c r="U128">
        <v>47.5</v>
      </c>
      <c r="V128">
        <v>166</v>
      </c>
      <c r="W128">
        <v>57.2</v>
      </c>
      <c r="X128">
        <v>100</v>
      </c>
      <c r="Y128">
        <v>94.5</v>
      </c>
      <c r="Z128">
        <v>52</v>
      </c>
      <c r="AA128">
        <v>99.9</v>
      </c>
      <c r="AB128">
        <v>30</v>
      </c>
      <c r="AC128">
        <v>93.4</v>
      </c>
      <c r="AD128">
        <v>75</v>
      </c>
      <c r="AE128" t="s">
        <v>57</v>
      </c>
      <c r="AF128">
        <v>11</v>
      </c>
      <c r="AG128" t="s">
        <v>608</v>
      </c>
      <c r="AH128">
        <v>598</v>
      </c>
      <c r="AI128" t="s">
        <v>232</v>
      </c>
      <c r="AJ128" s="1">
        <v>31942</v>
      </c>
      <c r="AK128">
        <v>28.8</v>
      </c>
      <c r="AL128" s="2">
        <v>0.28999999999999998</v>
      </c>
      <c r="AM128" s="3">
        <v>2.2409722222222221</v>
      </c>
      <c r="AN128" t="s">
        <v>607</v>
      </c>
      <c r="AO128" t="s">
        <v>609</v>
      </c>
      <c r="AP128" t="b">
        <v>0</v>
      </c>
      <c r="AQ128" t="b">
        <v>0</v>
      </c>
      <c r="AR128" t="b">
        <v>0</v>
      </c>
    </row>
    <row r="129" spans="1:45" x14ac:dyDescent="0.3">
      <c r="A129">
        <v>161</v>
      </c>
      <c r="B129">
        <v>126</v>
      </c>
      <c r="C129" t="s">
        <v>610</v>
      </c>
      <c r="D129" t="s">
        <v>437</v>
      </c>
      <c r="E129" t="s">
        <v>438</v>
      </c>
      <c r="F129" t="s">
        <v>47</v>
      </c>
      <c r="G129">
        <v>29.7</v>
      </c>
      <c r="H129">
        <v>16.100000000000001</v>
      </c>
      <c r="I129">
        <v>45.9</v>
      </c>
      <c r="J129">
        <v>99.3</v>
      </c>
      <c r="K129">
        <v>100</v>
      </c>
      <c r="L129">
        <v>38</v>
      </c>
      <c r="M129">
        <v>93.8</v>
      </c>
      <c r="N129">
        <v>30.7</v>
      </c>
      <c r="O129">
        <v>52.1</v>
      </c>
      <c r="P129">
        <v>51.2</v>
      </c>
      <c r="Q129">
        <f>116</f>
        <v>116</v>
      </c>
      <c r="R129" t="s">
        <v>610</v>
      </c>
      <c r="S129">
        <v>65.400000000000006</v>
      </c>
      <c r="T129">
        <v>1160</v>
      </c>
      <c r="U129">
        <v>45.1</v>
      </c>
      <c r="V129">
        <v>203</v>
      </c>
      <c r="W129">
        <v>47</v>
      </c>
      <c r="X129">
        <v>167</v>
      </c>
      <c r="Y129">
        <v>93.3</v>
      </c>
      <c r="Z129">
        <v>69</v>
      </c>
      <c r="AA129">
        <v>99.2</v>
      </c>
      <c r="AB129">
        <v>67</v>
      </c>
      <c r="AC129">
        <v>87</v>
      </c>
      <c r="AD129">
        <v>166</v>
      </c>
      <c r="AE129" t="s">
        <v>57</v>
      </c>
      <c r="AF129">
        <v>0</v>
      </c>
      <c r="AG129" t="s">
        <v>611</v>
      </c>
      <c r="AH129">
        <v>576</v>
      </c>
      <c r="AI129" t="s">
        <v>438</v>
      </c>
      <c r="AJ129" s="1">
        <v>12399</v>
      </c>
      <c r="AK129">
        <v>18.2</v>
      </c>
      <c r="AL129" s="2">
        <v>0.16</v>
      </c>
      <c r="AM129" s="3">
        <v>2.4868055555555557</v>
      </c>
      <c r="AN129" t="s">
        <v>610</v>
      </c>
      <c r="AO129" t="s">
        <v>612</v>
      </c>
      <c r="AP129" t="b">
        <v>0</v>
      </c>
      <c r="AQ129" t="b">
        <v>0</v>
      </c>
      <c r="AR129" t="b">
        <v>0</v>
      </c>
    </row>
    <row r="130" spans="1:45" x14ac:dyDescent="0.3">
      <c r="A130">
        <v>162</v>
      </c>
      <c r="B130">
        <v>164</v>
      </c>
      <c r="C130" t="s">
        <v>613</v>
      </c>
      <c r="D130" t="s">
        <v>166</v>
      </c>
      <c r="E130" t="s">
        <v>167</v>
      </c>
      <c r="F130" t="s">
        <v>56</v>
      </c>
      <c r="G130">
        <v>43</v>
      </c>
      <c r="H130">
        <v>78</v>
      </c>
      <c r="I130">
        <v>77.099999999999994</v>
      </c>
      <c r="J130">
        <v>28.5</v>
      </c>
      <c r="K130">
        <v>17.399999999999999</v>
      </c>
      <c r="L130">
        <v>57.6</v>
      </c>
      <c r="M130">
        <v>63</v>
      </c>
      <c r="N130">
        <v>43.3</v>
      </c>
      <c r="O130">
        <v>85.8</v>
      </c>
      <c r="P130">
        <v>51.1</v>
      </c>
      <c r="Q130" t="s">
        <v>614</v>
      </c>
      <c r="R130" t="s">
        <v>613</v>
      </c>
      <c r="S130" t="s">
        <v>615</v>
      </c>
      <c r="T130">
        <v>3170</v>
      </c>
      <c r="U130">
        <v>45.4</v>
      </c>
      <c r="V130">
        <v>199</v>
      </c>
      <c r="W130">
        <v>40.4</v>
      </c>
      <c r="X130">
        <v>245</v>
      </c>
      <c r="Y130">
        <v>62</v>
      </c>
      <c r="Z130">
        <v>735</v>
      </c>
      <c r="AA130">
        <v>99.4</v>
      </c>
      <c r="AB130">
        <v>65</v>
      </c>
      <c r="AC130">
        <v>66.5</v>
      </c>
      <c r="AD130">
        <v>456</v>
      </c>
      <c r="AE130" t="s">
        <v>57</v>
      </c>
      <c r="AF130">
        <v>0</v>
      </c>
      <c r="AG130" t="s">
        <v>616</v>
      </c>
      <c r="AH130">
        <v>936</v>
      </c>
      <c r="AI130" t="s">
        <v>167</v>
      </c>
      <c r="AJ130" s="1">
        <v>19344</v>
      </c>
      <c r="AK130">
        <v>13.2</v>
      </c>
      <c r="AL130" s="2">
        <v>0.21</v>
      </c>
      <c r="AN130" t="s">
        <v>613</v>
      </c>
      <c r="AO130" t="s">
        <v>617</v>
      </c>
      <c r="AP130" t="b">
        <v>0</v>
      </c>
      <c r="AQ130" t="b">
        <v>0</v>
      </c>
      <c r="AR130" t="b">
        <v>0</v>
      </c>
    </row>
    <row r="131" spans="1:45" x14ac:dyDescent="0.3">
      <c r="A131">
        <v>163</v>
      </c>
      <c r="B131">
        <v>230</v>
      </c>
      <c r="C131" t="s">
        <v>618</v>
      </c>
      <c r="D131" t="s">
        <v>619</v>
      </c>
      <c r="E131" t="s">
        <v>620</v>
      </c>
      <c r="F131" t="s">
        <v>56</v>
      </c>
      <c r="G131">
        <v>54.2</v>
      </c>
      <c r="H131">
        <v>79.599999999999994</v>
      </c>
      <c r="I131">
        <v>99.3</v>
      </c>
      <c r="J131">
        <v>1.4</v>
      </c>
      <c r="K131">
        <v>49</v>
      </c>
      <c r="L131">
        <v>54.2</v>
      </c>
      <c r="M131">
        <v>64.7</v>
      </c>
      <c r="N131">
        <v>59.6</v>
      </c>
      <c r="O131">
        <v>29.8</v>
      </c>
      <c r="P131">
        <v>51</v>
      </c>
      <c r="Q131" t="s">
        <v>621</v>
      </c>
      <c r="R131" t="s">
        <v>618</v>
      </c>
      <c r="S131" t="s">
        <v>622</v>
      </c>
      <c r="T131">
        <v>12070</v>
      </c>
      <c r="U131">
        <v>24.8</v>
      </c>
      <c r="V131">
        <v>1013</v>
      </c>
      <c r="W131">
        <v>11.1</v>
      </c>
      <c r="X131">
        <v>1508</v>
      </c>
      <c r="Y131">
        <v>27.1</v>
      </c>
      <c r="Z131">
        <v>1515</v>
      </c>
      <c r="AA131">
        <v>25.3</v>
      </c>
      <c r="AB131">
        <v>1324</v>
      </c>
      <c r="AC131">
        <v>72.5</v>
      </c>
      <c r="AD131">
        <v>370</v>
      </c>
      <c r="AE131" t="s">
        <v>57</v>
      </c>
      <c r="AF131">
        <v>0</v>
      </c>
      <c r="AG131" t="s">
        <v>623</v>
      </c>
      <c r="AH131">
        <v>131293</v>
      </c>
      <c r="AI131" t="s">
        <v>620</v>
      </c>
      <c r="AJ131" s="1">
        <v>24303</v>
      </c>
      <c r="AK131">
        <v>5.9</v>
      </c>
      <c r="AL131" s="2">
        <v>0.1</v>
      </c>
      <c r="AM131" s="3">
        <v>2.4868055555555557</v>
      </c>
      <c r="AN131" t="s">
        <v>618</v>
      </c>
      <c r="AO131" t="s">
        <v>624</v>
      </c>
      <c r="AP131" t="b">
        <v>0</v>
      </c>
      <c r="AQ131" t="b">
        <v>0</v>
      </c>
      <c r="AR131" t="b">
        <v>0</v>
      </c>
    </row>
    <row r="132" spans="1:45" x14ac:dyDescent="0.3">
      <c r="A132">
        <v>164</v>
      </c>
      <c r="B132">
        <v>171</v>
      </c>
      <c r="C132" t="s">
        <v>625</v>
      </c>
      <c r="D132" t="s">
        <v>626</v>
      </c>
      <c r="E132" t="s">
        <v>627</v>
      </c>
      <c r="F132" t="s">
        <v>77</v>
      </c>
      <c r="G132">
        <v>68.099999999999994</v>
      </c>
      <c r="H132">
        <v>68.099999999999994</v>
      </c>
      <c r="I132">
        <v>28.7</v>
      </c>
      <c r="J132">
        <v>7.9</v>
      </c>
      <c r="K132">
        <v>10.5</v>
      </c>
      <c r="L132">
        <v>34.299999999999997</v>
      </c>
      <c r="M132">
        <v>91.8</v>
      </c>
      <c r="N132">
        <v>96.3</v>
      </c>
      <c r="O132">
        <v>88.9</v>
      </c>
      <c r="P132">
        <v>50.9</v>
      </c>
      <c r="Q132" t="s">
        <v>572</v>
      </c>
      <c r="R132" t="s">
        <v>625</v>
      </c>
      <c r="S132" t="s">
        <v>574</v>
      </c>
      <c r="T132">
        <v>5250</v>
      </c>
      <c r="U132">
        <v>40.299999999999997</v>
      </c>
      <c r="V132">
        <v>299</v>
      </c>
      <c r="W132">
        <v>29.4</v>
      </c>
      <c r="X132">
        <v>485</v>
      </c>
      <c r="Y132">
        <v>58.8</v>
      </c>
      <c r="Z132">
        <v>803</v>
      </c>
      <c r="AA132">
        <v>52.1</v>
      </c>
      <c r="AB132">
        <v>768</v>
      </c>
      <c r="AC132">
        <v>46.7</v>
      </c>
      <c r="AD132">
        <v>901</v>
      </c>
      <c r="AE132" t="s">
        <v>57</v>
      </c>
      <c r="AF132">
        <v>0</v>
      </c>
      <c r="AG132" t="s">
        <v>628</v>
      </c>
      <c r="AH132">
        <v>971</v>
      </c>
      <c r="AI132" t="s">
        <v>627</v>
      </c>
      <c r="AJ132" s="1">
        <v>59814</v>
      </c>
      <c r="AK132">
        <v>11.8</v>
      </c>
      <c r="AL132" s="2">
        <v>0.1</v>
      </c>
      <c r="AM132" s="3">
        <v>2.6097222222222221</v>
      </c>
      <c r="AN132" t="s">
        <v>625</v>
      </c>
      <c r="AO132" t="s">
        <v>629</v>
      </c>
      <c r="AP132" t="b">
        <v>0</v>
      </c>
      <c r="AQ132" t="b">
        <v>0</v>
      </c>
      <c r="AR132" t="b">
        <v>0</v>
      </c>
    </row>
    <row r="133" spans="1:45" x14ac:dyDescent="0.3">
      <c r="A133">
        <v>165</v>
      </c>
      <c r="B133">
        <v>176</v>
      </c>
      <c r="C133" t="s">
        <v>630</v>
      </c>
      <c r="D133" t="s">
        <v>54</v>
      </c>
      <c r="E133" t="s">
        <v>55</v>
      </c>
      <c r="F133" t="s">
        <v>56</v>
      </c>
      <c r="G133">
        <v>46.1</v>
      </c>
      <c r="H133">
        <v>39.4</v>
      </c>
      <c r="I133">
        <v>37.799999999999997</v>
      </c>
      <c r="J133">
        <v>36.6</v>
      </c>
      <c r="K133">
        <v>88.3</v>
      </c>
      <c r="L133">
        <v>85.4</v>
      </c>
      <c r="M133">
        <v>97.2</v>
      </c>
      <c r="N133">
        <v>36.299999999999997</v>
      </c>
      <c r="O133">
        <v>95.6</v>
      </c>
      <c r="P133">
        <v>50.7</v>
      </c>
      <c r="Q133">
        <f>168</f>
        <v>168</v>
      </c>
      <c r="R133" t="s">
        <v>630</v>
      </c>
      <c r="S133">
        <v>60.8</v>
      </c>
      <c r="T133">
        <v>1710</v>
      </c>
      <c r="U133">
        <v>38.4</v>
      </c>
      <c r="V133">
        <v>350</v>
      </c>
      <c r="W133">
        <v>40.200000000000003</v>
      </c>
      <c r="X133">
        <v>247</v>
      </c>
      <c r="Y133">
        <v>93.4</v>
      </c>
      <c r="Z133">
        <v>67</v>
      </c>
      <c r="AA133">
        <v>64.900000000000006</v>
      </c>
      <c r="AB133">
        <v>550</v>
      </c>
      <c r="AC133">
        <v>96.4</v>
      </c>
      <c r="AD133">
        <v>27</v>
      </c>
      <c r="AE133" t="s">
        <v>57</v>
      </c>
      <c r="AF133">
        <v>11</v>
      </c>
      <c r="AG133" t="s">
        <v>631</v>
      </c>
      <c r="AH133">
        <v>646</v>
      </c>
      <c r="AI133" t="s">
        <v>55</v>
      </c>
      <c r="AJ133" s="1">
        <v>25955</v>
      </c>
      <c r="AK133">
        <v>14.2</v>
      </c>
      <c r="AL133" s="2">
        <v>0.32</v>
      </c>
      <c r="AM133" s="3">
        <v>2.2819444444444446</v>
      </c>
      <c r="AN133" t="s">
        <v>630</v>
      </c>
      <c r="AO133" t="s">
        <v>632</v>
      </c>
      <c r="AP133" t="b">
        <v>0</v>
      </c>
      <c r="AQ133" t="b">
        <v>0</v>
      </c>
      <c r="AR133" t="b">
        <v>0</v>
      </c>
      <c r="AS133" t="s">
        <v>633</v>
      </c>
    </row>
    <row r="134" spans="1:45" x14ac:dyDescent="0.3">
      <c r="A134">
        <v>167</v>
      </c>
      <c r="B134">
        <v>164</v>
      </c>
      <c r="C134" t="s">
        <v>634</v>
      </c>
      <c r="D134" t="s">
        <v>175</v>
      </c>
      <c r="E134" t="s">
        <v>176</v>
      </c>
      <c r="F134" t="s">
        <v>56</v>
      </c>
      <c r="G134">
        <v>58.3</v>
      </c>
      <c r="H134">
        <v>66.5</v>
      </c>
      <c r="I134">
        <v>78.400000000000006</v>
      </c>
      <c r="J134">
        <v>27.9</v>
      </c>
      <c r="K134">
        <v>18.7</v>
      </c>
      <c r="L134">
        <v>14.1</v>
      </c>
      <c r="M134">
        <v>69.900000000000006</v>
      </c>
      <c r="N134">
        <v>15.1</v>
      </c>
      <c r="O134">
        <v>77.599999999999994</v>
      </c>
      <c r="P134">
        <v>50.3</v>
      </c>
      <c r="Q134" t="s">
        <v>614</v>
      </c>
      <c r="R134" t="s">
        <v>634</v>
      </c>
      <c r="S134" t="s">
        <v>615</v>
      </c>
      <c r="T134">
        <v>3220</v>
      </c>
      <c r="U134">
        <v>55</v>
      </c>
      <c r="V134">
        <v>100</v>
      </c>
      <c r="W134">
        <v>47.5</v>
      </c>
      <c r="X134">
        <v>161</v>
      </c>
      <c r="Y134">
        <v>51.2</v>
      </c>
      <c r="Z134">
        <v>989</v>
      </c>
      <c r="AA134">
        <v>98.4</v>
      </c>
      <c r="AB134">
        <v>82</v>
      </c>
      <c r="AC134">
        <v>48.8</v>
      </c>
      <c r="AD134">
        <v>835</v>
      </c>
      <c r="AE134" t="s">
        <v>57</v>
      </c>
      <c r="AF134">
        <v>0</v>
      </c>
      <c r="AG134" t="s">
        <v>635</v>
      </c>
      <c r="AH134">
        <v>131724</v>
      </c>
      <c r="AI134" t="s">
        <v>176</v>
      </c>
      <c r="AJ134" s="1">
        <v>18220</v>
      </c>
      <c r="AK134">
        <v>7.7</v>
      </c>
      <c r="AL134" s="2">
        <v>0.13</v>
      </c>
      <c r="AM134" t="s">
        <v>427</v>
      </c>
      <c r="AN134" t="s">
        <v>634</v>
      </c>
      <c r="AO134" t="s">
        <v>636</v>
      </c>
      <c r="AP134" t="b">
        <v>0</v>
      </c>
      <c r="AQ134" t="b">
        <v>0</v>
      </c>
      <c r="AR134" t="b">
        <v>0</v>
      </c>
    </row>
    <row r="135" spans="1:45" x14ac:dyDescent="0.3">
      <c r="A135">
        <v>167</v>
      </c>
      <c r="B135">
        <v>162</v>
      </c>
      <c r="C135" t="s">
        <v>637</v>
      </c>
      <c r="D135" t="s">
        <v>87</v>
      </c>
      <c r="E135" t="s">
        <v>88</v>
      </c>
      <c r="F135" t="s">
        <v>56</v>
      </c>
      <c r="G135">
        <v>29.5</v>
      </c>
      <c r="H135">
        <v>24.5</v>
      </c>
      <c r="I135">
        <v>17</v>
      </c>
      <c r="J135">
        <v>94.6</v>
      </c>
      <c r="K135">
        <v>91.8</v>
      </c>
      <c r="L135">
        <v>56.3</v>
      </c>
      <c r="M135">
        <v>89</v>
      </c>
      <c r="N135">
        <v>18.3</v>
      </c>
      <c r="O135">
        <v>93.9</v>
      </c>
      <c r="P135">
        <v>50.3</v>
      </c>
      <c r="Q135" t="s">
        <v>292</v>
      </c>
      <c r="R135" t="s">
        <v>637</v>
      </c>
      <c r="S135" t="s">
        <v>293</v>
      </c>
      <c r="T135">
        <v>2500</v>
      </c>
      <c r="U135">
        <v>36.799999999999997</v>
      </c>
      <c r="V135">
        <v>398</v>
      </c>
      <c r="W135">
        <v>39.299999999999997</v>
      </c>
      <c r="X135">
        <v>258</v>
      </c>
      <c r="Y135">
        <v>84</v>
      </c>
      <c r="Z135">
        <v>239</v>
      </c>
      <c r="AA135">
        <v>91.4</v>
      </c>
      <c r="AB135">
        <v>153</v>
      </c>
      <c r="AC135">
        <v>91.7</v>
      </c>
      <c r="AD135">
        <v>104</v>
      </c>
      <c r="AE135" t="s">
        <v>57</v>
      </c>
      <c r="AF135">
        <v>0</v>
      </c>
      <c r="AG135" t="s">
        <v>638</v>
      </c>
      <c r="AH135">
        <v>740</v>
      </c>
      <c r="AI135" t="s">
        <v>88</v>
      </c>
      <c r="AJ135" s="1">
        <v>16328</v>
      </c>
      <c r="AK135">
        <v>26.1</v>
      </c>
      <c r="AL135" s="2">
        <v>0.22</v>
      </c>
      <c r="AM135" s="3">
        <v>2.3229166666666665</v>
      </c>
      <c r="AN135" t="s">
        <v>639</v>
      </c>
      <c r="AO135" t="s">
        <v>640</v>
      </c>
      <c r="AP135" t="b">
        <v>0</v>
      </c>
      <c r="AQ135" t="b">
        <v>0</v>
      </c>
      <c r="AR135" t="b">
        <v>0</v>
      </c>
    </row>
    <row r="136" spans="1:45" x14ac:dyDescent="0.3">
      <c r="A136">
        <v>169</v>
      </c>
      <c r="B136">
        <v>159</v>
      </c>
      <c r="C136" t="s">
        <v>641</v>
      </c>
      <c r="D136" t="s">
        <v>273</v>
      </c>
      <c r="E136" t="s">
        <v>274</v>
      </c>
      <c r="F136" t="s">
        <v>77</v>
      </c>
      <c r="G136">
        <v>53.2</v>
      </c>
      <c r="H136">
        <v>24.8</v>
      </c>
      <c r="I136">
        <v>78.5</v>
      </c>
      <c r="J136">
        <v>21.5</v>
      </c>
      <c r="K136">
        <v>79.7</v>
      </c>
      <c r="L136">
        <v>21.4</v>
      </c>
      <c r="M136">
        <v>99.5</v>
      </c>
      <c r="N136">
        <v>72.900000000000006</v>
      </c>
      <c r="O136">
        <v>98.3</v>
      </c>
      <c r="P136">
        <v>50.1</v>
      </c>
      <c r="Q136">
        <v>115</v>
      </c>
      <c r="R136" t="s">
        <v>641</v>
      </c>
      <c r="S136">
        <v>65.599999999999994</v>
      </c>
      <c r="T136">
        <v>1150</v>
      </c>
      <c r="U136">
        <v>47.2</v>
      </c>
      <c r="V136">
        <v>173</v>
      </c>
      <c r="W136">
        <v>59.3</v>
      </c>
      <c r="X136">
        <v>88</v>
      </c>
      <c r="Y136">
        <v>85.3</v>
      </c>
      <c r="Z136">
        <v>201</v>
      </c>
      <c r="AA136">
        <v>99.7</v>
      </c>
      <c r="AB136">
        <v>46</v>
      </c>
      <c r="AC136">
        <v>65.7</v>
      </c>
      <c r="AD136">
        <v>467</v>
      </c>
      <c r="AE136" t="s">
        <v>57</v>
      </c>
      <c r="AF136">
        <v>0</v>
      </c>
      <c r="AG136" t="s">
        <v>642</v>
      </c>
      <c r="AH136">
        <v>570</v>
      </c>
      <c r="AI136" t="s">
        <v>274</v>
      </c>
      <c r="AJ136" s="1">
        <v>41487</v>
      </c>
      <c r="AK136">
        <v>37.6</v>
      </c>
      <c r="AL136" s="2">
        <v>0.12</v>
      </c>
      <c r="AM136" s="3">
        <v>2.4048611111111109</v>
      </c>
      <c r="AN136" t="s">
        <v>641</v>
      </c>
      <c r="AO136" t="s">
        <v>643</v>
      </c>
      <c r="AP136" t="b">
        <v>0</v>
      </c>
      <c r="AQ136" t="b">
        <v>0</v>
      </c>
      <c r="AR136" t="b">
        <v>0</v>
      </c>
    </row>
    <row r="137" spans="1:45" x14ac:dyDescent="0.3">
      <c r="A137">
        <v>169</v>
      </c>
      <c r="B137">
        <v>153</v>
      </c>
      <c r="C137" t="s">
        <v>644</v>
      </c>
      <c r="D137" t="s">
        <v>54</v>
      </c>
      <c r="E137" t="s">
        <v>55</v>
      </c>
      <c r="F137" t="s">
        <v>56</v>
      </c>
      <c r="G137">
        <v>42.9</v>
      </c>
      <c r="H137">
        <v>45</v>
      </c>
      <c r="I137">
        <v>30.2</v>
      </c>
      <c r="J137">
        <v>42.5</v>
      </c>
      <c r="K137">
        <v>91</v>
      </c>
      <c r="L137">
        <v>72.2</v>
      </c>
      <c r="M137">
        <v>95.1</v>
      </c>
      <c r="N137">
        <v>30.1</v>
      </c>
      <c r="O137">
        <v>97.1</v>
      </c>
      <c r="P137">
        <v>50.1</v>
      </c>
      <c r="Q137">
        <f>177</f>
        <v>177</v>
      </c>
      <c r="R137" t="s">
        <v>645</v>
      </c>
      <c r="S137">
        <v>60.2</v>
      </c>
      <c r="T137">
        <v>1780</v>
      </c>
      <c r="U137">
        <v>33.5</v>
      </c>
      <c r="V137">
        <v>518</v>
      </c>
      <c r="W137">
        <v>42.5</v>
      </c>
      <c r="X137">
        <v>221</v>
      </c>
      <c r="Y137">
        <v>95.7</v>
      </c>
      <c r="Z137">
        <v>40</v>
      </c>
      <c r="AA137">
        <v>52.2</v>
      </c>
      <c r="AB137">
        <v>764</v>
      </c>
      <c r="AC137">
        <v>95.5</v>
      </c>
      <c r="AD137">
        <v>39</v>
      </c>
      <c r="AE137" t="s">
        <v>57</v>
      </c>
      <c r="AF137">
        <v>0</v>
      </c>
      <c r="AG137" t="s">
        <v>646</v>
      </c>
      <c r="AH137">
        <v>620</v>
      </c>
      <c r="AI137" t="s">
        <v>55</v>
      </c>
      <c r="AJ137" s="1">
        <v>27190</v>
      </c>
      <c r="AK137">
        <v>16.600000000000001</v>
      </c>
      <c r="AL137" s="2">
        <v>0.28000000000000003</v>
      </c>
      <c r="AM137" s="3">
        <v>2.2409722222222221</v>
      </c>
      <c r="AN137" t="s">
        <v>645</v>
      </c>
      <c r="AO137" t="s">
        <v>647</v>
      </c>
      <c r="AP137" t="b">
        <v>0</v>
      </c>
      <c r="AQ137" t="b">
        <v>0</v>
      </c>
      <c r="AR137" t="b">
        <v>0</v>
      </c>
    </row>
    <row r="138" spans="1:45" x14ac:dyDescent="0.3">
      <c r="A138">
        <v>171</v>
      </c>
      <c r="B138">
        <v>173</v>
      </c>
      <c r="C138" t="s">
        <v>648</v>
      </c>
      <c r="D138" t="s">
        <v>649</v>
      </c>
      <c r="E138" t="s">
        <v>650</v>
      </c>
      <c r="F138" t="s">
        <v>56</v>
      </c>
      <c r="G138">
        <v>45.2</v>
      </c>
      <c r="H138">
        <v>51.8</v>
      </c>
      <c r="I138">
        <v>13.8</v>
      </c>
      <c r="J138">
        <v>46.8</v>
      </c>
      <c r="K138">
        <v>56.5</v>
      </c>
      <c r="L138">
        <v>19.2</v>
      </c>
      <c r="M138">
        <v>97.3</v>
      </c>
      <c r="N138">
        <v>95.8</v>
      </c>
      <c r="O138">
        <v>95.6</v>
      </c>
      <c r="P138">
        <v>50</v>
      </c>
      <c r="Q138">
        <v>167</v>
      </c>
      <c r="R138" t="s">
        <v>648</v>
      </c>
      <c r="S138">
        <v>60.9</v>
      </c>
      <c r="T138">
        <v>1670</v>
      </c>
      <c r="U138">
        <v>38.700000000000003</v>
      </c>
      <c r="V138">
        <v>344</v>
      </c>
      <c r="W138">
        <v>47</v>
      </c>
      <c r="X138">
        <v>168</v>
      </c>
      <c r="Y138">
        <v>88.3</v>
      </c>
      <c r="Z138">
        <v>149</v>
      </c>
      <c r="AA138">
        <v>78.2</v>
      </c>
      <c r="AB138">
        <v>287</v>
      </c>
      <c r="AC138">
        <v>82.9</v>
      </c>
      <c r="AD138">
        <v>210</v>
      </c>
      <c r="AE138" t="s">
        <v>57</v>
      </c>
      <c r="AF138">
        <v>11</v>
      </c>
      <c r="AG138" t="s">
        <v>651</v>
      </c>
      <c r="AH138">
        <v>567</v>
      </c>
      <c r="AI138" t="s">
        <v>650</v>
      </c>
      <c r="AJ138" s="1">
        <v>21961</v>
      </c>
      <c r="AK138">
        <v>13.6</v>
      </c>
      <c r="AL138" s="2">
        <v>0.13</v>
      </c>
      <c r="AM138" s="3">
        <v>2.2819444444444446</v>
      </c>
      <c r="AN138" t="s">
        <v>652</v>
      </c>
      <c r="AO138" t="s">
        <v>653</v>
      </c>
      <c r="AP138" t="b">
        <v>0</v>
      </c>
      <c r="AQ138" t="b">
        <v>0</v>
      </c>
      <c r="AR138" t="b">
        <v>0</v>
      </c>
    </row>
    <row r="139" spans="1:45" x14ac:dyDescent="0.3">
      <c r="A139">
        <v>172</v>
      </c>
      <c r="B139">
        <v>169</v>
      </c>
      <c r="C139" t="s">
        <v>654</v>
      </c>
      <c r="D139" t="s">
        <v>54</v>
      </c>
      <c r="E139" t="s">
        <v>55</v>
      </c>
      <c r="F139" t="s">
        <v>56</v>
      </c>
      <c r="G139">
        <v>32.200000000000003</v>
      </c>
      <c r="H139">
        <v>41.7</v>
      </c>
      <c r="I139">
        <v>13.1</v>
      </c>
      <c r="J139">
        <v>65.7</v>
      </c>
      <c r="K139">
        <v>86.2</v>
      </c>
      <c r="L139">
        <v>78.599999999999994</v>
      </c>
      <c r="M139">
        <v>91.7</v>
      </c>
      <c r="N139">
        <v>47.8</v>
      </c>
      <c r="O139">
        <v>94</v>
      </c>
      <c r="P139">
        <v>49.9</v>
      </c>
      <c r="Q139" t="s">
        <v>292</v>
      </c>
      <c r="R139" t="s">
        <v>654</v>
      </c>
      <c r="S139" t="s">
        <v>293</v>
      </c>
      <c r="T139">
        <v>2350</v>
      </c>
      <c r="U139">
        <v>37.5</v>
      </c>
      <c r="V139">
        <v>379</v>
      </c>
      <c r="W139">
        <v>40.6</v>
      </c>
      <c r="X139">
        <v>242</v>
      </c>
      <c r="Y139">
        <v>84.1</v>
      </c>
      <c r="Z139">
        <v>233</v>
      </c>
      <c r="AA139">
        <v>70.8</v>
      </c>
      <c r="AB139">
        <v>412</v>
      </c>
      <c r="AC139">
        <v>95.5</v>
      </c>
      <c r="AD139">
        <v>41</v>
      </c>
      <c r="AE139" t="s">
        <v>57</v>
      </c>
      <c r="AF139">
        <v>0</v>
      </c>
      <c r="AG139" t="s">
        <v>655</v>
      </c>
      <c r="AH139">
        <v>628</v>
      </c>
      <c r="AI139" t="s">
        <v>55</v>
      </c>
      <c r="AJ139" s="1">
        <v>15945</v>
      </c>
      <c r="AK139">
        <v>16.600000000000001</v>
      </c>
      <c r="AL139" s="2">
        <v>0.31</v>
      </c>
      <c r="AM139" s="3">
        <v>2.3229166666666665</v>
      </c>
      <c r="AN139" t="s">
        <v>654</v>
      </c>
      <c r="AO139" t="s">
        <v>656</v>
      </c>
      <c r="AP139" t="b">
        <v>0</v>
      </c>
      <c r="AQ139" t="b">
        <v>0</v>
      </c>
      <c r="AR139" t="b">
        <v>0</v>
      </c>
      <c r="AS139" t="s">
        <v>657</v>
      </c>
    </row>
    <row r="140" spans="1:45" x14ac:dyDescent="0.3">
      <c r="A140">
        <v>173</v>
      </c>
      <c r="B140">
        <v>196</v>
      </c>
      <c r="C140" t="s">
        <v>658</v>
      </c>
      <c r="D140" t="s">
        <v>175</v>
      </c>
      <c r="E140" t="s">
        <v>176</v>
      </c>
      <c r="F140" t="s">
        <v>56</v>
      </c>
      <c r="G140">
        <v>59</v>
      </c>
      <c r="H140">
        <v>63.3</v>
      </c>
      <c r="I140">
        <v>76.2</v>
      </c>
      <c r="J140">
        <v>26</v>
      </c>
      <c r="K140">
        <v>18.7</v>
      </c>
      <c r="L140">
        <v>12.1</v>
      </c>
      <c r="M140">
        <v>77.7</v>
      </c>
      <c r="N140">
        <v>15.5</v>
      </c>
      <c r="O140">
        <v>78.099999999999994</v>
      </c>
      <c r="P140">
        <v>49.8</v>
      </c>
      <c r="Q140" t="s">
        <v>659</v>
      </c>
      <c r="R140" t="s">
        <v>658</v>
      </c>
      <c r="S140" t="s">
        <v>660</v>
      </c>
      <c r="T140">
        <v>3710</v>
      </c>
      <c r="U140">
        <v>51.2</v>
      </c>
      <c r="V140">
        <v>123</v>
      </c>
      <c r="W140">
        <v>44</v>
      </c>
      <c r="X140">
        <v>201</v>
      </c>
      <c r="Y140">
        <v>47.4</v>
      </c>
      <c r="Z140">
        <v>1071</v>
      </c>
      <c r="AA140">
        <v>95.1</v>
      </c>
      <c r="AB140">
        <v>117</v>
      </c>
      <c r="AC140">
        <v>47.5</v>
      </c>
      <c r="AD140">
        <v>876</v>
      </c>
      <c r="AE140" t="s">
        <v>57</v>
      </c>
      <c r="AF140">
        <v>0</v>
      </c>
      <c r="AG140" t="s">
        <v>661</v>
      </c>
      <c r="AH140">
        <v>747</v>
      </c>
      <c r="AI140" t="s">
        <v>176</v>
      </c>
      <c r="AJ140" s="1">
        <v>17659</v>
      </c>
      <c r="AK140">
        <v>8.1999999999999993</v>
      </c>
      <c r="AL140" s="2">
        <v>0.1</v>
      </c>
      <c r="AM140" t="s">
        <v>410</v>
      </c>
      <c r="AN140" t="s">
        <v>658</v>
      </c>
      <c r="AO140" t="s">
        <v>662</v>
      </c>
      <c r="AP140" t="b">
        <v>0</v>
      </c>
      <c r="AQ140" t="b">
        <v>0</v>
      </c>
      <c r="AR140" t="b">
        <v>0</v>
      </c>
    </row>
    <row r="141" spans="1:45" x14ac:dyDescent="0.3">
      <c r="A141">
        <v>174</v>
      </c>
      <c r="B141">
        <v>183</v>
      </c>
      <c r="C141" t="s">
        <v>663</v>
      </c>
      <c r="D141" t="s">
        <v>87</v>
      </c>
      <c r="E141" t="s">
        <v>88</v>
      </c>
      <c r="F141" t="s">
        <v>56</v>
      </c>
      <c r="G141">
        <v>33.1</v>
      </c>
      <c r="H141">
        <v>27.7</v>
      </c>
      <c r="I141">
        <v>15.7</v>
      </c>
      <c r="J141">
        <v>84.7</v>
      </c>
      <c r="K141">
        <v>100</v>
      </c>
      <c r="L141">
        <v>24.3</v>
      </c>
      <c r="M141">
        <v>94.2</v>
      </c>
      <c r="N141">
        <v>31</v>
      </c>
      <c r="O141">
        <v>90.7</v>
      </c>
      <c r="P141">
        <v>49.3</v>
      </c>
      <c r="Q141" t="s">
        <v>292</v>
      </c>
      <c r="R141" t="s">
        <v>663</v>
      </c>
      <c r="S141" t="s">
        <v>293</v>
      </c>
      <c r="T141">
        <v>2090</v>
      </c>
      <c r="U141">
        <v>30.2</v>
      </c>
      <c r="V141">
        <v>677</v>
      </c>
      <c r="W141">
        <v>36.5</v>
      </c>
      <c r="X141">
        <v>315</v>
      </c>
      <c r="Y141">
        <v>87.5</v>
      </c>
      <c r="Z141">
        <v>162</v>
      </c>
      <c r="AA141">
        <v>78.8</v>
      </c>
      <c r="AB141">
        <v>279</v>
      </c>
      <c r="AC141">
        <v>94.7</v>
      </c>
      <c r="AD141">
        <v>53</v>
      </c>
      <c r="AE141" t="s">
        <v>57</v>
      </c>
      <c r="AF141">
        <v>6</v>
      </c>
      <c r="AG141" t="s">
        <v>664</v>
      </c>
      <c r="AH141">
        <v>821</v>
      </c>
      <c r="AI141" t="s">
        <v>88</v>
      </c>
      <c r="AJ141" s="1">
        <v>29283</v>
      </c>
      <c r="AK141">
        <v>20.8</v>
      </c>
      <c r="AL141" s="2">
        <v>0.28999999999999998</v>
      </c>
      <c r="AM141" s="3">
        <v>2.2409722222222221</v>
      </c>
      <c r="AN141" t="s">
        <v>665</v>
      </c>
      <c r="AO141" t="s">
        <v>666</v>
      </c>
      <c r="AP141" t="b">
        <v>0</v>
      </c>
      <c r="AQ141" t="b">
        <v>0</v>
      </c>
      <c r="AR141" t="b">
        <v>0</v>
      </c>
    </row>
    <row r="142" spans="1:45" x14ac:dyDescent="0.3">
      <c r="A142">
        <v>176</v>
      </c>
      <c r="B142">
        <v>189</v>
      </c>
      <c r="C142" t="s">
        <v>667</v>
      </c>
      <c r="D142" t="s">
        <v>139</v>
      </c>
      <c r="E142" t="s">
        <v>140</v>
      </c>
      <c r="F142" t="s">
        <v>56</v>
      </c>
      <c r="G142">
        <v>39.5</v>
      </c>
      <c r="H142">
        <v>34.200000000000003</v>
      </c>
      <c r="I142">
        <v>63.8</v>
      </c>
      <c r="J142">
        <v>35.6</v>
      </c>
      <c r="K142">
        <v>96.2</v>
      </c>
      <c r="L142">
        <v>56.7</v>
      </c>
      <c r="M142">
        <v>82.6</v>
      </c>
      <c r="N142">
        <v>49.9</v>
      </c>
      <c r="O142">
        <v>91.9</v>
      </c>
      <c r="P142">
        <v>49</v>
      </c>
      <c r="Q142">
        <f>103</f>
        <v>103</v>
      </c>
      <c r="R142" t="s">
        <v>667</v>
      </c>
      <c r="S142">
        <v>66.3</v>
      </c>
      <c r="T142">
        <v>1040</v>
      </c>
      <c r="U142">
        <v>43.8</v>
      </c>
      <c r="V142">
        <v>225</v>
      </c>
      <c r="W142">
        <v>51.3</v>
      </c>
      <c r="X142">
        <v>133</v>
      </c>
      <c r="Y142">
        <v>93</v>
      </c>
      <c r="Z142">
        <v>76</v>
      </c>
      <c r="AA142">
        <v>100</v>
      </c>
      <c r="AB142">
        <v>17</v>
      </c>
      <c r="AC142">
        <v>87.3</v>
      </c>
      <c r="AD142">
        <v>162</v>
      </c>
      <c r="AE142" t="s">
        <v>57</v>
      </c>
      <c r="AF142">
        <v>11</v>
      </c>
      <c r="AG142" t="s">
        <v>668</v>
      </c>
      <c r="AH142">
        <v>529</v>
      </c>
      <c r="AI142" t="s">
        <v>140</v>
      </c>
      <c r="AJ142" s="1">
        <v>28254</v>
      </c>
      <c r="AK142">
        <v>30.9</v>
      </c>
      <c r="AL142" s="2">
        <v>0.22</v>
      </c>
      <c r="AM142" s="3">
        <v>2.3638888888888889</v>
      </c>
      <c r="AN142" t="s">
        <v>667</v>
      </c>
      <c r="AO142" t="s">
        <v>669</v>
      </c>
      <c r="AP142" t="b">
        <v>0</v>
      </c>
      <c r="AQ142" t="b">
        <v>0</v>
      </c>
      <c r="AR142" t="b">
        <v>0</v>
      </c>
    </row>
    <row r="143" spans="1:45" x14ac:dyDescent="0.3">
      <c r="A143">
        <v>176</v>
      </c>
      <c r="B143">
        <v>154</v>
      </c>
      <c r="C143" t="s">
        <v>670</v>
      </c>
      <c r="D143" t="s">
        <v>45</v>
      </c>
      <c r="E143" t="s">
        <v>46</v>
      </c>
      <c r="F143" t="s">
        <v>56</v>
      </c>
      <c r="G143">
        <v>36.299999999999997</v>
      </c>
      <c r="H143">
        <v>12</v>
      </c>
      <c r="I143">
        <v>99.7</v>
      </c>
      <c r="J143">
        <v>47.7</v>
      </c>
      <c r="K143">
        <v>69.5</v>
      </c>
      <c r="L143">
        <v>72.400000000000006</v>
      </c>
      <c r="M143">
        <v>83.6</v>
      </c>
      <c r="N143">
        <v>31.9</v>
      </c>
      <c r="O143">
        <v>86.7</v>
      </c>
      <c r="P143">
        <v>49</v>
      </c>
      <c r="Q143">
        <v>68</v>
      </c>
      <c r="R143" t="s">
        <v>671</v>
      </c>
      <c r="S143">
        <v>72.3</v>
      </c>
      <c r="T143">
        <v>680</v>
      </c>
      <c r="U143">
        <v>60.8</v>
      </c>
      <c r="V143">
        <v>71</v>
      </c>
      <c r="W143">
        <v>57.2</v>
      </c>
      <c r="X143">
        <v>101</v>
      </c>
      <c r="Y143">
        <v>97.5</v>
      </c>
      <c r="Z143">
        <v>24</v>
      </c>
      <c r="AA143">
        <v>77.8</v>
      </c>
      <c r="AB143">
        <v>291</v>
      </c>
      <c r="AC143">
        <v>72.7</v>
      </c>
      <c r="AD143">
        <v>367</v>
      </c>
      <c r="AE143" t="s">
        <v>49</v>
      </c>
      <c r="AF143">
        <v>0</v>
      </c>
      <c r="AG143" t="s">
        <v>672</v>
      </c>
      <c r="AH143">
        <v>505</v>
      </c>
      <c r="AI143" t="s">
        <v>46</v>
      </c>
      <c r="AJ143" s="1">
        <v>13825</v>
      </c>
      <c r="AK143">
        <v>7.3</v>
      </c>
      <c r="AL143" s="2">
        <v>0.22</v>
      </c>
      <c r="AM143" s="3">
        <v>2.2000000000000002</v>
      </c>
      <c r="AN143" t="s">
        <v>671</v>
      </c>
      <c r="AO143" t="s">
        <v>673</v>
      </c>
      <c r="AP143" t="b">
        <v>0</v>
      </c>
      <c r="AQ143" t="b">
        <v>0</v>
      </c>
      <c r="AR143" t="b">
        <v>0</v>
      </c>
    </row>
    <row r="144" spans="1:45" x14ac:dyDescent="0.3">
      <c r="A144">
        <v>181</v>
      </c>
      <c r="B144">
        <v>188</v>
      </c>
      <c r="C144" t="s">
        <v>674</v>
      </c>
      <c r="D144" t="s">
        <v>541</v>
      </c>
      <c r="E144" t="s">
        <v>542</v>
      </c>
      <c r="F144" t="s">
        <v>56</v>
      </c>
      <c r="G144">
        <v>48.6</v>
      </c>
      <c r="H144">
        <v>59.6</v>
      </c>
      <c r="I144">
        <v>46</v>
      </c>
      <c r="J144">
        <v>40.5</v>
      </c>
      <c r="K144">
        <v>14.1</v>
      </c>
      <c r="L144">
        <v>86.9</v>
      </c>
      <c r="M144">
        <v>82.9</v>
      </c>
      <c r="N144">
        <v>18</v>
      </c>
      <c r="O144">
        <v>52.1</v>
      </c>
      <c r="P144">
        <v>48.5</v>
      </c>
      <c r="Q144" t="s">
        <v>372</v>
      </c>
      <c r="R144" t="s">
        <v>675</v>
      </c>
      <c r="S144" t="s">
        <v>374</v>
      </c>
      <c r="T144">
        <v>4880</v>
      </c>
      <c r="U144">
        <v>44.1</v>
      </c>
      <c r="V144">
        <v>218</v>
      </c>
      <c r="W144">
        <v>29.3</v>
      </c>
      <c r="X144">
        <v>490</v>
      </c>
      <c r="Y144">
        <v>65</v>
      </c>
      <c r="Z144">
        <v>674</v>
      </c>
      <c r="AA144">
        <v>55</v>
      </c>
      <c r="AB144">
        <v>724</v>
      </c>
      <c r="AC144">
        <v>71.5</v>
      </c>
      <c r="AD144">
        <v>385</v>
      </c>
      <c r="AE144" t="s">
        <v>57</v>
      </c>
      <c r="AF144">
        <v>0</v>
      </c>
      <c r="AG144" t="s">
        <v>676</v>
      </c>
      <c r="AH144">
        <v>1042</v>
      </c>
      <c r="AI144" t="s">
        <v>542</v>
      </c>
      <c r="AJ144" s="1">
        <v>20863</v>
      </c>
      <c r="AK144">
        <v>12.7</v>
      </c>
      <c r="AL144" s="2">
        <v>0.26</v>
      </c>
      <c r="AM144" s="3">
        <v>1.9131944444444444</v>
      </c>
      <c r="AN144" t="s">
        <v>675</v>
      </c>
      <c r="AO144" t="s">
        <v>677</v>
      </c>
      <c r="AP144" t="b">
        <v>0</v>
      </c>
      <c r="AQ144" t="b">
        <v>0</v>
      </c>
      <c r="AR144" t="b">
        <v>0</v>
      </c>
    </row>
    <row r="145" spans="1:45" x14ac:dyDescent="0.3">
      <c r="A145">
        <v>181</v>
      </c>
      <c r="B145">
        <v>199</v>
      </c>
      <c r="C145" t="s">
        <v>678</v>
      </c>
      <c r="D145" t="s">
        <v>175</v>
      </c>
      <c r="E145" t="s">
        <v>176</v>
      </c>
      <c r="F145" t="s">
        <v>77</v>
      </c>
      <c r="G145">
        <v>60.7</v>
      </c>
      <c r="H145">
        <v>96.1</v>
      </c>
      <c r="I145">
        <v>23.5</v>
      </c>
      <c r="J145">
        <v>3.8</v>
      </c>
      <c r="K145">
        <v>27.9</v>
      </c>
      <c r="L145">
        <v>28</v>
      </c>
      <c r="M145">
        <v>66.400000000000006</v>
      </c>
      <c r="N145">
        <v>83.7</v>
      </c>
      <c r="O145">
        <v>56.1</v>
      </c>
      <c r="P145">
        <v>48.5</v>
      </c>
      <c r="Q145" t="s">
        <v>679</v>
      </c>
      <c r="R145" t="s">
        <v>678</v>
      </c>
      <c r="S145" t="s">
        <v>680</v>
      </c>
      <c r="T145">
        <v>9920</v>
      </c>
      <c r="U145">
        <v>33.700000000000003</v>
      </c>
      <c r="V145">
        <v>512</v>
      </c>
      <c r="W145">
        <v>26.2</v>
      </c>
      <c r="X145">
        <v>565</v>
      </c>
      <c r="Y145">
        <v>43.1</v>
      </c>
      <c r="Z145">
        <v>1165</v>
      </c>
      <c r="AA145">
        <v>56.7</v>
      </c>
      <c r="AB145">
        <v>706</v>
      </c>
      <c r="AC145">
        <v>54.8</v>
      </c>
      <c r="AD145">
        <v>680</v>
      </c>
      <c r="AE145" t="s">
        <v>57</v>
      </c>
      <c r="AF145">
        <v>6</v>
      </c>
      <c r="AG145" t="s">
        <v>681</v>
      </c>
      <c r="AH145">
        <v>862</v>
      </c>
      <c r="AI145" t="s">
        <v>176</v>
      </c>
      <c r="AJ145" s="1">
        <v>46013</v>
      </c>
      <c r="AK145">
        <v>14.3</v>
      </c>
      <c r="AL145" s="2">
        <v>0.13</v>
      </c>
      <c r="AM145" t="s">
        <v>455</v>
      </c>
      <c r="AN145" t="s">
        <v>682</v>
      </c>
      <c r="AO145" t="s">
        <v>683</v>
      </c>
      <c r="AP145" t="b">
        <v>0</v>
      </c>
      <c r="AQ145" t="b">
        <v>0</v>
      </c>
      <c r="AR145" t="b">
        <v>0</v>
      </c>
    </row>
    <row r="146" spans="1:45" x14ac:dyDescent="0.3">
      <c r="A146">
        <v>184</v>
      </c>
      <c r="B146">
        <v>167</v>
      </c>
      <c r="C146" t="s">
        <v>684</v>
      </c>
      <c r="D146" t="s">
        <v>54</v>
      </c>
      <c r="E146" t="s">
        <v>55</v>
      </c>
      <c r="F146" t="s">
        <v>56</v>
      </c>
      <c r="G146">
        <v>42.9</v>
      </c>
      <c r="H146">
        <v>30.1</v>
      </c>
      <c r="I146">
        <v>43</v>
      </c>
      <c r="J146">
        <v>40.1</v>
      </c>
      <c r="K146">
        <v>87.8</v>
      </c>
      <c r="L146">
        <v>75.599999999999994</v>
      </c>
      <c r="M146">
        <v>92.5</v>
      </c>
      <c r="N146">
        <v>23.5</v>
      </c>
      <c r="O146">
        <v>97.4</v>
      </c>
      <c r="P146">
        <v>48.2</v>
      </c>
      <c r="Q146" t="s">
        <v>659</v>
      </c>
      <c r="R146" t="s">
        <v>685</v>
      </c>
      <c r="S146" t="s">
        <v>660</v>
      </c>
      <c r="T146">
        <v>4000</v>
      </c>
      <c r="U146">
        <v>28.2</v>
      </c>
      <c r="V146">
        <v>800</v>
      </c>
      <c r="W146">
        <v>32.4</v>
      </c>
      <c r="X146">
        <v>410</v>
      </c>
      <c r="Y146">
        <v>78.3</v>
      </c>
      <c r="Z146">
        <v>360</v>
      </c>
      <c r="AA146">
        <v>69.599999999999994</v>
      </c>
      <c r="AB146">
        <v>442</v>
      </c>
      <c r="AC146">
        <v>79.5</v>
      </c>
      <c r="AD146">
        <v>261</v>
      </c>
      <c r="AE146" t="s">
        <v>57</v>
      </c>
      <c r="AF146">
        <v>6</v>
      </c>
      <c r="AG146" t="s">
        <v>686</v>
      </c>
      <c r="AH146">
        <v>765</v>
      </c>
      <c r="AI146" t="s">
        <v>140</v>
      </c>
      <c r="AJ146" s="1">
        <v>44038</v>
      </c>
      <c r="AK146">
        <v>29.1</v>
      </c>
      <c r="AL146" s="2">
        <v>0.28000000000000003</v>
      </c>
      <c r="AM146" s="3">
        <v>2.3229166666666665</v>
      </c>
      <c r="AN146" t="s">
        <v>685</v>
      </c>
      <c r="AO146" t="s">
        <v>687</v>
      </c>
      <c r="AP146" t="b">
        <v>0</v>
      </c>
      <c r="AQ146" t="b">
        <v>0</v>
      </c>
      <c r="AR146" t="b">
        <v>0</v>
      </c>
    </row>
    <row r="147" spans="1:45" x14ac:dyDescent="0.3">
      <c r="A147">
        <v>186</v>
      </c>
      <c r="B147">
        <v>154</v>
      </c>
      <c r="C147" t="s">
        <v>688</v>
      </c>
      <c r="D147" t="s">
        <v>54</v>
      </c>
      <c r="E147" t="s">
        <v>55</v>
      </c>
      <c r="F147" t="s">
        <v>56</v>
      </c>
      <c r="G147">
        <v>46.8</v>
      </c>
      <c r="H147">
        <v>43.2</v>
      </c>
      <c r="I147">
        <v>36.1</v>
      </c>
      <c r="J147">
        <v>30</v>
      </c>
      <c r="K147">
        <v>82.8</v>
      </c>
      <c r="L147">
        <v>67.7</v>
      </c>
      <c r="M147">
        <v>92.3</v>
      </c>
      <c r="N147">
        <v>18.899999999999999</v>
      </c>
      <c r="O147">
        <v>96</v>
      </c>
      <c r="P147">
        <v>47.6</v>
      </c>
      <c r="Q147">
        <v>190</v>
      </c>
      <c r="R147" t="s">
        <v>688</v>
      </c>
      <c r="S147">
        <v>59.3</v>
      </c>
      <c r="T147">
        <v>1900</v>
      </c>
      <c r="U147">
        <v>35.5</v>
      </c>
      <c r="V147">
        <v>444</v>
      </c>
      <c r="W147">
        <v>39.6</v>
      </c>
      <c r="X147">
        <v>252</v>
      </c>
      <c r="Y147">
        <v>91.9</v>
      </c>
      <c r="Z147">
        <v>94</v>
      </c>
      <c r="AA147">
        <v>70.400000000000006</v>
      </c>
      <c r="AB147">
        <v>419</v>
      </c>
      <c r="AC147">
        <v>92.5</v>
      </c>
      <c r="AD147">
        <v>92</v>
      </c>
      <c r="AE147" t="s">
        <v>57</v>
      </c>
      <c r="AF147">
        <v>11</v>
      </c>
      <c r="AG147" t="s">
        <v>689</v>
      </c>
      <c r="AH147">
        <v>671</v>
      </c>
      <c r="AI147" t="s">
        <v>55</v>
      </c>
      <c r="AJ147" s="1">
        <v>28815</v>
      </c>
      <c r="AK147">
        <v>15</v>
      </c>
      <c r="AL147" s="2">
        <v>0.27</v>
      </c>
      <c r="AM147" s="3">
        <v>2.4458333333333333</v>
      </c>
      <c r="AN147" t="s">
        <v>688</v>
      </c>
      <c r="AO147" t="s">
        <v>690</v>
      </c>
      <c r="AP147" t="b">
        <v>0</v>
      </c>
      <c r="AQ147" t="b">
        <v>0</v>
      </c>
      <c r="AR147" t="b">
        <v>0</v>
      </c>
      <c r="AS147" t="s">
        <v>691</v>
      </c>
    </row>
    <row r="148" spans="1:45" x14ac:dyDescent="0.3">
      <c r="A148">
        <v>187</v>
      </c>
      <c r="B148">
        <v>184</v>
      </c>
      <c r="C148" t="s">
        <v>692</v>
      </c>
      <c r="D148" t="s">
        <v>217</v>
      </c>
      <c r="E148" t="s">
        <v>218</v>
      </c>
      <c r="F148" t="s">
        <v>388</v>
      </c>
      <c r="G148">
        <v>29.8</v>
      </c>
      <c r="H148">
        <v>16.3</v>
      </c>
      <c r="I148">
        <v>97</v>
      </c>
      <c r="J148">
        <v>93.5</v>
      </c>
      <c r="K148">
        <v>59</v>
      </c>
      <c r="L148">
        <v>11.7</v>
      </c>
      <c r="M148">
        <v>70.3</v>
      </c>
      <c r="N148">
        <v>14</v>
      </c>
      <c r="O148">
        <v>6.6</v>
      </c>
      <c r="P148">
        <v>47.5</v>
      </c>
      <c r="Q148" t="s">
        <v>486</v>
      </c>
      <c r="R148" t="s">
        <v>692</v>
      </c>
      <c r="S148" t="s">
        <v>487</v>
      </c>
      <c r="T148">
        <v>2590</v>
      </c>
      <c r="U148">
        <v>58.5</v>
      </c>
      <c r="V148">
        <v>84</v>
      </c>
      <c r="W148">
        <v>46.8</v>
      </c>
      <c r="X148">
        <v>170</v>
      </c>
      <c r="Y148">
        <v>53.9</v>
      </c>
      <c r="Z148">
        <v>917</v>
      </c>
      <c r="AA148">
        <v>78.5</v>
      </c>
      <c r="AB148">
        <v>282</v>
      </c>
      <c r="AC148">
        <v>68</v>
      </c>
      <c r="AD148">
        <v>431</v>
      </c>
      <c r="AE148" t="s">
        <v>57</v>
      </c>
      <c r="AF148">
        <v>0</v>
      </c>
      <c r="AG148" t="s">
        <v>693</v>
      </c>
      <c r="AH148">
        <v>605</v>
      </c>
      <c r="AI148" t="s">
        <v>218</v>
      </c>
      <c r="AJ148" s="1">
        <v>2024</v>
      </c>
      <c r="AK148">
        <v>7.9</v>
      </c>
      <c r="AL148" s="2">
        <v>0.11</v>
      </c>
      <c r="AM148" s="3">
        <v>1.83125</v>
      </c>
      <c r="AN148" t="s">
        <v>692</v>
      </c>
      <c r="AO148" t="s">
        <v>694</v>
      </c>
      <c r="AP148" t="b">
        <v>0</v>
      </c>
      <c r="AQ148" t="b">
        <v>0</v>
      </c>
      <c r="AR148" t="b">
        <v>0</v>
      </c>
    </row>
    <row r="149" spans="1:45" x14ac:dyDescent="0.3">
      <c r="A149">
        <v>188</v>
      </c>
      <c r="B149">
        <v>214</v>
      </c>
      <c r="C149" t="s">
        <v>695</v>
      </c>
      <c r="D149" t="s">
        <v>175</v>
      </c>
      <c r="E149" t="s">
        <v>176</v>
      </c>
      <c r="F149" t="s">
        <v>77</v>
      </c>
      <c r="G149">
        <v>53</v>
      </c>
      <c r="H149">
        <v>91.6</v>
      </c>
      <c r="I149">
        <v>57.2</v>
      </c>
      <c r="J149">
        <v>5.0999999999999996</v>
      </c>
      <c r="K149">
        <v>9.4</v>
      </c>
      <c r="L149">
        <v>10.199999999999999</v>
      </c>
      <c r="M149">
        <v>57.5</v>
      </c>
      <c r="N149">
        <v>91.4</v>
      </c>
      <c r="O149">
        <v>59</v>
      </c>
      <c r="P149">
        <v>47.4</v>
      </c>
      <c r="Q149" t="s">
        <v>696</v>
      </c>
      <c r="R149" t="s">
        <v>695</v>
      </c>
      <c r="S149" t="s">
        <v>697</v>
      </c>
      <c r="T149">
        <v>6900</v>
      </c>
      <c r="U149">
        <v>36.9</v>
      </c>
      <c r="V149">
        <v>391</v>
      </c>
      <c r="W149">
        <v>27</v>
      </c>
      <c r="X149">
        <v>541</v>
      </c>
      <c r="Y149">
        <v>49.2</v>
      </c>
      <c r="Z149">
        <v>1034</v>
      </c>
      <c r="AA149">
        <v>73.3</v>
      </c>
      <c r="AB149">
        <v>360</v>
      </c>
      <c r="AC149">
        <v>38.4</v>
      </c>
      <c r="AD149">
        <v>1172</v>
      </c>
      <c r="AE149" t="s">
        <v>57</v>
      </c>
      <c r="AF149">
        <v>0</v>
      </c>
      <c r="AG149" t="s">
        <v>698</v>
      </c>
      <c r="AH149">
        <v>785</v>
      </c>
      <c r="AI149" t="s">
        <v>176</v>
      </c>
      <c r="AJ149" s="1">
        <v>33577</v>
      </c>
      <c r="AK149">
        <v>10.199999999999999</v>
      </c>
      <c r="AL149" s="2">
        <v>0.08</v>
      </c>
      <c r="AM149" t="s">
        <v>699</v>
      </c>
      <c r="AN149" t="s">
        <v>695</v>
      </c>
      <c r="AO149" t="s">
        <v>700</v>
      </c>
      <c r="AP149" t="b">
        <v>0</v>
      </c>
      <c r="AQ149" t="b">
        <v>0</v>
      </c>
      <c r="AR149" t="b">
        <v>0</v>
      </c>
    </row>
    <row r="150" spans="1:45" x14ac:dyDescent="0.3">
      <c r="A150">
        <v>189</v>
      </c>
      <c r="B150">
        <v>203</v>
      </c>
      <c r="C150" t="s">
        <v>701</v>
      </c>
      <c r="D150" t="s">
        <v>139</v>
      </c>
      <c r="E150" t="s">
        <v>140</v>
      </c>
      <c r="F150" t="s">
        <v>77</v>
      </c>
      <c r="G150">
        <v>26.2</v>
      </c>
      <c r="H150">
        <v>23.3</v>
      </c>
      <c r="I150">
        <v>3.5</v>
      </c>
      <c r="J150">
        <v>81.3</v>
      </c>
      <c r="K150">
        <v>91.7</v>
      </c>
      <c r="L150">
        <v>77.8</v>
      </c>
      <c r="M150">
        <v>93</v>
      </c>
      <c r="N150">
        <v>39.799999999999997</v>
      </c>
      <c r="O150">
        <v>92.9</v>
      </c>
      <c r="P150">
        <v>47.3</v>
      </c>
      <c r="Q150">
        <f>177</f>
        <v>177</v>
      </c>
      <c r="R150" t="s">
        <v>701</v>
      </c>
      <c r="S150">
        <v>60.2</v>
      </c>
      <c r="T150">
        <v>1790</v>
      </c>
      <c r="U150">
        <v>39.6</v>
      </c>
      <c r="V150">
        <v>320</v>
      </c>
      <c r="W150">
        <v>46.5</v>
      </c>
      <c r="X150">
        <v>174</v>
      </c>
      <c r="Y150">
        <v>84.4</v>
      </c>
      <c r="Z150">
        <v>226</v>
      </c>
      <c r="AA150">
        <v>80.2</v>
      </c>
      <c r="AB150">
        <v>261</v>
      </c>
      <c r="AC150">
        <v>86.9</v>
      </c>
      <c r="AD150">
        <v>169</v>
      </c>
      <c r="AE150" t="s">
        <v>57</v>
      </c>
      <c r="AF150">
        <v>11</v>
      </c>
      <c r="AG150" t="s">
        <v>702</v>
      </c>
      <c r="AH150">
        <v>649</v>
      </c>
      <c r="AI150" t="s">
        <v>140</v>
      </c>
      <c r="AJ150" s="1">
        <v>38366</v>
      </c>
      <c r="AK150">
        <v>27.2</v>
      </c>
      <c r="AL150" s="2">
        <v>0.26</v>
      </c>
      <c r="AM150" s="3">
        <v>2.4868055555555557</v>
      </c>
      <c r="AN150" t="s">
        <v>701</v>
      </c>
      <c r="AO150" t="s">
        <v>703</v>
      </c>
      <c r="AP150" t="b">
        <v>0</v>
      </c>
      <c r="AQ150" t="b">
        <v>0</v>
      </c>
      <c r="AR150" t="b">
        <v>0</v>
      </c>
      <c r="AS150" t="s">
        <v>704</v>
      </c>
    </row>
    <row r="151" spans="1:45" x14ac:dyDescent="0.3">
      <c r="A151">
        <v>194</v>
      </c>
      <c r="B151">
        <v>194</v>
      </c>
      <c r="C151" t="s">
        <v>705</v>
      </c>
      <c r="D151" t="s">
        <v>95</v>
      </c>
      <c r="E151" t="s">
        <v>96</v>
      </c>
      <c r="F151" t="s">
        <v>77</v>
      </c>
      <c r="G151">
        <v>39.200000000000003</v>
      </c>
      <c r="H151">
        <v>40.5</v>
      </c>
      <c r="I151">
        <v>14</v>
      </c>
      <c r="J151">
        <v>91.9</v>
      </c>
      <c r="K151">
        <v>39.200000000000003</v>
      </c>
      <c r="L151">
        <v>4.9000000000000004</v>
      </c>
      <c r="M151">
        <v>78.2</v>
      </c>
      <c r="N151">
        <v>46.5</v>
      </c>
      <c r="O151">
        <v>22.2</v>
      </c>
      <c r="P151">
        <v>46.7</v>
      </c>
      <c r="Q151">
        <f>164</f>
        <v>164</v>
      </c>
      <c r="R151" t="s">
        <v>705</v>
      </c>
      <c r="S151">
        <v>61.3</v>
      </c>
      <c r="T151">
        <v>1650</v>
      </c>
      <c r="U151">
        <v>50.9</v>
      </c>
      <c r="V151">
        <v>126</v>
      </c>
      <c r="W151">
        <v>45</v>
      </c>
      <c r="X151">
        <v>189</v>
      </c>
      <c r="Y151">
        <v>88.5</v>
      </c>
      <c r="Z151">
        <v>146</v>
      </c>
      <c r="AA151">
        <v>90.6</v>
      </c>
      <c r="AB151">
        <v>160</v>
      </c>
      <c r="AC151">
        <v>41</v>
      </c>
      <c r="AD151">
        <v>1082</v>
      </c>
      <c r="AE151" t="s">
        <v>57</v>
      </c>
      <c r="AF151">
        <v>0</v>
      </c>
      <c r="AG151" t="s">
        <v>706</v>
      </c>
      <c r="AH151">
        <v>863</v>
      </c>
      <c r="AI151" t="s">
        <v>98</v>
      </c>
      <c r="AJ151" s="1">
        <v>56066</v>
      </c>
      <c r="AK151">
        <v>15</v>
      </c>
      <c r="AL151" s="2">
        <v>0.05</v>
      </c>
      <c r="AN151" t="s">
        <v>705</v>
      </c>
      <c r="AO151" t="s">
        <v>707</v>
      </c>
      <c r="AP151" t="b">
        <v>0</v>
      </c>
      <c r="AQ151" t="b">
        <v>0</v>
      </c>
      <c r="AR151" t="b">
        <v>0</v>
      </c>
    </row>
    <row r="152" spans="1:45" x14ac:dyDescent="0.3">
      <c r="A152">
        <v>194</v>
      </c>
      <c r="B152">
        <v>187</v>
      </c>
      <c r="C152" t="s">
        <v>708</v>
      </c>
      <c r="D152" t="s">
        <v>314</v>
      </c>
      <c r="E152" t="s">
        <v>315</v>
      </c>
      <c r="F152" t="s">
        <v>56</v>
      </c>
      <c r="G152">
        <v>35.4</v>
      </c>
      <c r="H152">
        <v>18.3</v>
      </c>
      <c r="I152">
        <v>60.9</v>
      </c>
      <c r="J152">
        <v>33.6</v>
      </c>
      <c r="K152">
        <v>90</v>
      </c>
      <c r="L152">
        <v>78.2</v>
      </c>
      <c r="M152">
        <v>94.2</v>
      </c>
      <c r="N152">
        <v>63.1</v>
      </c>
      <c r="O152">
        <v>92.8</v>
      </c>
      <c r="P152">
        <v>46.7</v>
      </c>
      <c r="Q152" t="s">
        <v>292</v>
      </c>
      <c r="R152" t="s">
        <v>708</v>
      </c>
      <c r="S152" t="s">
        <v>293</v>
      </c>
      <c r="T152">
        <v>2130</v>
      </c>
      <c r="U152">
        <v>34</v>
      </c>
      <c r="V152">
        <v>491</v>
      </c>
      <c r="W152">
        <v>43.4</v>
      </c>
      <c r="X152">
        <v>205</v>
      </c>
      <c r="Y152">
        <v>90.2</v>
      </c>
      <c r="Z152">
        <v>123</v>
      </c>
      <c r="AA152">
        <v>75.400000000000006</v>
      </c>
      <c r="AB152">
        <v>328</v>
      </c>
      <c r="AC152">
        <v>65.7</v>
      </c>
      <c r="AD152">
        <v>469</v>
      </c>
      <c r="AE152" t="s">
        <v>57</v>
      </c>
      <c r="AF152">
        <v>0</v>
      </c>
      <c r="AG152" t="s">
        <v>709</v>
      </c>
      <c r="AH152">
        <v>676</v>
      </c>
      <c r="AI152" t="s">
        <v>315</v>
      </c>
      <c r="AJ152" s="1">
        <v>21698</v>
      </c>
      <c r="AK152">
        <v>11.9</v>
      </c>
      <c r="AL152" s="2">
        <v>0.13</v>
      </c>
      <c r="AN152" t="s">
        <v>708</v>
      </c>
      <c r="AO152" t="s">
        <v>710</v>
      </c>
      <c r="AP152" t="b">
        <v>0</v>
      </c>
      <c r="AQ152" t="b">
        <v>0</v>
      </c>
      <c r="AR152" t="b">
        <v>0</v>
      </c>
    </row>
    <row r="153" spans="1:45" x14ac:dyDescent="0.3">
      <c r="A153">
        <v>271</v>
      </c>
      <c r="B153">
        <v>272</v>
      </c>
      <c r="C153" t="s">
        <v>711</v>
      </c>
      <c r="D153" t="s">
        <v>95</v>
      </c>
      <c r="E153" t="s">
        <v>96</v>
      </c>
      <c r="F153" t="s">
        <v>56</v>
      </c>
      <c r="G153">
        <v>33.9</v>
      </c>
      <c r="H153">
        <v>10.3</v>
      </c>
      <c r="I153">
        <v>24.2</v>
      </c>
      <c r="J153">
        <v>92.6</v>
      </c>
      <c r="K153">
        <v>6.6</v>
      </c>
      <c r="L153">
        <v>21.3</v>
      </c>
      <c r="M153">
        <v>70.8</v>
      </c>
      <c r="N153">
        <v>10.5</v>
      </c>
      <c r="O153">
        <v>19.7</v>
      </c>
      <c r="P153">
        <v>38.5</v>
      </c>
      <c r="Q153">
        <f>177</f>
        <v>177</v>
      </c>
      <c r="R153" t="s">
        <v>712</v>
      </c>
      <c r="S153">
        <v>60.2</v>
      </c>
      <c r="T153">
        <v>1770</v>
      </c>
      <c r="U153">
        <v>57.7</v>
      </c>
      <c r="V153">
        <v>86</v>
      </c>
      <c r="W153">
        <v>45.8</v>
      </c>
      <c r="X153">
        <v>181</v>
      </c>
      <c r="Y153">
        <v>77.5</v>
      </c>
      <c r="Z153">
        <v>380</v>
      </c>
      <c r="AA153">
        <v>67.599999999999994</v>
      </c>
      <c r="AB153">
        <v>488</v>
      </c>
      <c r="AC153">
        <v>52.3</v>
      </c>
      <c r="AD153">
        <v>728</v>
      </c>
      <c r="AE153" t="s">
        <v>57</v>
      </c>
      <c r="AF153">
        <v>0</v>
      </c>
      <c r="AG153" t="s">
        <v>713</v>
      </c>
      <c r="AH153">
        <v>623625</v>
      </c>
      <c r="AI153" t="s">
        <v>98</v>
      </c>
      <c r="AJ153" s="1">
        <v>26439</v>
      </c>
      <c r="AK153">
        <v>14.4</v>
      </c>
      <c r="AL153" s="2">
        <v>0.09</v>
      </c>
      <c r="AN153" t="s">
        <v>712</v>
      </c>
      <c r="AO153" t="s">
        <v>714</v>
      </c>
      <c r="AP153" t="b">
        <v>0</v>
      </c>
      <c r="AQ153" t="b">
        <v>0</v>
      </c>
      <c r="AR153" t="b">
        <v>0</v>
      </c>
    </row>
    <row r="154" spans="1:45" x14ac:dyDescent="0.3">
      <c r="A154">
        <v>196</v>
      </c>
      <c r="B154">
        <v>166</v>
      </c>
      <c r="C154" t="s">
        <v>715</v>
      </c>
      <c r="D154" t="s">
        <v>45</v>
      </c>
      <c r="E154" t="s">
        <v>46</v>
      </c>
      <c r="F154" t="s">
        <v>56</v>
      </c>
      <c r="G154">
        <v>25.2</v>
      </c>
      <c r="H154">
        <v>19</v>
      </c>
      <c r="I154">
        <v>93.8</v>
      </c>
      <c r="J154">
        <v>78.400000000000006</v>
      </c>
      <c r="K154">
        <v>52.2</v>
      </c>
      <c r="L154">
        <v>33.9</v>
      </c>
      <c r="M154">
        <v>85.6</v>
      </c>
      <c r="N154">
        <v>22.8</v>
      </c>
      <c r="O154">
        <v>37</v>
      </c>
      <c r="P154">
        <v>46.6</v>
      </c>
      <c r="Q154">
        <f>106</f>
        <v>106</v>
      </c>
      <c r="R154" t="s">
        <v>715</v>
      </c>
      <c r="S154">
        <v>66.099999999999994</v>
      </c>
      <c r="T154">
        <v>1060</v>
      </c>
      <c r="U154">
        <v>53.1</v>
      </c>
      <c r="V154">
        <v>109</v>
      </c>
      <c r="W154">
        <v>45.7</v>
      </c>
      <c r="X154">
        <v>183</v>
      </c>
      <c r="Y154">
        <v>95.5</v>
      </c>
      <c r="Z154">
        <v>43</v>
      </c>
      <c r="AA154">
        <v>81.599999999999994</v>
      </c>
      <c r="AB154">
        <v>241</v>
      </c>
      <c r="AC154">
        <v>69.3</v>
      </c>
      <c r="AD154">
        <v>414</v>
      </c>
      <c r="AE154" t="s">
        <v>49</v>
      </c>
      <c r="AF154">
        <v>0</v>
      </c>
      <c r="AG154" t="s">
        <v>716</v>
      </c>
      <c r="AH154">
        <v>539</v>
      </c>
      <c r="AI154" t="s">
        <v>46</v>
      </c>
      <c r="AJ154" s="1">
        <v>13127</v>
      </c>
      <c r="AK154">
        <v>4</v>
      </c>
      <c r="AL154" s="2">
        <v>0.19</v>
      </c>
      <c r="AM154" s="3">
        <v>2.5687500000000001</v>
      </c>
      <c r="AN154" t="s">
        <v>715</v>
      </c>
      <c r="AO154" t="s">
        <v>717</v>
      </c>
      <c r="AP154" t="b">
        <v>0</v>
      </c>
      <c r="AQ154" t="b">
        <v>0</v>
      </c>
      <c r="AR154" t="b">
        <v>0</v>
      </c>
      <c r="AS154" t="s">
        <v>718</v>
      </c>
    </row>
    <row r="155" spans="1:45" x14ac:dyDescent="0.3">
      <c r="A155">
        <v>197</v>
      </c>
      <c r="B155">
        <v>233</v>
      </c>
      <c r="C155" t="s">
        <v>719</v>
      </c>
      <c r="D155" t="s">
        <v>87</v>
      </c>
      <c r="E155" t="s">
        <v>88</v>
      </c>
      <c r="F155" t="s">
        <v>77</v>
      </c>
      <c r="G155">
        <v>31.3</v>
      </c>
      <c r="H155">
        <v>23.9</v>
      </c>
      <c r="I155">
        <v>4.5999999999999996</v>
      </c>
      <c r="J155">
        <v>73.599999999999994</v>
      </c>
      <c r="K155">
        <v>96.4</v>
      </c>
      <c r="L155">
        <v>63.8</v>
      </c>
      <c r="M155">
        <v>82.7</v>
      </c>
      <c r="N155">
        <v>36.799999999999997</v>
      </c>
      <c r="O155">
        <v>93.7</v>
      </c>
      <c r="P155">
        <v>46.4</v>
      </c>
      <c r="Q155" t="s">
        <v>486</v>
      </c>
      <c r="R155" t="s">
        <v>719</v>
      </c>
      <c r="S155" t="s">
        <v>487</v>
      </c>
      <c r="T155">
        <v>2570</v>
      </c>
      <c r="U155">
        <v>28.3</v>
      </c>
      <c r="V155">
        <v>785</v>
      </c>
      <c r="W155">
        <v>34.6</v>
      </c>
      <c r="X155">
        <v>359</v>
      </c>
      <c r="Y155">
        <v>91.4</v>
      </c>
      <c r="Z155">
        <v>101</v>
      </c>
      <c r="AA155">
        <v>72.2</v>
      </c>
      <c r="AB155">
        <v>381</v>
      </c>
      <c r="AC155">
        <v>85.7</v>
      </c>
      <c r="AD155">
        <v>180</v>
      </c>
      <c r="AE155" t="s">
        <v>57</v>
      </c>
      <c r="AF155">
        <v>0</v>
      </c>
      <c r="AG155" t="s">
        <v>720</v>
      </c>
      <c r="AH155">
        <v>822</v>
      </c>
      <c r="AI155" t="s">
        <v>88</v>
      </c>
      <c r="AJ155" s="1">
        <v>40988</v>
      </c>
      <c r="AK155">
        <v>32.700000000000003</v>
      </c>
      <c r="AL155" s="2">
        <v>0.18</v>
      </c>
      <c r="AM155" s="3">
        <v>2.5277777777777777</v>
      </c>
      <c r="AN155" t="s">
        <v>719</v>
      </c>
      <c r="AO155" t="s">
        <v>721</v>
      </c>
      <c r="AP155" t="b">
        <v>0</v>
      </c>
      <c r="AQ155" t="b">
        <v>0</v>
      </c>
      <c r="AR155" t="b">
        <v>0</v>
      </c>
      <c r="AS155" t="s">
        <v>722</v>
      </c>
    </row>
    <row r="156" spans="1:45" x14ac:dyDescent="0.3">
      <c r="A156">
        <v>198</v>
      </c>
      <c r="B156">
        <v>182</v>
      </c>
      <c r="C156" t="s">
        <v>723</v>
      </c>
      <c r="D156" t="s">
        <v>139</v>
      </c>
      <c r="E156" t="s">
        <v>140</v>
      </c>
      <c r="F156" t="s">
        <v>77</v>
      </c>
      <c r="G156">
        <v>37.9</v>
      </c>
      <c r="H156">
        <v>44.5</v>
      </c>
      <c r="I156">
        <v>18.100000000000001</v>
      </c>
      <c r="J156">
        <v>40.299999999999997</v>
      </c>
      <c r="K156">
        <v>77.7</v>
      </c>
      <c r="L156">
        <v>66.2</v>
      </c>
      <c r="M156">
        <v>85.2</v>
      </c>
      <c r="N156">
        <v>53.3</v>
      </c>
      <c r="O156">
        <v>93.3</v>
      </c>
      <c r="P156">
        <v>46.3</v>
      </c>
      <c r="Q156" t="s">
        <v>292</v>
      </c>
      <c r="R156" t="s">
        <v>723</v>
      </c>
      <c r="S156" t="s">
        <v>293</v>
      </c>
      <c r="T156">
        <v>2070</v>
      </c>
      <c r="U156">
        <v>36.5</v>
      </c>
      <c r="V156">
        <v>409</v>
      </c>
      <c r="W156">
        <v>41.4</v>
      </c>
      <c r="X156">
        <v>229</v>
      </c>
      <c r="Y156">
        <v>81.7</v>
      </c>
      <c r="Z156">
        <v>288</v>
      </c>
      <c r="AA156">
        <v>88.8</v>
      </c>
      <c r="AB156">
        <v>175</v>
      </c>
      <c r="AC156">
        <v>85.2</v>
      </c>
      <c r="AD156">
        <v>186</v>
      </c>
      <c r="AE156" t="s">
        <v>57</v>
      </c>
      <c r="AF156">
        <v>0</v>
      </c>
      <c r="AG156" t="s">
        <v>724</v>
      </c>
      <c r="AH156">
        <v>693</v>
      </c>
      <c r="AI156" t="s">
        <v>140</v>
      </c>
      <c r="AJ156" s="1">
        <v>34012</v>
      </c>
      <c r="AK156">
        <v>18.8</v>
      </c>
      <c r="AL156" s="2">
        <v>0.24</v>
      </c>
      <c r="AM156" s="3">
        <v>2.2819444444444446</v>
      </c>
      <c r="AN156" t="s">
        <v>723</v>
      </c>
      <c r="AO156" t="s">
        <v>725</v>
      </c>
      <c r="AP156" t="b">
        <v>0</v>
      </c>
      <c r="AQ156" t="b">
        <v>0</v>
      </c>
      <c r="AR156" t="b">
        <v>0</v>
      </c>
      <c r="AS156" t="s">
        <v>726</v>
      </c>
    </row>
    <row r="157" spans="1:45" x14ac:dyDescent="0.3">
      <c r="A157">
        <v>200</v>
      </c>
      <c r="B157">
        <v>203</v>
      </c>
      <c r="C157" t="s">
        <v>727</v>
      </c>
      <c r="D157" t="s">
        <v>402</v>
      </c>
      <c r="E157" t="s">
        <v>403</v>
      </c>
      <c r="F157" t="s">
        <v>77</v>
      </c>
      <c r="G157">
        <v>39.4</v>
      </c>
      <c r="H157">
        <v>28.7</v>
      </c>
      <c r="I157">
        <v>54.3</v>
      </c>
      <c r="J157">
        <v>40</v>
      </c>
      <c r="K157">
        <v>99.4</v>
      </c>
      <c r="L157">
        <v>15</v>
      </c>
      <c r="M157">
        <v>95.1</v>
      </c>
      <c r="N157">
        <v>99</v>
      </c>
      <c r="O157">
        <v>33</v>
      </c>
      <c r="P157">
        <v>46.2</v>
      </c>
      <c r="Q157" t="s">
        <v>372</v>
      </c>
      <c r="R157" t="s">
        <v>727</v>
      </c>
      <c r="S157" t="s">
        <v>374</v>
      </c>
      <c r="T157">
        <v>4490</v>
      </c>
      <c r="U157">
        <v>31.4</v>
      </c>
      <c r="V157">
        <v>621</v>
      </c>
      <c r="W157">
        <v>19.899999999999999</v>
      </c>
      <c r="X157">
        <v>818</v>
      </c>
      <c r="Y157">
        <v>84.5</v>
      </c>
      <c r="Z157">
        <v>222</v>
      </c>
      <c r="AA157">
        <v>48.7</v>
      </c>
      <c r="AB157">
        <v>829</v>
      </c>
      <c r="AC157">
        <v>77.2</v>
      </c>
      <c r="AD157">
        <v>293</v>
      </c>
      <c r="AE157" t="s">
        <v>57</v>
      </c>
      <c r="AF157">
        <v>0</v>
      </c>
      <c r="AG157" t="s">
        <v>728</v>
      </c>
      <c r="AH157">
        <v>938</v>
      </c>
      <c r="AI157" t="s">
        <v>403</v>
      </c>
      <c r="AJ157" s="1">
        <v>50906</v>
      </c>
      <c r="AK157">
        <v>11.9</v>
      </c>
      <c r="AL157" s="2">
        <v>0.06</v>
      </c>
      <c r="AM157" s="3">
        <v>1.83125</v>
      </c>
      <c r="AN157" t="s">
        <v>727</v>
      </c>
      <c r="AO157" t="s">
        <v>729</v>
      </c>
      <c r="AP157" t="b">
        <v>0</v>
      </c>
      <c r="AQ157" t="b">
        <v>0</v>
      </c>
      <c r="AR157" t="b">
        <v>0</v>
      </c>
    </row>
    <row r="158" spans="1:45" x14ac:dyDescent="0.3">
      <c r="A158">
        <v>202</v>
      </c>
      <c r="B158">
        <v>230</v>
      </c>
      <c r="C158" t="s">
        <v>730</v>
      </c>
      <c r="D158" t="s">
        <v>731</v>
      </c>
      <c r="E158" t="s">
        <v>732</v>
      </c>
      <c r="F158" t="s">
        <v>388</v>
      </c>
      <c r="G158">
        <v>22.7</v>
      </c>
      <c r="H158">
        <v>21</v>
      </c>
      <c r="I158">
        <v>80</v>
      </c>
      <c r="J158">
        <v>60.7</v>
      </c>
      <c r="K158">
        <v>100</v>
      </c>
      <c r="L158">
        <v>78.900000000000006</v>
      </c>
      <c r="M158">
        <v>78.8</v>
      </c>
      <c r="N158">
        <v>9.3000000000000007</v>
      </c>
      <c r="O158">
        <v>61.6</v>
      </c>
      <c r="P158">
        <v>46.1</v>
      </c>
      <c r="Q158" t="s">
        <v>733</v>
      </c>
      <c r="R158" t="s">
        <v>734</v>
      </c>
      <c r="S158" t="s">
        <v>735</v>
      </c>
      <c r="T158">
        <v>10930</v>
      </c>
      <c r="U158">
        <v>21.9</v>
      </c>
      <c r="V158">
        <v>1238</v>
      </c>
      <c r="W158">
        <v>14.2</v>
      </c>
      <c r="X158">
        <v>1189</v>
      </c>
      <c r="Y158">
        <v>49</v>
      </c>
      <c r="Z158">
        <v>1039</v>
      </c>
      <c r="AA158">
        <v>20.8</v>
      </c>
      <c r="AB158">
        <v>1495</v>
      </c>
      <c r="AC158">
        <v>59.5</v>
      </c>
      <c r="AD158">
        <v>593</v>
      </c>
      <c r="AE158" t="s">
        <v>57</v>
      </c>
      <c r="AF158">
        <v>0</v>
      </c>
      <c r="AG158" t="s">
        <v>736</v>
      </c>
      <c r="AH158">
        <v>721620</v>
      </c>
      <c r="AI158" t="s">
        <v>737</v>
      </c>
      <c r="AJ158" s="1">
        <v>7055</v>
      </c>
      <c r="AK158">
        <v>43</v>
      </c>
      <c r="AL158" s="2">
        <v>0</v>
      </c>
      <c r="AM158" t="s">
        <v>738</v>
      </c>
      <c r="AN158" t="s">
        <v>734</v>
      </c>
      <c r="AO158" t="s">
        <v>739</v>
      </c>
      <c r="AP158" t="b">
        <v>0</v>
      </c>
      <c r="AQ158" t="b">
        <v>0</v>
      </c>
      <c r="AR158" t="b">
        <v>0</v>
      </c>
    </row>
    <row r="159" spans="1:45" x14ac:dyDescent="0.3">
      <c r="A159">
        <v>205</v>
      </c>
      <c r="B159">
        <v>192</v>
      </c>
      <c r="C159" t="s">
        <v>740</v>
      </c>
      <c r="D159" t="s">
        <v>217</v>
      </c>
      <c r="E159" t="s">
        <v>218</v>
      </c>
      <c r="F159" t="s">
        <v>388</v>
      </c>
      <c r="G159">
        <v>8.9</v>
      </c>
      <c r="H159">
        <v>58.5</v>
      </c>
      <c r="I159">
        <v>99</v>
      </c>
      <c r="J159">
        <v>62.6</v>
      </c>
      <c r="K159">
        <v>43.5</v>
      </c>
      <c r="L159">
        <v>96.5</v>
      </c>
      <c r="M159">
        <v>37.299999999999997</v>
      </c>
      <c r="N159">
        <v>59.5</v>
      </c>
      <c r="O159">
        <v>10.8</v>
      </c>
      <c r="P159">
        <v>45.8</v>
      </c>
      <c r="Q159" t="s">
        <v>372</v>
      </c>
      <c r="R159" t="s">
        <v>741</v>
      </c>
      <c r="S159" t="s">
        <v>374</v>
      </c>
      <c r="T159">
        <v>4260</v>
      </c>
      <c r="U159">
        <v>43.9</v>
      </c>
      <c r="V159">
        <v>222</v>
      </c>
      <c r="W159">
        <v>30.3</v>
      </c>
      <c r="X159">
        <v>461</v>
      </c>
      <c r="Y159">
        <v>55.7</v>
      </c>
      <c r="Z159">
        <v>867</v>
      </c>
      <c r="AA159">
        <v>87.2</v>
      </c>
      <c r="AB159">
        <v>185</v>
      </c>
      <c r="AC159">
        <v>82.7</v>
      </c>
      <c r="AD159">
        <v>211</v>
      </c>
      <c r="AE159" t="s">
        <v>57</v>
      </c>
      <c r="AF159">
        <v>0</v>
      </c>
      <c r="AG159" t="s">
        <v>742</v>
      </c>
      <c r="AH159">
        <v>131595</v>
      </c>
      <c r="AI159" t="s">
        <v>218</v>
      </c>
      <c r="AJ159" s="1">
        <v>1992</v>
      </c>
      <c r="AK159">
        <v>8.6999999999999993</v>
      </c>
      <c r="AL159" s="2">
        <v>0.39</v>
      </c>
      <c r="AM159" t="s">
        <v>234</v>
      </c>
      <c r="AN159" t="s">
        <v>741</v>
      </c>
      <c r="AO159" t="s">
        <v>743</v>
      </c>
      <c r="AP159" t="b">
        <v>0</v>
      </c>
      <c r="AQ159" t="b">
        <v>0</v>
      </c>
      <c r="AR159" t="b">
        <v>0</v>
      </c>
    </row>
    <row r="160" spans="1:45" x14ac:dyDescent="0.3">
      <c r="A160">
        <v>206</v>
      </c>
      <c r="B160">
        <v>202</v>
      </c>
      <c r="C160" t="s">
        <v>744</v>
      </c>
      <c r="D160" t="s">
        <v>54</v>
      </c>
      <c r="E160" t="s">
        <v>55</v>
      </c>
      <c r="F160" t="s">
        <v>56</v>
      </c>
      <c r="G160">
        <v>35.4</v>
      </c>
      <c r="H160">
        <v>33.6</v>
      </c>
      <c r="I160">
        <v>28.6</v>
      </c>
      <c r="J160">
        <v>40.6</v>
      </c>
      <c r="K160">
        <v>100</v>
      </c>
      <c r="L160">
        <v>98.2</v>
      </c>
      <c r="M160">
        <v>92.8</v>
      </c>
      <c r="N160">
        <v>9.9</v>
      </c>
      <c r="O160">
        <v>88.9</v>
      </c>
      <c r="P160">
        <v>45.7</v>
      </c>
      <c r="Q160" t="s">
        <v>292</v>
      </c>
      <c r="R160" t="s">
        <v>745</v>
      </c>
      <c r="S160" t="s">
        <v>293</v>
      </c>
      <c r="T160">
        <v>2340</v>
      </c>
      <c r="U160">
        <v>34</v>
      </c>
      <c r="V160">
        <v>494</v>
      </c>
      <c r="W160">
        <v>38</v>
      </c>
      <c r="X160">
        <v>291</v>
      </c>
      <c r="Y160">
        <v>88.7</v>
      </c>
      <c r="Z160">
        <v>143</v>
      </c>
      <c r="AA160">
        <v>65</v>
      </c>
      <c r="AB160">
        <v>547</v>
      </c>
      <c r="AC160">
        <v>98.4</v>
      </c>
      <c r="AD160">
        <v>5</v>
      </c>
      <c r="AE160" t="s">
        <v>57</v>
      </c>
      <c r="AF160">
        <v>11</v>
      </c>
      <c r="AG160" t="s">
        <v>746</v>
      </c>
      <c r="AH160">
        <v>730</v>
      </c>
      <c r="AI160" t="s">
        <v>55</v>
      </c>
      <c r="AJ160" s="1">
        <v>20895</v>
      </c>
      <c r="AK160">
        <v>17.2</v>
      </c>
      <c r="AL160" s="2">
        <v>0.41</v>
      </c>
      <c r="AM160" s="3">
        <v>2.4048611111111109</v>
      </c>
      <c r="AN160" t="s">
        <v>747</v>
      </c>
      <c r="AO160" t="s">
        <v>748</v>
      </c>
      <c r="AP160" t="b">
        <v>0</v>
      </c>
      <c r="AQ160" t="b">
        <v>0</v>
      </c>
      <c r="AR160" t="b">
        <v>0</v>
      </c>
    </row>
    <row r="161" spans="1:45" x14ac:dyDescent="0.3">
      <c r="A161">
        <v>209</v>
      </c>
      <c r="B161">
        <v>215</v>
      </c>
      <c r="C161" t="s">
        <v>749</v>
      </c>
      <c r="D161" t="s">
        <v>750</v>
      </c>
      <c r="E161" t="s">
        <v>751</v>
      </c>
      <c r="F161" t="s">
        <v>56</v>
      </c>
      <c r="G161">
        <v>32</v>
      </c>
      <c r="H161">
        <v>18.600000000000001</v>
      </c>
      <c r="I161">
        <v>4.2</v>
      </c>
      <c r="J161">
        <v>99.4</v>
      </c>
      <c r="K161">
        <v>39.700000000000003</v>
      </c>
      <c r="L161">
        <v>7</v>
      </c>
      <c r="M161">
        <v>77.900000000000006</v>
      </c>
      <c r="N161">
        <v>88.4</v>
      </c>
      <c r="O161">
        <v>46.2</v>
      </c>
      <c r="P161">
        <v>45.2</v>
      </c>
      <c r="Q161" t="s">
        <v>292</v>
      </c>
      <c r="R161" t="s">
        <v>749</v>
      </c>
      <c r="S161" t="s">
        <v>293</v>
      </c>
      <c r="T161">
        <v>2430</v>
      </c>
      <c r="U161">
        <v>40.700000000000003</v>
      </c>
      <c r="V161">
        <v>288</v>
      </c>
      <c r="W161">
        <v>49.7</v>
      </c>
      <c r="X161">
        <v>142</v>
      </c>
      <c r="Y161">
        <v>83</v>
      </c>
      <c r="Z161">
        <v>261</v>
      </c>
      <c r="AA161">
        <v>76.2</v>
      </c>
      <c r="AB161">
        <v>314</v>
      </c>
      <c r="AC161">
        <v>52.9</v>
      </c>
      <c r="AD161">
        <v>719</v>
      </c>
      <c r="AE161" t="s">
        <v>57</v>
      </c>
      <c r="AF161">
        <v>0</v>
      </c>
      <c r="AG161" t="s">
        <v>752</v>
      </c>
      <c r="AH161">
        <v>630</v>
      </c>
      <c r="AI161" t="s">
        <v>751</v>
      </c>
      <c r="AJ161" s="1">
        <v>24995</v>
      </c>
      <c r="AK161">
        <v>24.2</v>
      </c>
      <c r="AL161" s="2">
        <v>0.05</v>
      </c>
      <c r="AM161" s="3">
        <v>2.4048611111111109</v>
      </c>
      <c r="AN161" t="s">
        <v>749</v>
      </c>
      <c r="AO161" t="s">
        <v>753</v>
      </c>
      <c r="AP161" t="b">
        <v>0</v>
      </c>
      <c r="AQ161" t="b">
        <v>0</v>
      </c>
      <c r="AR161" t="b">
        <v>0</v>
      </c>
    </row>
    <row r="162" spans="1:45" x14ac:dyDescent="0.3">
      <c r="A162">
        <v>210</v>
      </c>
      <c r="B162">
        <v>233</v>
      </c>
      <c r="C162" t="s">
        <v>754</v>
      </c>
      <c r="D162" t="s">
        <v>297</v>
      </c>
      <c r="E162" t="s">
        <v>298</v>
      </c>
      <c r="F162" t="s">
        <v>47</v>
      </c>
      <c r="G162">
        <v>54.8</v>
      </c>
      <c r="H162">
        <v>71.2</v>
      </c>
      <c r="I162">
        <v>28</v>
      </c>
      <c r="J162">
        <v>49.6</v>
      </c>
      <c r="K162">
        <v>9.5</v>
      </c>
      <c r="L162">
        <v>11.1</v>
      </c>
      <c r="M162">
        <v>45</v>
      </c>
      <c r="N162">
        <v>16.3</v>
      </c>
      <c r="O162">
        <v>32.1</v>
      </c>
      <c r="P162">
        <v>45.1</v>
      </c>
      <c r="Q162" t="s">
        <v>372</v>
      </c>
      <c r="R162" t="s">
        <v>754</v>
      </c>
      <c r="S162" t="s">
        <v>374</v>
      </c>
      <c r="T162">
        <v>4600</v>
      </c>
      <c r="U162">
        <v>38.9</v>
      </c>
      <c r="V162">
        <v>340</v>
      </c>
      <c r="W162">
        <v>42.3</v>
      </c>
      <c r="X162">
        <v>223</v>
      </c>
      <c r="Y162">
        <v>58.4</v>
      </c>
      <c r="Z162">
        <v>813</v>
      </c>
      <c r="AA162">
        <v>99.5</v>
      </c>
      <c r="AB162">
        <v>61</v>
      </c>
      <c r="AC162">
        <v>46.2</v>
      </c>
      <c r="AD162">
        <v>922</v>
      </c>
      <c r="AE162" t="s">
        <v>57</v>
      </c>
      <c r="AF162">
        <v>0</v>
      </c>
      <c r="AG162" t="s">
        <v>755</v>
      </c>
      <c r="AH162">
        <v>680</v>
      </c>
      <c r="AI162" t="s">
        <v>298</v>
      </c>
      <c r="AJ162" s="1">
        <v>13979</v>
      </c>
      <c r="AK162">
        <v>16.2</v>
      </c>
      <c r="AL162" s="2">
        <v>0.12</v>
      </c>
      <c r="AM162" s="3">
        <v>1.7902777777777779</v>
      </c>
      <c r="AN162" t="s">
        <v>754</v>
      </c>
      <c r="AO162" t="s">
        <v>756</v>
      </c>
      <c r="AP162" t="b">
        <v>0</v>
      </c>
      <c r="AQ162" t="b">
        <v>0</v>
      </c>
      <c r="AR162" t="b">
        <v>0</v>
      </c>
    </row>
    <row r="163" spans="1:45" x14ac:dyDescent="0.3">
      <c r="A163">
        <v>211</v>
      </c>
      <c r="B163">
        <v>225</v>
      </c>
      <c r="C163" t="s">
        <v>757</v>
      </c>
      <c r="D163" t="s">
        <v>758</v>
      </c>
      <c r="E163" t="s">
        <v>759</v>
      </c>
      <c r="F163" t="s">
        <v>388</v>
      </c>
      <c r="G163">
        <v>45.7</v>
      </c>
      <c r="H163">
        <v>26.3</v>
      </c>
      <c r="I163">
        <v>37.9</v>
      </c>
      <c r="J163">
        <v>99.9</v>
      </c>
      <c r="K163">
        <v>3.7</v>
      </c>
      <c r="L163">
        <v>1.5</v>
      </c>
      <c r="M163">
        <v>39.1</v>
      </c>
      <c r="N163">
        <v>13.1</v>
      </c>
      <c r="O163">
        <v>23.7</v>
      </c>
      <c r="P163">
        <v>45</v>
      </c>
      <c r="Q163" t="s">
        <v>292</v>
      </c>
      <c r="R163" t="s">
        <v>757</v>
      </c>
      <c r="S163" t="s">
        <v>293</v>
      </c>
      <c r="T163">
        <v>2160</v>
      </c>
      <c r="U163">
        <v>62.9</v>
      </c>
      <c r="V163">
        <v>65</v>
      </c>
      <c r="W163">
        <v>57.8</v>
      </c>
      <c r="X163">
        <v>94</v>
      </c>
      <c r="Y163">
        <v>53.9</v>
      </c>
      <c r="Z163">
        <v>918</v>
      </c>
      <c r="AA163">
        <v>96</v>
      </c>
      <c r="AB163">
        <v>105</v>
      </c>
      <c r="AC163">
        <v>31.1</v>
      </c>
      <c r="AD163">
        <v>1460</v>
      </c>
      <c r="AE163" t="s">
        <v>57</v>
      </c>
      <c r="AF163">
        <v>0</v>
      </c>
      <c r="AG163" t="s">
        <v>760</v>
      </c>
      <c r="AH163">
        <v>926</v>
      </c>
      <c r="AI163" t="s">
        <v>759</v>
      </c>
      <c r="AJ163" s="1">
        <v>4495</v>
      </c>
      <c r="AK163">
        <v>9.6</v>
      </c>
      <c r="AL163" s="2">
        <v>0.01</v>
      </c>
      <c r="AM163" t="s">
        <v>761</v>
      </c>
      <c r="AN163" t="s">
        <v>757</v>
      </c>
      <c r="AO163" t="s">
        <v>762</v>
      </c>
      <c r="AP163" t="b">
        <v>0</v>
      </c>
      <c r="AQ163" t="b">
        <v>0</v>
      </c>
      <c r="AR163" t="b">
        <v>0</v>
      </c>
    </row>
    <row r="164" spans="1:45" x14ac:dyDescent="0.3">
      <c r="A164">
        <v>214</v>
      </c>
      <c r="B164">
        <v>206</v>
      </c>
      <c r="C164" t="s">
        <v>763</v>
      </c>
      <c r="D164" t="s">
        <v>281</v>
      </c>
      <c r="E164" t="s">
        <v>282</v>
      </c>
      <c r="F164" t="s">
        <v>56</v>
      </c>
      <c r="G164">
        <v>45</v>
      </c>
      <c r="H164">
        <v>24.6</v>
      </c>
      <c r="I164">
        <v>12.8</v>
      </c>
      <c r="J164">
        <v>38.799999999999997</v>
      </c>
      <c r="K164">
        <v>100</v>
      </c>
      <c r="L164">
        <v>37.6</v>
      </c>
      <c r="M164">
        <v>79.5</v>
      </c>
      <c r="N164">
        <v>59.1</v>
      </c>
      <c r="O164">
        <v>96</v>
      </c>
      <c r="P164">
        <v>44.4</v>
      </c>
      <c r="Q164" t="s">
        <v>614</v>
      </c>
      <c r="R164" t="s">
        <v>763</v>
      </c>
      <c r="S164" t="s">
        <v>615</v>
      </c>
      <c r="T164">
        <v>3290</v>
      </c>
      <c r="U164">
        <v>35.6</v>
      </c>
      <c r="V164">
        <v>442</v>
      </c>
      <c r="W164">
        <v>35.1</v>
      </c>
      <c r="X164">
        <v>347</v>
      </c>
      <c r="Y164">
        <v>75.8</v>
      </c>
      <c r="Z164">
        <v>424</v>
      </c>
      <c r="AA164">
        <v>68.8</v>
      </c>
      <c r="AB164">
        <v>459</v>
      </c>
      <c r="AC164">
        <v>81.8</v>
      </c>
      <c r="AD164">
        <v>226</v>
      </c>
      <c r="AE164" t="s">
        <v>57</v>
      </c>
      <c r="AF164">
        <v>0</v>
      </c>
      <c r="AG164" t="s">
        <v>764</v>
      </c>
      <c r="AH164">
        <v>682</v>
      </c>
      <c r="AI164" t="s">
        <v>282</v>
      </c>
      <c r="AJ164" s="1">
        <v>19350</v>
      </c>
      <c r="AK164">
        <v>20.6</v>
      </c>
      <c r="AL164" s="2">
        <v>0.16</v>
      </c>
      <c r="AM164" s="3">
        <v>2.5687500000000001</v>
      </c>
      <c r="AN164" t="s">
        <v>763</v>
      </c>
      <c r="AO164" t="s">
        <v>765</v>
      </c>
      <c r="AP164" t="b">
        <v>0</v>
      </c>
      <c r="AQ164" t="b">
        <v>0</v>
      </c>
      <c r="AR164" t="b">
        <v>0</v>
      </c>
    </row>
    <row r="165" spans="1:45" x14ac:dyDescent="0.3">
      <c r="A165">
        <v>215</v>
      </c>
      <c r="B165">
        <v>228</v>
      </c>
      <c r="C165" t="s">
        <v>766</v>
      </c>
      <c r="D165" t="s">
        <v>297</v>
      </c>
      <c r="E165" t="s">
        <v>298</v>
      </c>
      <c r="F165" t="s">
        <v>56</v>
      </c>
      <c r="G165">
        <v>51.5</v>
      </c>
      <c r="H165">
        <v>74</v>
      </c>
      <c r="I165">
        <v>33.4</v>
      </c>
      <c r="J165">
        <v>20.3</v>
      </c>
      <c r="K165">
        <v>16.3</v>
      </c>
      <c r="L165">
        <v>13.9</v>
      </c>
      <c r="M165">
        <v>58.7</v>
      </c>
      <c r="N165">
        <v>42.4</v>
      </c>
      <c r="O165">
        <v>83.8</v>
      </c>
      <c r="P165">
        <v>44.2</v>
      </c>
      <c r="Q165" t="s">
        <v>572</v>
      </c>
      <c r="R165" t="s">
        <v>766</v>
      </c>
      <c r="S165" t="s">
        <v>574</v>
      </c>
      <c r="T165">
        <v>5640</v>
      </c>
      <c r="U165">
        <v>35.4</v>
      </c>
      <c r="V165">
        <v>450</v>
      </c>
      <c r="W165">
        <v>39.200000000000003</v>
      </c>
      <c r="X165">
        <v>259</v>
      </c>
      <c r="Y165">
        <v>47.2</v>
      </c>
      <c r="Z165">
        <v>1075</v>
      </c>
      <c r="AA165">
        <v>100</v>
      </c>
      <c r="AB165">
        <v>18</v>
      </c>
      <c r="AC165">
        <v>40.799999999999997</v>
      </c>
      <c r="AD165">
        <v>1089</v>
      </c>
      <c r="AE165" t="s">
        <v>57</v>
      </c>
      <c r="AF165">
        <v>11</v>
      </c>
      <c r="AG165" t="s">
        <v>767</v>
      </c>
      <c r="AH165">
        <v>885</v>
      </c>
      <c r="AI165" t="s">
        <v>298</v>
      </c>
      <c r="AJ165" s="1">
        <v>20971</v>
      </c>
      <c r="AK165">
        <v>15.9</v>
      </c>
      <c r="AL165" s="2">
        <v>0.11</v>
      </c>
      <c r="AM165" t="s">
        <v>153</v>
      </c>
      <c r="AN165" t="s">
        <v>766</v>
      </c>
      <c r="AO165" t="s">
        <v>768</v>
      </c>
      <c r="AP165" t="b">
        <v>0</v>
      </c>
      <c r="AQ165" t="b">
        <v>0</v>
      </c>
      <c r="AR165" t="b">
        <v>0</v>
      </c>
    </row>
    <row r="166" spans="1:45" x14ac:dyDescent="0.3">
      <c r="A166">
        <v>215</v>
      </c>
      <c r="B166">
        <v>168</v>
      </c>
      <c r="C166" t="s">
        <v>769</v>
      </c>
      <c r="D166" t="s">
        <v>45</v>
      </c>
      <c r="E166" t="s">
        <v>46</v>
      </c>
      <c r="F166" t="s">
        <v>77</v>
      </c>
      <c r="G166">
        <v>46.7</v>
      </c>
      <c r="H166">
        <v>42.3</v>
      </c>
      <c r="I166">
        <v>62.9</v>
      </c>
      <c r="J166">
        <v>32.1</v>
      </c>
      <c r="K166">
        <v>17.8</v>
      </c>
      <c r="L166">
        <v>10.3</v>
      </c>
      <c r="M166">
        <v>98.3</v>
      </c>
      <c r="N166">
        <v>44.5</v>
      </c>
      <c r="O166">
        <v>60.6</v>
      </c>
      <c r="P166">
        <v>44.2</v>
      </c>
      <c r="Q166">
        <v>132</v>
      </c>
      <c r="R166" t="s">
        <v>769</v>
      </c>
      <c r="S166">
        <v>63.7</v>
      </c>
      <c r="T166">
        <v>1320</v>
      </c>
      <c r="U166">
        <v>55.5</v>
      </c>
      <c r="V166">
        <v>93</v>
      </c>
      <c r="W166">
        <v>56.7</v>
      </c>
      <c r="X166">
        <v>103</v>
      </c>
      <c r="Y166">
        <v>78.3</v>
      </c>
      <c r="Z166">
        <v>357</v>
      </c>
      <c r="AA166">
        <v>88.9</v>
      </c>
      <c r="AB166">
        <v>174</v>
      </c>
      <c r="AC166">
        <v>50.9</v>
      </c>
      <c r="AD166">
        <v>774</v>
      </c>
      <c r="AE166" t="s">
        <v>208</v>
      </c>
      <c r="AF166">
        <v>0</v>
      </c>
      <c r="AG166" t="s">
        <v>770</v>
      </c>
      <c r="AH166">
        <v>590</v>
      </c>
      <c r="AI166" t="s">
        <v>46</v>
      </c>
      <c r="AJ166" s="1">
        <v>48114</v>
      </c>
      <c r="AK166">
        <v>16.7</v>
      </c>
      <c r="AL166" s="2">
        <v>0.09</v>
      </c>
      <c r="AM166" s="3">
        <v>2.3638888888888889</v>
      </c>
      <c r="AN166" t="s">
        <v>769</v>
      </c>
      <c r="AO166" t="s">
        <v>771</v>
      </c>
      <c r="AP166" t="b">
        <v>0</v>
      </c>
      <c r="AQ166" t="b">
        <v>0</v>
      </c>
      <c r="AR166" t="b">
        <v>0</v>
      </c>
      <c r="AS166" t="s">
        <v>772</v>
      </c>
    </row>
    <row r="167" spans="1:45" x14ac:dyDescent="0.3">
      <c r="A167">
        <v>217</v>
      </c>
      <c r="B167">
        <v>242</v>
      </c>
      <c r="C167" t="s">
        <v>773</v>
      </c>
      <c r="D167" t="s">
        <v>87</v>
      </c>
      <c r="E167" t="s">
        <v>88</v>
      </c>
      <c r="F167" t="s">
        <v>56</v>
      </c>
      <c r="G167">
        <v>23.6</v>
      </c>
      <c r="H167">
        <v>19.8</v>
      </c>
      <c r="I167">
        <v>8</v>
      </c>
      <c r="J167">
        <v>77.7</v>
      </c>
      <c r="K167">
        <v>92.6</v>
      </c>
      <c r="L167">
        <v>95</v>
      </c>
      <c r="M167">
        <v>78.599999999999994</v>
      </c>
      <c r="N167">
        <v>19.600000000000001</v>
      </c>
      <c r="O167">
        <v>78.400000000000006</v>
      </c>
      <c r="P167">
        <v>44.1</v>
      </c>
      <c r="Q167" t="s">
        <v>486</v>
      </c>
      <c r="R167" t="s">
        <v>773</v>
      </c>
      <c r="S167" t="s">
        <v>487</v>
      </c>
      <c r="T167">
        <v>2710</v>
      </c>
      <c r="U167">
        <v>28.9</v>
      </c>
      <c r="V167">
        <v>750</v>
      </c>
      <c r="W167">
        <v>35.4</v>
      </c>
      <c r="X167">
        <v>339</v>
      </c>
      <c r="Y167">
        <v>88.1</v>
      </c>
      <c r="Z167">
        <v>153</v>
      </c>
      <c r="AA167">
        <v>73.8</v>
      </c>
      <c r="AB167">
        <v>352</v>
      </c>
      <c r="AC167">
        <v>88.2</v>
      </c>
      <c r="AD167">
        <v>149</v>
      </c>
      <c r="AE167" t="s">
        <v>57</v>
      </c>
      <c r="AF167">
        <v>0</v>
      </c>
      <c r="AG167" t="s">
        <v>774</v>
      </c>
      <c r="AH167">
        <v>835</v>
      </c>
      <c r="AI167" t="s">
        <v>88</v>
      </c>
      <c r="AJ167" s="1">
        <v>19172</v>
      </c>
      <c r="AK167">
        <v>28.2</v>
      </c>
      <c r="AL167" s="2">
        <v>0.28999999999999998</v>
      </c>
      <c r="AM167" s="3">
        <v>2.6506944444444445</v>
      </c>
      <c r="AN167" t="s">
        <v>773</v>
      </c>
      <c r="AO167" t="s">
        <v>775</v>
      </c>
      <c r="AP167" t="b">
        <v>0</v>
      </c>
      <c r="AQ167" t="b">
        <v>0</v>
      </c>
      <c r="AR167" t="b">
        <v>0</v>
      </c>
      <c r="AS167" t="s">
        <v>776</v>
      </c>
    </row>
    <row r="168" spans="1:45" x14ac:dyDescent="0.3">
      <c r="A168">
        <v>218</v>
      </c>
      <c r="B168">
        <v>169</v>
      </c>
      <c r="C168" t="s">
        <v>777</v>
      </c>
      <c r="D168" t="s">
        <v>45</v>
      </c>
      <c r="E168" t="s">
        <v>46</v>
      </c>
      <c r="F168" t="s">
        <v>77</v>
      </c>
      <c r="G168">
        <v>48.6</v>
      </c>
      <c r="H168">
        <v>29.4</v>
      </c>
      <c r="I168">
        <v>32.5</v>
      </c>
      <c r="J168">
        <v>55</v>
      </c>
      <c r="K168">
        <v>20.9</v>
      </c>
      <c r="L168">
        <v>16.2</v>
      </c>
      <c r="M168">
        <v>92.3</v>
      </c>
      <c r="N168">
        <v>41.2</v>
      </c>
      <c r="O168">
        <v>54.4</v>
      </c>
      <c r="P168">
        <v>44</v>
      </c>
      <c r="Q168">
        <v>114</v>
      </c>
      <c r="R168" t="s">
        <v>777</v>
      </c>
      <c r="S168">
        <v>65.7</v>
      </c>
      <c r="T168">
        <v>1140</v>
      </c>
      <c r="U168">
        <v>49.4</v>
      </c>
      <c r="V168">
        <v>138</v>
      </c>
      <c r="W168">
        <v>58.1</v>
      </c>
      <c r="X168">
        <v>93</v>
      </c>
      <c r="Y168">
        <v>92.8</v>
      </c>
      <c r="Z168">
        <v>79</v>
      </c>
      <c r="AA168">
        <v>70.2</v>
      </c>
      <c r="AB168">
        <v>430</v>
      </c>
      <c r="AC168">
        <v>48.6</v>
      </c>
      <c r="AD168">
        <v>846</v>
      </c>
      <c r="AE168" t="s">
        <v>208</v>
      </c>
      <c r="AF168">
        <v>0</v>
      </c>
      <c r="AG168" t="s">
        <v>778</v>
      </c>
      <c r="AH168">
        <v>559</v>
      </c>
      <c r="AI168" t="s">
        <v>46</v>
      </c>
      <c r="AJ168" s="1">
        <v>33988</v>
      </c>
      <c r="AK168">
        <v>17</v>
      </c>
      <c r="AL168" s="2">
        <v>0.09</v>
      </c>
      <c r="AM168" s="3">
        <v>2.0770833333333334</v>
      </c>
      <c r="AN168" t="s">
        <v>777</v>
      </c>
      <c r="AO168" t="s">
        <v>779</v>
      </c>
      <c r="AP168" t="b">
        <v>0</v>
      </c>
      <c r="AQ168" t="b">
        <v>0</v>
      </c>
      <c r="AR168" t="b">
        <v>0</v>
      </c>
      <c r="AS168" t="s">
        <v>780</v>
      </c>
    </row>
    <row r="169" spans="1:45" x14ac:dyDescent="0.3">
      <c r="A169">
        <v>219</v>
      </c>
      <c r="B169">
        <v>217</v>
      </c>
      <c r="C169" t="s">
        <v>781</v>
      </c>
      <c r="D169" t="s">
        <v>297</v>
      </c>
      <c r="E169" t="s">
        <v>298</v>
      </c>
      <c r="F169" t="s">
        <v>56</v>
      </c>
      <c r="G169">
        <v>32.9</v>
      </c>
      <c r="H169">
        <v>62.7</v>
      </c>
      <c r="I169">
        <v>51.1</v>
      </c>
      <c r="J169">
        <v>52.7</v>
      </c>
      <c r="K169">
        <v>19.600000000000001</v>
      </c>
      <c r="L169">
        <v>19.2</v>
      </c>
      <c r="M169">
        <v>53.7</v>
      </c>
      <c r="N169">
        <v>58.3</v>
      </c>
      <c r="O169">
        <v>38.799999999999997</v>
      </c>
      <c r="P169">
        <v>43.9</v>
      </c>
      <c r="Q169" t="s">
        <v>372</v>
      </c>
      <c r="R169" t="s">
        <v>781</v>
      </c>
      <c r="S169" t="s">
        <v>374</v>
      </c>
      <c r="T169">
        <v>4610</v>
      </c>
      <c r="U169">
        <v>44</v>
      </c>
      <c r="V169">
        <v>219</v>
      </c>
      <c r="W169">
        <v>44.3</v>
      </c>
      <c r="X169">
        <v>197</v>
      </c>
      <c r="Y169">
        <v>52.9</v>
      </c>
      <c r="Z169">
        <v>944</v>
      </c>
      <c r="AA169">
        <v>99.9</v>
      </c>
      <c r="AB169">
        <v>34</v>
      </c>
      <c r="AC169">
        <v>41.4</v>
      </c>
      <c r="AD169">
        <v>1069</v>
      </c>
      <c r="AE169" t="s">
        <v>57</v>
      </c>
      <c r="AF169">
        <v>0</v>
      </c>
      <c r="AG169" t="s">
        <v>782</v>
      </c>
      <c r="AH169">
        <v>709466</v>
      </c>
      <c r="AI169" t="s">
        <v>298</v>
      </c>
      <c r="AJ169" s="1">
        <v>16944</v>
      </c>
      <c r="AK169">
        <v>14.6</v>
      </c>
      <c r="AL169" s="2">
        <v>0.09</v>
      </c>
      <c r="AM169" t="s">
        <v>699</v>
      </c>
      <c r="AN169" t="s">
        <v>781</v>
      </c>
      <c r="AO169" t="s">
        <v>783</v>
      </c>
      <c r="AP169" t="b">
        <v>0</v>
      </c>
      <c r="AQ169" t="b">
        <v>0</v>
      </c>
      <c r="AR169" t="b">
        <v>0</v>
      </c>
    </row>
    <row r="170" spans="1:45" x14ac:dyDescent="0.3">
      <c r="A170">
        <v>221</v>
      </c>
      <c r="B170">
        <v>207</v>
      </c>
      <c r="C170" t="s">
        <v>784</v>
      </c>
      <c r="D170" t="s">
        <v>231</v>
      </c>
      <c r="E170" t="s">
        <v>232</v>
      </c>
      <c r="F170" t="s">
        <v>77</v>
      </c>
      <c r="G170">
        <v>39.4</v>
      </c>
      <c r="H170">
        <v>17.8</v>
      </c>
      <c r="I170">
        <v>21.3</v>
      </c>
      <c r="J170">
        <v>63.7</v>
      </c>
      <c r="K170">
        <v>67.3</v>
      </c>
      <c r="L170">
        <v>47.4</v>
      </c>
      <c r="M170">
        <v>89</v>
      </c>
      <c r="N170">
        <v>45.1</v>
      </c>
      <c r="O170">
        <v>50.8</v>
      </c>
      <c r="P170">
        <v>43.8</v>
      </c>
      <c r="Q170">
        <v>125</v>
      </c>
      <c r="R170" t="s">
        <v>784</v>
      </c>
      <c r="S170">
        <v>64.7</v>
      </c>
      <c r="T170">
        <v>1250</v>
      </c>
      <c r="U170">
        <v>40.4</v>
      </c>
      <c r="V170">
        <v>297</v>
      </c>
      <c r="W170">
        <v>51</v>
      </c>
      <c r="X170">
        <v>137</v>
      </c>
      <c r="Y170">
        <v>93.4</v>
      </c>
      <c r="Z170">
        <v>68</v>
      </c>
      <c r="AA170">
        <v>91.5</v>
      </c>
      <c r="AB170">
        <v>151</v>
      </c>
      <c r="AC170">
        <v>84.3</v>
      </c>
      <c r="AD170">
        <v>197</v>
      </c>
      <c r="AE170" t="s">
        <v>57</v>
      </c>
      <c r="AF170">
        <v>0</v>
      </c>
      <c r="AG170" t="s">
        <v>785</v>
      </c>
      <c r="AH170">
        <v>625</v>
      </c>
      <c r="AI170" t="s">
        <v>232</v>
      </c>
      <c r="AJ170" s="1">
        <v>31704</v>
      </c>
      <c r="AK170">
        <v>19.2</v>
      </c>
      <c r="AL170" s="2">
        <v>0.18</v>
      </c>
      <c r="AM170" s="3">
        <v>2.4048611111111109</v>
      </c>
      <c r="AN170" t="s">
        <v>784</v>
      </c>
      <c r="AO170" t="s">
        <v>786</v>
      </c>
      <c r="AP170" t="b">
        <v>0</v>
      </c>
      <c r="AQ170" t="b">
        <v>0</v>
      </c>
      <c r="AR170" t="b">
        <v>0</v>
      </c>
    </row>
    <row r="171" spans="1:45" x14ac:dyDescent="0.3">
      <c r="A171">
        <v>224</v>
      </c>
      <c r="B171">
        <v>212</v>
      </c>
      <c r="C171" t="s">
        <v>787</v>
      </c>
      <c r="D171" t="s">
        <v>54</v>
      </c>
      <c r="E171" t="s">
        <v>55</v>
      </c>
      <c r="F171" t="s">
        <v>56</v>
      </c>
      <c r="G171">
        <v>29.7</v>
      </c>
      <c r="H171">
        <v>55.3</v>
      </c>
      <c r="I171">
        <v>23.8</v>
      </c>
      <c r="J171">
        <v>32.4</v>
      </c>
      <c r="K171">
        <v>87.1</v>
      </c>
      <c r="L171">
        <v>68.599999999999994</v>
      </c>
      <c r="M171">
        <v>87.1</v>
      </c>
      <c r="N171">
        <v>23.2</v>
      </c>
      <c r="O171">
        <v>93.8</v>
      </c>
      <c r="P171">
        <v>43.6</v>
      </c>
      <c r="Q171" t="s">
        <v>486</v>
      </c>
      <c r="R171" t="s">
        <v>787</v>
      </c>
      <c r="S171" t="s">
        <v>487</v>
      </c>
      <c r="T171">
        <v>2740</v>
      </c>
      <c r="U171">
        <v>36.5</v>
      </c>
      <c r="V171">
        <v>412</v>
      </c>
      <c r="W171">
        <v>34.4</v>
      </c>
      <c r="X171">
        <v>368</v>
      </c>
      <c r="Y171">
        <v>77.400000000000006</v>
      </c>
      <c r="Z171">
        <v>383</v>
      </c>
      <c r="AA171">
        <v>70.2</v>
      </c>
      <c r="AB171">
        <v>429</v>
      </c>
      <c r="AC171">
        <v>91.5</v>
      </c>
      <c r="AD171">
        <v>108</v>
      </c>
      <c r="AE171" t="s">
        <v>57</v>
      </c>
      <c r="AF171">
        <v>0</v>
      </c>
      <c r="AG171" t="s">
        <v>788</v>
      </c>
      <c r="AH171">
        <v>837</v>
      </c>
      <c r="AI171" t="s">
        <v>55</v>
      </c>
      <c r="AJ171" s="1">
        <v>16110</v>
      </c>
      <c r="AK171">
        <v>13.9</v>
      </c>
      <c r="AL171" s="2">
        <v>0.25</v>
      </c>
      <c r="AM171" t="s">
        <v>789</v>
      </c>
      <c r="AN171" t="s">
        <v>787</v>
      </c>
      <c r="AO171" t="s">
        <v>790</v>
      </c>
      <c r="AP171" t="b">
        <v>0</v>
      </c>
      <c r="AQ171" t="b">
        <v>0</v>
      </c>
      <c r="AR171" t="b">
        <v>0</v>
      </c>
      <c r="AS171" t="s">
        <v>791</v>
      </c>
    </row>
    <row r="172" spans="1:45" x14ac:dyDescent="0.3">
      <c r="A172">
        <v>224</v>
      </c>
      <c r="B172">
        <v>220</v>
      </c>
      <c r="C172" t="s">
        <v>792</v>
      </c>
      <c r="D172" t="s">
        <v>437</v>
      </c>
      <c r="E172" t="s">
        <v>438</v>
      </c>
      <c r="F172" t="s">
        <v>56</v>
      </c>
      <c r="G172">
        <v>28.4</v>
      </c>
      <c r="H172">
        <v>18.8</v>
      </c>
      <c r="I172">
        <v>36.799999999999997</v>
      </c>
      <c r="J172">
        <v>61</v>
      </c>
      <c r="K172">
        <v>100</v>
      </c>
      <c r="L172">
        <v>54.2</v>
      </c>
      <c r="M172">
        <v>79.8</v>
      </c>
      <c r="N172">
        <v>51.8</v>
      </c>
      <c r="O172">
        <v>51.2</v>
      </c>
      <c r="P172">
        <v>43.6</v>
      </c>
      <c r="Q172">
        <f>143</f>
        <v>143</v>
      </c>
      <c r="R172" t="s">
        <v>792</v>
      </c>
      <c r="S172">
        <v>62.7</v>
      </c>
      <c r="T172">
        <v>1430</v>
      </c>
      <c r="U172">
        <v>41.7</v>
      </c>
      <c r="V172">
        <v>268</v>
      </c>
      <c r="W172">
        <v>46.3</v>
      </c>
      <c r="X172">
        <v>175</v>
      </c>
      <c r="Y172">
        <v>87.3</v>
      </c>
      <c r="Z172">
        <v>166</v>
      </c>
      <c r="AA172">
        <v>99.5</v>
      </c>
      <c r="AB172">
        <v>59</v>
      </c>
      <c r="AC172">
        <v>90.4</v>
      </c>
      <c r="AD172">
        <v>125</v>
      </c>
      <c r="AE172" t="s">
        <v>57</v>
      </c>
      <c r="AF172">
        <v>0</v>
      </c>
      <c r="AG172" t="s">
        <v>793</v>
      </c>
      <c r="AH172">
        <v>580</v>
      </c>
      <c r="AI172" t="s">
        <v>438</v>
      </c>
      <c r="AJ172" s="1">
        <v>14478</v>
      </c>
      <c r="AK172">
        <v>10.5</v>
      </c>
      <c r="AL172" s="2">
        <v>0.23</v>
      </c>
      <c r="AN172" t="s">
        <v>792</v>
      </c>
      <c r="AO172" t="s">
        <v>794</v>
      </c>
      <c r="AP172" t="b">
        <v>0</v>
      </c>
      <c r="AQ172" t="b">
        <v>0</v>
      </c>
      <c r="AR172" t="b">
        <v>0</v>
      </c>
    </row>
    <row r="173" spans="1:45" x14ac:dyDescent="0.3">
      <c r="A173">
        <v>229</v>
      </c>
      <c r="B173">
        <v>211</v>
      </c>
      <c r="C173" t="s">
        <v>795</v>
      </c>
      <c r="D173" t="s">
        <v>796</v>
      </c>
      <c r="E173" t="s">
        <v>797</v>
      </c>
      <c r="F173" t="s">
        <v>77</v>
      </c>
      <c r="G173">
        <v>68.2</v>
      </c>
      <c r="H173">
        <v>35.9</v>
      </c>
      <c r="I173">
        <v>31.7</v>
      </c>
      <c r="J173">
        <v>7.5</v>
      </c>
      <c r="K173">
        <v>18.7</v>
      </c>
      <c r="L173">
        <v>3</v>
      </c>
      <c r="M173">
        <v>79.599999999999994</v>
      </c>
      <c r="N173">
        <v>93.6</v>
      </c>
      <c r="O173">
        <v>73.2</v>
      </c>
      <c r="P173">
        <v>43.4</v>
      </c>
      <c r="Q173" t="s">
        <v>696</v>
      </c>
      <c r="R173" t="s">
        <v>795</v>
      </c>
      <c r="S173" t="s">
        <v>697</v>
      </c>
      <c r="T173">
        <v>6340</v>
      </c>
      <c r="U173">
        <v>36.700000000000003</v>
      </c>
      <c r="V173">
        <v>402</v>
      </c>
      <c r="W173">
        <v>32.200000000000003</v>
      </c>
      <c r="X173">
        <v>414</v>
      </c>
      <c r="Y173">
        <v>50.2</v>
      </c>
      <c r="Z173">
        <v>1017</v>
      </c>
      <c r="AA173">
        <v>76.599999999999994</v>
      </c>
      <c r="AB173">
        <v>307</v>
      </c>
      <c r="AC173">
        <v>44.1</v>
      </c>
      <c r="AD173">
        <v>985</v>
      </c>
      <c r="AE173" t="s">
        <v>57</v>
      </c>
      <c r="AF173">
        <v>6</v>
      </c>
      <c r="AG173" t="s">
        <v>798</v>
      </c>
      <c r="AH173">
        <v>942</v>
      </c>
      <c r="AI173" t="s">
        <v>797</v>
      </c>
      <c r="AJ173" s="1">
        <v>34552</v>
      </c>
      <c r="AK173">
        <v>12.7</v>
      </c>
      <c r="AL173" s="2">
        <v>0.03</v>
      </c>
      <c r="AM173" s="3">
        <v>2.3638888888888889</v>
      </c>
      <c r="AN173" t="s">
        <v>799</v>
      </c>
      <c r="AO173" t="s">
        <v>800</v>
      </c>
      <c r="AP173" t="b">
        <v>0</v>
      </c>
      <c r="AQ173" t="b">
        <v>0</v>
      </c>
      <c r="AR173" t="b">
        <v>0</v>
      </c>
    </row>
    <row r="174" spans="1:45" x14ac:dyDescent="0.3">
      <c r="A174">
        <v>230</v>
      </c>
      <c r="B174">
        <v>256</v>
      </c>
      <c r="C174" t="s">
        <v>801</v>
      </c>
      <c r="D174" t="s">
        <v>231</v>
      </c>
      <c r="E174" t="s">
        <v>232</v>
      </c>
      <c r="F174" t="s">
        <v>56</v>
      </c>
      <c r="G174">
        <v>23</v>
      </c>
      <c r="H174">
        <v>27.8</v>
      </c>
      <c r="I174">
        <v>13.2</v>
      </c>
      <c r="J174">
        <v>62.8</v>
      </c>
      <c r="K174">
        <v>99.4</v>
      </c>
      <c r="L174">
        <v>100</v>
      </c>
      <c r="M174">
        <v>80.5</v>
      </c>
      <c r="N174">
        <v>38.200000000000003</v>
      </c>
      <c r="O174">
        <v>52.5</v>
      </c>
      <c r="P174">
        <v>43</v>
      </c>
      <c r="Q174">
        <f>138</f>
        <v>138</v>
      </c>
      <c r="R174" t="s">
        <v>802</v>
      </c>
      <c r="S174">
        <v>62.9</v>
      </c>
      <c r="T174">
        <v>1390</v>
      </c>
      <c r="U174">
        <v>41.4</v>
      </c>
      <c r="V174">
        <v>271</v>
      </c>
      <c r="W174">
        <v>47.1</v>
      </c>
      <c r="X174">
        <v>166</v>
      </c>
      <c r="Y174">
        <v>86.1</v>
      </c>
      <c r="Z174">
        <v>190</v>
      </c>
      <c r="AA174">
        <v>98.1</v>
      </c>
      <c r="AB174">
        <v>88</v>
      </c>
      <c r="AC174">
        <v>97.4</v>
      </c>
      <c r="AD174">
        <v>18</v>
      </c>
      <c r="AE174" t="s">
        <v>57</v>
      </c>
      <c r="AF174">
        <v>0</v>
      </c>
      <c r="AG174" t="s">
        <v>803</v>
      </c>
      <c r="AH174">
        <v>663</v>
      </c>
      <c r="AI174" t="s">
        <v>232</v>
      </c>
      <c r="AJ174" s="1">
        <v>21337</v>
      </c>
      <c r="AK174">
        <v>19.600000000000001</v>
      </c>
      <c r="AL174" s="2">
        <v>0.56999999999999995</v>
      </c>
      <c r="AM174" s="3">
        <v>2.5277777777777777</v>
      </c>
      <c r="AN174" t="s">
        <v>802</v>
      </c>
      <c r="AO174" t="s">
        <v>804</v>
      </c>
      <c r="AP174" t="b">
        <v>0</v>
      </c>
      <c r="AQ174" t="b">
        <v>0</v>
      </c>
      <c r="AR174" t="b">
        <v>0</v>
      </c>
    </row>
    <row r="175" spans="1:45" x14ac:dyDescent="0.3">
      <c r="A175">
        <v>230</v>
      </c>
      <c r="B175">
        <v>189</v>
      </c>
      <c r="C175" t="s">
        <v>805</v>
      </c>
      <c r="D175" t="s">
        <v>273</v>
      </c>
      <c r="E175" t="s">
        <v>274</v>
      </c>
      <c r="F175" t="s">
        <v>77</v>
      </c>
      <c r="G175">
        <v>33.299999999999997</v>
      </c>
      <c r="H175">
        <v>34.5</v>
      </c>
      <c r="I175">
        <v>3</v>
      </c>
      <c r="J175">
        <v>49.9</v>
      </c>
      <c r="K175">
        <v>98.7</v>
      </c>
      <c r="L175">
        <v>84.4</v>
      </c>
      <c r="M175">
        <v>87.5</v>
      </c>
      <c r="N175">
        <v>65.5</v>
      </c>
      <c r="O175">
        <v>25.2</v>
      </c>
      <c r="P175">
        <v>43</v>
      </c>
      <c r="Q175" t="s">
        <v>292</v>
      </c>
      <c r="R175" t="s">
        <v>806</v>
      </c>
      <c r="S175" t="s">
        <v>293</v>
      </c>
      <c r="T175">
        <v>2210</v>
      </c>
      <c r="U175">
        <v>35.799999999999997</v>
      </c>
      <c r="V175">
        <v>437</v>
      </c>
      <c r="W175">
        <v>45</v>
      </c>
      <c r="X175">
        <v>188</v>
      </c>
      <c r="Y175">
        <v>83.5</v>
      </c>
      <c r="Z175">
        <v>247</v>
      </c>
      <c r="AA175">
        <v>76.400000000000006</v>
      </c>
      <c r="AB175">
        <v>312</v>
      </c>
      <c r="AC175">
        <v>89.6</v>
      </c>
      <c r="AD175">
        <v>131</v>
      </c>
      <c r="AE175" t="s">
        <v>57</v>
      </c>
      <c r="AF175">
        <v>0</v>
      </c>
      <c r="AG175" t="s">
        <v>807</v>
      </c>
      <c r="AH175">
        <v>669</v>
      </c>
      <c r="AI175" t="s">
        <v>274</v>
      </c>
      <c r="AJ175" s="1">
        <v>30287</v>
      </c>
      <c r="AK175">
        <v>51.7</v>
      </c>
      <c r="AL175" s="2">
        <v>0.3</v>
      </c>
      <c r="AM175" s="3">
        <v>2.4458333333333333</v>
      </c>
      <c r="AN175" t="s">
        <v>806</v>
      </c>
      <c r="AO175" t="s">
        <v>808</v>
      </c>
      <c r="AP175" t="b">
        <v>0</v>
      </c>
      <c r="AQ175" t="b">
        <v>0</v>
      </c>
      <c r="AR175" t="b">
        <v>0</v>
      </c>
    </row>
    <row r="176" spans="1:45" x14ac:dyDescent="0.3">
      <c r="A176">
        <v>233</v>
      </c>
      <c r="B176">
        <v>210</v>
      </c>
      <c r="C176" t="s">
        <v>809</v>
      </c>
      <c r="D176" t="s">
        <v>231</v>
      </c>
      <c r="E176" t="s">
        <v>232</v>
      </c>
      <c r="F176" t="s">
        <v>47</v>
      </c>
      <c r="G176">
        <v>20.7</v>
      </c>
      <c r="H176">
        <v>32</v>
      </c>
      <c r="I176">
        <v>43.3</v>
      </c>
      <c r="J176">
        <v>61.3</v>
      </c>
      <c r="K176">
        <v>100</v>
      </c>
      <c r="L176">
        <v>90.4</v>
      </c>
      <c r="M176">
        <v>87.6</v>
      </c>
      <c r="N176">
        <v>20</v>
      </c>
      <c r="O176">
        <v>13.8</v>
      </c>
      <c r="P176">
        <v>42.7</v>
      </c>
      <c r="Q176">
        <v>184</v>
      </c>
      <c r="R176" t="s">
        <v>809</v>
      </c>
      <c r="S176">
        <v>59.7</v>
      </c>
      <c r="T176">
        <v>1840</v>
      </c>
      <c r="U176">
        <v>43.4</v>
      </c>
      <c r="V176">
        <v>236</v>
      </c>
      <c r="W176">
        <v>46</v>
      </c>
      <c r="X176">
        <v>179</v>
      </c>
      <c r="Y176">
        <v>75.099999999999994</v>
      </c>
      <c r="Z176">
        <v>438</v>
      </c>
      <c r="AA176">
        <v>99.6</v>
      </c>
      <c r="AB176">
        <v>55</v>
      </c>
      <c r="AC176">
        <v>93.3</v>
      </c>
      <c r="AD176">
        <v>79</v>
      </c>
      <c r="AE176" t="s">
        <v>57</v>
      </c>
      <c r="AF176">
        <v>0</v>
      </c>
      <c r="AG176" t="s">
        <v>810</v>
      </c>
      <c r="AH176">
        <v>664</v>
      </c>
      <c r="AI176" t="s">
        <v>232</v>
      </c>
      <c r="AJ176" s="1">
        <v>9964</v>
      </c>
      <c r="AK176">
        <v>13.9</v>
      </c>
      <c r="AL176" s="2">
        <v>0.38</v>
      </c>
      <c r="AM176" t="s">
        <v>153</v>
      </c>
      <c r="AN176" t="s">
        <v>809</v>
      </c>
      <c r="AO176" t="s">
        <v>811</v>
      </c>
      <c r="AP176" t="b">
        <v>0</v>
      </c>
      <c r="AQ176" t="b">
        <v>0</v>
      </c>
      <c r="AR176" t="b">
        <v>0</v>
      </c>
    </row>
    <row r="177" spans="1:45" x14ac:dyDescent="0.3">
      <c r="A177">
        <v>235</v>
      </c>
      <c r="B177">
        <v>250</v>
      </c>
      <c r="C177" t="s">
        <v>812</v>
      </c>
      <c r="D177" t="s">
        <v>281</v>
      </c>
      <c r="E177" t="s">
        <v>282</v>
      </c>
      <c r="F177" t="s">
        <v>47</v>
      </c>
      <c r="G177">
        <v>19.100000000000001</v>
      </c>
      <c r="H177">
        <v>11.7</v>
      </c>
      <c r="I177">
        <v>12.4</v>
      </c>
      <c r="J177">
        <v>84.7</v>
      </c>
      <c r="K177">
        <v>99</v>
      </c>
      <c r="L177">
        <v>56.9</v>
      </c>
      <c r="M177">
        <v>55.1</v>
      </c>
      <c r="N177">
        <v>46.4</v>
      </c>
      <c r="O177">
        <v>89.5</v>
      </c>
      <c r="P177">
        <v>42.5</v>
      </c>
      <c r="Q177" t="s">
        <v>372</v>
      </c>
      <c r="R177" t="s">
        <v>812</v>
      </c>
      <c r="S177" t="s">
        <v>374</v>
      </c>
      <c r="T177">
        <v>5000</v>
      </c>
      <c r="U177">
        <v>26.1</v>
      </c>
      <c r="V177">
        <v>931</v>
      </c>
      <c r="W177">
        <v>31</v>
      </c>
      <c r="X177">
        <v>444</v>
      </c>
      <c r="Y177">
        <v>74.3</v>
      </c>
      <c r="Z177">
        <v>459</v>
      </c>
      <c r="AA177">
        <v>72.400000000000006</v>
      </c>
      <c r="AB177">
        <v>377</v>
      </c>
      <c r="AC177">
        <v>89.8</v>
      </c>
      <c r="AD177">
        <v>130</v>
      </c>
      <c r="AE177" t="s">
        <v>57</v>
      </c>
      <c r="AF177">
        <v>0</v>
      </c>
      <c r="AG177" t="s">
        <v>813</v>
      </c>
      <c r="AH177">
        <v>812</v>
      </c>
      <c r="AI177" t="s">
        <v>282</v>
      </c>
      <c r="AJ177" s="1">
        <v>10538</v>
      </c>
      <c r="AK177">
        <v>20.7</v>
      </c>
      <c r="AL177" s="2">
        <v>0.26</v>
      </c>
      <c r="AM177" s="3">
        <v>2.5687500000000001</v>
      </c>
      <c r="AN177" t="s">
        <v>814</v>
      </c>
      <c r="AO177" t="s">
        <v>815</v>
      </c>
      <c r="AP177" t="b">
        <v>0</v>
      </c>
      <c r="AQ177" t="b">
        <v>0</v>
      </c>
      <c r="AR177" t="b">
        <v>0</v>
      </c>
      <c r="AS177" t="s">
        <v>816</v>
      </c>
    </row>
    <row r="178" spans="1:45" x14ac:dyDescent="0.3">
      <c r="A178">
        <v>236</v>
      </c>
      <c r="B178">
        <v>208</v>
      </c>
      <c r="C178" t="s">
        <v>817</v>
      </c>
      <c r="D178" t="s">
        <v>54</v>
      </c>
      <c r="E178" t="s">
        <v>55</v>
      </c>
      <c r="F178" t="s">
        <v>56</v>
      </c>
      <c r="G178">
        <v>30.5</v>
      </c>
      <c r="H178">
        <v>28.8</v>
      </c>
      <c r="I178">
        <v>32.700000000000003</v>
      </c>
      <c r="J178">
        <v>32</v>
      </c>
      <c r="K178">
        <v>94.5</v>
      </c>
      <c r="L178">
        <v>92.6</v>
      </c>
      <c r="M178">
        <v>88.5</v>
      </c>
      <c r="N178">
        <v>22.2</v>
      </c>
      <c r="O178">
        <v>96.5</v>
      </c>
      <c r="P178">
        <v>42.3</v>
      </c>
      <c r="Q178" t="s">
        <v>292</v>
      </c>
      <c r="R178" t="s">
        <v>817</v>
      </c>
      <c r="S178" t="s">
        <v>293</v>
      </c>
      <c r="T178">
        <v>2040</v>
      </c>
      <c r="U178">
        <v>36.4</v>
      </c>
      <c r="V178">
        <v>414</v>
      </c>
      <c r="W178">
        <v>35.799999999999997</v>
      </c>
      <c r="X178">
        <v>328</v>
      </c>
      <c r="Y178">
        <v>81.8</v>
      </c>
      <c r="Z178">
        <v>286</v>
      </c>
      <c r="AA178">
        <v>78.900000000000006</v>
      </c>
      <c r="AB178">
        <v>277</v>
      </c>
      <c r="AC178">
        <v>97.5</v>
      </c>
      <c r="AD178">
        <v>12</v>
      </c>
      <c r="AE178" t="s">
        <v>57</v>
      </c>
      <c r="AF178">
        <v>0</v>
      </c>
      <c r="AG178" t="s">
        <v>818</v>
      </c>
      <c r="AH178">
        <v>615</v>
      </c>
      <c r="AI178" t="s">
        <v>55</v>
      </c>
      <c r="AJ178" s="1">
        <v>12755</v>
      </c>
      <c r="AK178">
        <v>15.3</v>
      </c>
      <c r="AL178" s="2">
        <v>0.4</v>
      </c>
      <c r="AM178" s="3">
        <v>2.4458333333333333</v>
      </c>
      <c r="AN178" t="s">
        <v>817</v>
      </c>
      <c r="AO178" t="s">
        <v>819</v>
      </c>
      <c r="AP178" t="b">
        <v>0</v>
      </c>
      <c r="AQ178" t="b">
        <v>0</v>
      </c>
      <c r="AR178" t="b">
        <v>0</v>
      </c>
      <c r="AS178" t="s">
        <v>820</v>
      </c>
    </row>
    <row r="179" spans="1:45" x14ac:dyDescent="0.3">
      <c r="A179">
        <v>236</v>
      </c>
      <c r="B179">
        <v>224</v>
      </c>
      <c r="C179" t="s">
        <v>821</v>
      </c>
      <c r="D179" t="s">
        <v>45</v>
      </c>
      <c r="E179" t="s">
        <v>46</v>
      </c>
      <c r="F179" t="s">
        <v>47</v>
      </c>
      <c r="G179">
        <v>22.6</v>
      </c>
      <c r="H179">
        <v>20.8</v>
      </c>
      <c r="I179">
        <v>99.1</v>
      </c>
      <c r="J179">
        <v>33.6</v>
      </c>
      <c r="K179">
        <v>63.9</v>
      </c>
      <c r="L179">
        <v>93.8</v>
      </c>
      <c r="M179">
        <v>64.3</v>
      </c>
      <c r="N179">
        <v>40.4</v>
      </c>
      <c r="O179">
        <v>63.7</v>
      </c>
      <c r="P179">
        <v>42.3</v>
      </c>
      <c r="Q179">
        <v>133</v>
      </c>
      <c r="R179" t="s">
        <v>821</v>
      </c>
      <c r="S179">
        <v>63.6</v>
      </c>
      <c r="T179">
        <v>1330</v>
      </c>
      <c r="U179">
        <v>50.8</v>
      </c>
      <c r="V179">
        <v>128</v>
      </c>
      <c r="W179">
        <v>42.9</v>
      </c>
      <c r="X179">
        <v>211</v>
      </c>
      <c r="Y179">
        <v>88.3</v>
      </c>
      <c r="Z179">
        <v>150</v>
      </c>
      <c r="AA179">
        <v>89</v>
      </c>
      <c r="AB179">
        <v>173</v>
      </c>
      <c r="AC179">
        <v>81.7</v>
      </c>
      <c r="AD179">
        <v>229</v>
      </c>
      <c r="AE179" t="s">
        <v>49</v>
      </c>
      <c r="AF179">
        <v>0</v>
      </c>
      <c r="AG179" t="s">
        <v>822</v>
      </c>
      <c r="AH179">
        <v>545</v>
      </c>
      <c r="AI179" t="s">
        <v>46</v>
      </c>
      <c r="AJ179" s="1">
        <v>9855</v>
      </c>
      <c r="AK179">
        <v>7.3</v>
      </c>
      <c r="AL179" s="2">
        <v>0.34</v>
      </c>
      <c r="AM179" s="3">
        <v>2.1180555555555554</v>
      </c>
      <c r="AN179" t="s">
        <v>821</v>
      </c>
      <c r="AO179" t="s">
        <v>823</v>
      </c>
      <c r="AP179" t="b">
        <v>0</v>
      </c>
      <c r="AQ179" t="b">
        <v>0</v>
      </c>
      <c r="AR179" t="b">
        <v>0</v>
      </c>
      <c r="AS179" t="s">
        <v>824</v>
      </c>
    </row>
    <row r="180" spans="1:45" x14ac:dyDescent="0.3">
      <c r="A180">
        <v>239</v>
      </c>
      <c r="B180">
        <v>239</v>
      </c>
      <c r="C180" t="s">
        <v>825</v>
      </c>
      <c r="D180" t="s">
        <v>281</v>
      </c>
      <c r="E180" t="s">
        <v>282</v>
      </c>
      <c r="F180" t="s">
        <v>47</v>
      </c>
      <c r="G180">
        <v>30.1</v>
      </c>
      <c r="H180">
        <v>14</v>
      </c>
      <c r="I180">
        <v>48</v>
      </c>
      <c r="J180">
        <v>27.4</v>
      </c>
      <c r="K180">
        <v>98.5</v>
      </c>
      <c r="L180">
        <v>95.2</v>
      </c>
      <c r="M180">
        <v>85.1</v>
      </c>
      <c r="N180">
        <v>49.2</v>
      </c>
      <c r="O180">
        <v>91.4</v>
      </c>
      <c r="P180">
        <v>41.8</v>
      </c>
      <c r="Q180" t="s">
        <v>572</v>
      </c>
      <c r="R180" t="s">
        <v>825</v>
      </c>
      <c r="S180" t="s">
        <v>574</v>
      </c>
      <c r="T180">
        <v>5580</v>
      </c>
      <c r="U180">
        <v>28.7</v>
      </c>
      <c r="V180">
        <v>756</v>
      </c>
      <c r="W180">
        <v>28.2</v>
      </c>
      <c r="X180">
        <v>512</v>
      </c>
      <c r="Y180">
        <v>60.5</v>
      </c>
      <c r="Z180">
        <v>767</v>
      </c>
      <c r="AA180">
        <v>77.599999999999994</v>
      </c>
      <c r="AB180">
        <v>293</v>
      </c>
      <c r="AC180">
        <v>87.5</v>
      </c>
      <c r="AD180">
        <v>157</v>
      </c>
      <c r="AE180" t="s">
        <v>57</v>
      </c>
      <c r="AF180">
        <v>0</v>
      </c>
      <c r="AG180" t="s">
        <v>826</v>
      </c>
      <c r="AH180">
        <v>839</v>
      </c>
      <c r="AI180" t="s">
        <v>282</v>
      </c>
      <c r="AJ180" s="1">
        <v>17883</v>
      </c>
      <c r="AK180">
        <v>17.399999999999999</v>
      </c>
      <c r="AL180" s="2">
        <v>0.27</v>
      </c>
      <c r="AM180" s="3">
        <v>2.6916666666666669</v>
      </c>
      <c r="AN180" t="s">
        <v>825</v>
      </c>
      <c r="AO180" t="s">
        <v>827</v>
      </c>
      <c r="AP180" t="b">
        <v>0</v>
      </c>
      <c r="AQ180" t="b">
        <v>0</v>
      </c>
      <c r="AR180" t="b">
        <v>0</v>
      </c>
      <c r="AS180" t="s">
        <v>828</v>
      </c>
    </row>
    <row r="181" spans="1:45" x14ac:dyDescent="0.3">
      <c r="A181">
        <v>241</v>
      </c>
      <c r="B181">
        <v>246</v>
      </c>
      <c r="C181" t="s">
        <v>829</v>
      </c>
      <c r="D181" t="s">
        <v>150</v>
      </c>
      <c r="E181" t="s">
        <v>151</v>
      </c>
      <c r="F181" t="s">
        <v>56</v>
      </c>
      <c r="G181">
        <v>20</v>
      </c>
      <c r="H181">
        <v>35.9</v>
      </c>
      <c r="I181">
        <v>6.7</v>
      </c>
      <c r="J181">
        <v>70</v>
      </c>
      <c r="K181">
        <v>60.3</v>
      </c>
      <c r="L181">
        <v>81.400000000000006</v>
      </c>
      <c r="M181">
        <v>65.900000000000006</v>
      </c>
      <c r="N181">
        <v>44.4</v>
      </c>
      <c r="O181">
        <v>71.8</v>
      </c>
      <c r="P181">
        <v>41.7</v>
      </c>
      <c r="Q181" t="s">
        <v>486</v>
      </c>
      <c r="R181" t="s">
        <v>829</v>
      </c>
      <c r="S181" t="s">
        <v>487</v>
      </c>
      <c r="T181">
        <v>2980</v>
      </c>
      <c r="U181">
        <v>42.4</v>
      </c>
      <c r="V181">
        <v>256</v>
      </c>
      <c r="W181">
        <v>48.1</v>
      </c>
      <c r="X181">
        <v>158</v>
      </c>
      <c r="Y181">
        <v>62.6</v>
      </c>
      <c r="Z181">
        <v>718</v>
      </c>
      <c r="AA181">
        <v>99.8</v>
      </c>
      <c r="AB181">
        <v>44</v>
      </c>
      <c r="AC181">
        <v>65.400000000000006</v>
      </c>
      <c r="AD181">
        <v>476</v>
      </c>
      <c r="AE181" t="s">
        <v>57</v>
      </c>
      <c r="AF181">
        <v>0</v>
      </c>
      <c r="AG181" t="s">
        <v>830</v>
      </c>
      <c r="AH181">
        <v>745</v>
      </c>
      <c r="AI181" t="s">
        <v>151</v>
      </c>
      <c r="AJ181" s="1">
        <v>15882</v>
      </c>
      <c r="AK181">
        <v>37</v>
      </c>
      <c r="AL181" s="2">
        <v>0.19</v>
      </c>
      <c r="AM181" t="s">
        <v>831</v>
      </c>
      <c r="AN181" t="s">
        <v>832</v>
      </c>
      <c r="AO181" t="s">
        <v>833</v>
      </c>
      <c r="AP181" t="b">
        <v>0</v>
      </c>
      <c r="AQ181" t="b">
        <v>0</v>
      </c>
      <c r="AR181" t="b">
        <v>0</v>
      </c>
    </row>
    <row r="182" spans="1:45" x14ac:dyDescent="0.3">
      <c r="A182">
        <v>243</v>
      </c>
      <c r="B182">
        <v>237</v>
      </c>
      <c r="C182" t="s">
        <v>834</v>
      </c>
      <c r="D182" t="s">
        <v>45</v>
      </c>
      <c r="E182" t="s">
        <v>46</v>
      </c>
      <c r="F182" t="s">
        <v>47</v>
      </c>
      <c r="G182">
        <v>22.8</v>
      </c>
      <c r="H182">
        <v>31</v>
      </c>
      <c r="I182">
        <v>65.8</v>
      </c>
      <c r="J182">
        <v>60.6</v>
      </c>
      <c r="K182">
        <v>9.1999999999999993</v>
      </c>
      <c r="L182">
        <v>40.9</v>
      </c>
      <c r="M182">
        <v>42.5</v>
      </c>
      <c r="N182">
        <v>68.8</v>
      </c>
      <c r="O182">
        <v>71.2</v>
      </c>
      <c r="P182">
        <v>41.3</v>
      </c>
      <c r="Q182">
        <f>161</f>
        <v>161</v>
      </c>
      <c r="R182" t="s">
        <v>834</v>
      </c>
      <c r="S182">
        <v>61.4</v>
      </c>
      <c r="T182">
        <v>1620</v>
      </c>
      <c r="U182">
        <v>57.3</v>
      </c>
      <c r="V182">
        <v>87</v>
      </c>
      <c r="W182">
        <v>40.700000000000003</v>
      </c>
      <c r="X182">
        <v>239</v>
      </c>
      <c r="Y182">
        <v>84.7</v>
      </c>
      <c r="Z182">
        <v>218</v>
      </c>
      <c r="AA182">
        <v>68.400000000000006</v>
      </c>
      <c r="AB182">
        <v>468</v>
      </c>
      <c r="AC182">
        <v>60.2</v>
      </c>
      <c r="AD182">
        <v>580</v>
      </c>
      <c r="AE182" t="s">
        <v>49</v>
      </c>
      <c r="AF182">
        <v>0</v>
      </c>
      <c r="AG182" t="s">
        <v>835</v>
      </c>
      <c r="AH182">
        <v>554</v>
      </c>
      <c r="AI182" t="s">
        <v>46</v>
      </c>
      <c r="AJ182" s="1">
        <v>6226</v>
      </c>
      <c r="AK182">
        <v>7.4</v>
      </c>
      <c r="AL182" s="2">
        <v>0.16</v>
      </c>
      <c r="AM182" s="3">
        <v>2.0770833333333334</v>
      </c>
      <c r="AN182" t="s">
        <v>834</v>
      </c>
      <c r="AO182" t="s">
        <v>836</v>
      </c>
      <c r="AP182" t="b">
        <v>0</v>
      </c>
      <c r="AQ182" t="b">
        <v>0</v>
      </c>
      <c r="AR182" t="b">
        <v>0</v>
      </c>
      <c r="AS182" t="s">
        <v>837</v>
      </c>
    </row>
    <row r="183" spans="1:45" x14ac:dyDescent="0.3">
      <c r="A183">
        <v>244</v>
      </c>
      <c r="B183">
        <v>241</v>
      </c>
      <c r="C183" t="s">
        <v>838</v>
      </c>
      <c r="D183" t="s">
        <v>281</v>
      </c>
      <c r="E183" t="s">
        <v>282</v>
      </c>
      <c r="F183" t="s">
        <v>56</v>
      </c>
      <c r="G183">
        <v>42.8</v>
      </c>
      <c r="H183">
        <v>21.4</v>
      </c>
      <c r="I183">
        <v>10.1</v>
      </c>
      <c r="J183">
        <v>32.1</v>
      </c>
      <c r="K183">
        <v>100</v>
      </c>
      <c r="L183">
        <v>31</v>
      </c>
      <c r="M183">
        <v>70.7</v>
      </c>
      <c r="N183">
        <v>71.599999999999994</v>
      </c>
      <c r="O183">
        <v>91.4</v>
      </c>
      <c r="P183">
        <v>41.2</v>
      </c>
      <c r="Q183" t="s">
        <v>372</v>
      </c>
      <c r="R183" t="s">
        <v>838</v>
      </c>
      <c r="S183" t="s">
        <v>374</v>
      </c>
      <c r="T183">
        <v>4980</v>
      </c>
      <c r="U183">
        <v>28.6</v>
      </c>
      <c r="V183">
        <v>769</v>
      </c>
      <c r="W183">
        <v>34.1</v>
      </c>
      <c r="X183">
        <v>377</v>
      </c>
      <c r="Y183">
        <v>69.400000000000006</v>
      </c>
      <c r="Z183">
        <v>570</v>
      </c>
      <c r="AA183">
        <v>58.4</v>
      </c>
      <c r="AB183">
        <v>669</v>
      </c>
      <c r="AC183">
        <v>80.3</v>
      </c>
      <c r="AD183">
        <v>252</v>
      </c>
      <c r="AE183" t="s">
        <v>57</v>
      </c>
      <c r="AF183">
        <v>0</v>
      </c>
      <c r="AG183" t="s">
        <v>839</v>
      </c>
      <c r="AH183">
        <v>736</v>
      </c>
      <c r="AI183" t="s">
        <v>282</v>
      </c>
      <c r="AJ183" s="1">
        <v>18231</v>
      </c>
      <c r="AK183">
        <v>19.399999999999999</v>
      </c>
      <c r="AL183" s="2">
        <v>0.17</v>
      </c>
      <c r="AM183" s="3">
        <v>2.4458333333333333</v>
      </c>
      <c r="AN183" t="s">
        <v>838</v>
      </c>
      <c r="AO183" t="s">
        <v>840</v>
      </c>
      <c r="AP183" t="b">
        <v>0</v>
      </c>
      <c r="AQ183" t="b">
        <v>0</v>
      </c>
      <c r="AR183" t="b">
        <v>0</v>
      </c>
      <c r="AS183" t="s">
        <v>841</v>
      </c>
    </row>
    <row r="184" spans="1:45" x14ac:dyDescent="0.3">
      <c r="A184">
        <v>245</v>
      </c>
      <c r="B184">
        <v>254</v>
      </c>
      <c r="C184" t="s">
        <v>842</v>
      </c>
      <c r="D184" t="s">
        <v>843</v>
      </c>
      <c r="E184" t="s">
        <v>844</v>
      </c>
      <c r="F184" t="s">
        <v>56</v>
      </c>
      <c r="G184">
        <v>11.9</v>
      </c>
      <c r="H184">
        <v>10.5</v>
      </c>
      <c r="I184">
        <v>9.8000000000000007</v>
      </c>
      <c r="J184">
        <v>99.1</v>
      </c>
      <c r="K184">
        <v>100</v>
      </c>
      <c r="L184">
        <v>99.9</v>
      </c>
      <c r="M184">
        <v>57</v>
      </c>
      <c r="N184">
        <v>50.3</v>
      </c>
      <c r="O184">
        <v>7.7</v>
      </c>
      <c r="P184">
        <v>41.1</v>
      </c>
      <c r="Q184">
        <f>193</f>
        <v>193</v>
      </c>
      <c r="R184" t="s">
        <v>842</v>
      </c>
      <c r="S184">
        <v>59</v>
      </c>
      <c r="T184">
        <v>1940</v>
      </c>
      <c r="U184">
        <v>38.4</v>
      </c>
      <c r="V184">
        <v>351</v>
      </c>
      <c r="W184">
        <v>38.1</v>
      </c>
      <c r="X184">
        <v>285</v>
      </c>
      <c r="Y184">
        <v>90.3</v>
      </c>
      <c r="Z184">
        <v>121</v>
      </c>
      <c r="AA184">
        <v>61.9</v>
      </c>
      <c r="AB184">
        <v>614</v>
      </c>
      <c r="AC184">
        <v>93.7</v>
      </c>
      <c r="AD184">
        <v>68</v>
      </c>
      <c r="AE184" t="s">
        <v>57</v>
      </c>
      <c r="AF184">
        <v>11</v>
      </c>
      <c r="AG184" t="s">
        <v>845</v>
      </c>
      <c r="AH184">
        <v>1027</v>
      </c>
      <c r="AI184" t="s">
        <v>846</v>
      </c>
      <c r="AJ184" s="1">
        <v>10908</v>
      </c>
      <c r="AK184">
        <v>18.600000000000001</v>
      </c>
      <c r="AL184" s="2">
        <v>0.41</v>
      </c>
      <c r="AM184" s="3">
        <v>2.2819444444444446</v>
      </c>
      <c r="AN184" t="s">
        <v>842</v>
      </c>
      <c r="AO184" t="s">
        <v>847</v>
      </c>
      <c r="AP184" t="b">
        <v>0</v>
      </c>
      <c r="AQ184" t="b">
        <v>0</v>
      </c>
      <c r="AR184" t="b">
        <v>0</v>
      </c>
    </row>
    <row r="185" spans="1:45" x14ac:dyDescent="0.3">
      <c r="A185">
        <v>246</v>
      </c>
      <c r="B185">
        <v>248</v>
      </c>
      <c r="C185" t="s">
        <v>848</v>
      </c>
      <c r="D185" t="s">
        <v>849</v>
      </c>
      <c r="E185" t="s">
        <v>850</v>
      </c>
      <c r="F185" t="s">
        <v>77</v>
      </c>
      <c r="G185">
        <v>45.6</v>
      </c>
      <c r="H185">
        <v>49.1</v>
      </c>
      <c r="I185">
        <v>32.200000000000003</v>
      </c>
      <c r="J185">
        <v>8</v>
      </c>
      <c r="K185">
        <v>25</v>
      </c>
      <c r="L185">
        <v>50.5</v>
      </c>
      <c r="M185">
        <v>96.3</v>
      </c>
      <c r="N185">
        <v>65.5</v>
      </c>
      <c r="O185">
        <v>77.400000000000006</v>
      </c>
      <c r="P185">
        <v>41</v>
      </c>
      <c r="Q185" t="s">
        <v>372</v>
      </c>
      <c r="R185" t="s">
        <v>848</v>
      </c>
      <c r="S185" t="s">
        <v>374</v>
      </c>
      <c r="T185">
        <v>4170</v>
      </c>
      <c r="U185">
        <v>38.799999999999997</v>
      </c>
      <c r="V185">
        <v>341</v>
      </c>
      <c r="W185">
        <v>33.1</v>
      </c>
      <c r="X185">
        <v>399</v>
      </c>
      <c r="Y185">
        <v>61.9</v>
      </c>
      <c r="Z185">
        <v>738</v>
      </c>
      <c r="AA185">
        <v>60.1</v>
      </c>
      <c r="AB185">
        <v>643</v>
      </c>
      <c r="AC185">
        <v>64.7</v>
      </c>
      <c r="AD185">
        <v>490</v>
      </c>
      <c r="AE185" t="s">
        <v>57</v>
      </c>
      <c r="AF185">
        <v>0</v>
      </c>
      <c r="AG185" t="s">
        <v>851</v>
      </c>
      <c r="AH185">
        <v>799</v>
      </c>
      <c r="AI185" t="s">
        <v>850</v>
      </c>
      <c r="AJ185" s="1">
        <v>51728</v>
      </c>
      <c r="AK185">
        <v>13.4</v>
      </c>
      <c r="AL185" s="2">
        <v>0.23</v>
      </c>
      <c r="AM185" s="3">
        <v>2.6097222222222221</v>
      </c>
      <c r="AN185" t="s">
        <v>848</v>
      </c>
      <c r="AO185" t="s">
        <v>852</v>
      </c>
      <c r="AP185" t="b">
        <v>0</v>
      </c>
      <c r="AQ185" t="b">
        <v>0</v>
      </c>
      <c r="AR185" t="b">
        <v>0</v>
      </c>
    </row>
    <row r="186" spans="1:45" x14ac:dyDescent="0.3">
      <c r="A186">
        <v>246</v>
      </c>
      <c r="B186">
        <v>218</v>
      </c>
      <c r="C186" t="s">
        <v>853</v>
      </c>
      <c r="D186" t="s">
        <v>54</v>
      </c>
      <c r="E186" t="s">
        <v>55</v>
      </c>
      <c r="F186" t="s">
        <v>56</v>
      </c>
      <c r="G186">
        <v>22.6</v>
      </c>
      <c r="H186">
        <v>10.4</v>
      </c>
      <c r="I186">
        <v>15.5</v>
      </c>
      <c r="J186">
        <v>56.8</v>
      </c>
      <c r="K186">
        <v>99.6</v>
      </c>
      <c r="L186">
        <v>84.9</v>
      </c>
      <c r="M186">
        <v>84.7</v>
      </c>
      <c r="N186">
        <v>39.9</v>
      </c>
      <c r="O186">
        <v>97.7</v>
      </c>
      <c r="P186">
        <v>41</v>
      </c>
      <c r="Q186" t="s">
        <v>292</v>
      </c>
      <c r="R186" t="s">
        <v>853</v>
      </c>
      <c r="S186" t="s">
        <v>293</v>
      </c>
      <c r="T186">
        <v>2410</v>
      </c>
      <c r="U186">
        <v>29.7</v>
      </c>
      <c r="V186">
        <v>712</v>
      </c>
      <c r="W186">
        <v>35.6</v>
      </c>
      <c r="X186">
        <v>333</v>
      </c>
      <c r="Y186">
        <v>92.7</v>
      </c>
      <c r="Z186">
        <v>83</v>
      </c>
      <c r="AA186">
        <v>66.099999999999994</v>
      </c>
      <c r="AB186">
        <v>526</v>
      </c>
      <c r="AC186">
        <v>95.4</v>
      </c>
      <c r="AD186">
        <v>43</v>
      </c>
      <c r="AE186" t="s">
        <v>57</v>
      </c>
      <c r="AF186">
        <v>0</v>
      </c>
      <c r="AG186" t="s">
        <v>854</v>
      </c>
      <c r="AH186">
        <v>563</v>
      </c>
      <c r="AI186" t="s">
        <v>55</v>
      </c>
      <c r="AJ186" s="1">
        <v>17640</v>
      </c>
      <c r="AK186">
        <v>17.3</v>
      </c>
      <c r="AL186" s="2">
        <v>0.34</v>
      </c>
      <c r="AM186" s="3">
        <v>2.3229166666666665</v>
      </c>
      <c r="AN186" t="s">
        <v>853</v>
      </c>
      <c r="AO186" t="s">
        <v>855</v>
      </c>
      <c r="AP186" t="b">
        <v>0</v>
      </c>
      <c r="AQ186" t="b">
        <v>0</v>
      </c>
      <c r="AR186" t="b">
        <v>0</v>
      </c>
      <c r="AS186" t="s">
        <v>856</v>
      </c>
    </row>
    <row r="187" spans="1:45" x14ac:dyDescent="0.3">
      <c r="A187">
        <v>248</v>
      </c>
      <c r="B187">
        <v>261</v>
      </c>
      <c r="C187" t="s">
        <v>857</v>
      </c>
      <c r="D187" t="s">
        <v>45</v>
      </c>
      <c r="E187" t="s">
        <v>46</v>
      </c>
      <c r="F187" t="s">
        <v>56</v>
      </c>
      <c r="G187">
        <v>24.4</v>
      </c>
      <c r="H187">
        <v>21.8</v>
      </c>
      <c r="I187">
        <v>100</v>
      </c>
      <c r="J187">
        <v>53</v>
      </c>
      <c r="K187">
        <v>30.1</v>
      </c>
      <c r="L187">
        <v>36</v>
      </c>
      <c r="M187">
        <v>78.599999999999994</v>
      </c>
      <c r="N187">
        <v>34.700000000000003</v>
      </c>
      <c r="O187">
        <v>24.5</v>
      </c>
      <c r="P187">
        <v>40.799999999999997</v>
      </c>
      <c r="Q187">
        <f>92</f>
        <v>92</v>
      </c>
      <c r="R187" t="s">
        <v>857</v>
      </c>
      <c r="S187">
        <v>67.400000000000006</v>
      </c>
      <c r="T187">
        <v>930</v>
      </c>
      <c r="U187">
        <v>54.1</v>
      </c>
      <c r="V187">
        <v>104</v>
      </c>
      <c r="W187">
        <v>48.5</v>
      </c>
      <c r="X187">
        <v>153</v>
      </c>
      <c r="Y187">
        <v>96</v>
      </c>
      <c r="Z187">
        <v>37</v>
      </c>
      <c r="AA187">
        <v>96.5</v>
      </c>
      <c r="AB187">
        <v>99</v>
      </c>
      <c r="AC187">
        <v>62.9</v>
      </c>
      <c r="AD187">
        <v>521</v>
      </c>
      <c r="AE187" t="s">
        <v>49</v>
      </c>
      <c r="AF187">
        <v>0</v>
      </c>
      <c r="AG187" t="s">
        <v>858</v>
      </c>
      <c r="AH187">
        <v>534</v>
      </c>
      <c r="AI187" t="s">
        <v>46</v>
      </c>
      <c r="AJ187" s="1">
        <v>12971</v>
      </c>
      <c r="AK187">
        <v>3.9</v>
      </c>
      <c r="AL187" s="2">
        <v>0.17</v>
      </c>
      <c r="AM187" s="3">
        <v>2.3229166666666665</v>
      </c>
      <c r="AN187" t="s">
        <v>857</v>
      </c>
      <c r="AO187" t="s">
        <v>859</v>
      </c>
      <c r="AP187" t="b">
        <v>0</v>
      </c>
      <c r="AQ187" t="b">
        <v>0</v>
      </c>
      <c r="AR187" t="b">
        <v>0</v>
      </c>
      <c r="AS187" t="s">
        <v>860</v>
      </c>
    </row>
    <row r="188" spans="1:45" x14ac:dyDescent="0.3">
      <c r="A188">
        <v>249</v>
      </c>
      <c r="B188">
        <v>280</v>
      </c>
      <c r="C188" t="s">
        <v>861</v>
      </c>
      <c r="D188" t="s">
        <v>626</v>
      </c>
      <c r="E188" t="s">
        <v>627</v>
      </c>
      <c r="F188" t="s">
        <v>56</v>
      </c>
      <c r="G188">
        <v>30.6</v>
      </c>
      <c r="H188">
        <v>68</v>
      </c>
      <c r="I188">
        <v>49.6</v>
      </c>
      <c r="J188">
        <v>14.7</v>
      </c>
      <c r="K188">
        <v>24.8</v>
      </c>
      <c r="L188">
        <v>73.8</v>
      </c>
      <c r="M188">
        <v>63.6</v>
      </c>
      <c r="N188">
        <v>75.8</v>
      </c>
      <c r="O188">
        <v>42.3</v>
      </c>
      <c r="P188">
        <v>40.700000000000003</v>
      </c>
      <c r="Q188" t="s">
        <v>614</v>
      </c>
      <c r="R188" t="s">
        <v>861</v>
      </c>
      <c r="S188" t="s">
        <v>615</v>
      </c>
      <c r="T188">
        <v>3250</v>
      </c>
      <c r="U188">
        <v>35.6</v>
      </c>
      <c r="V188">
        <v>441</v>
      </c>
      <c r="W188">
        <v>30.4</v>
      </c>
      <c r="X188">
        <v>460</v>
      </c>
      <c r="Y188">
        <v>82.3</v>
      </c>
      <c r="Z188">
        <v>282</v>
      </c>
      <c r="AA188">
        <v>79.099999999999994</v>
      </c>
      <c r="AB188">
        <v>275</v>
      </c>
      <c r="AC188">
        <v>74.400000000000006</v>
      </c>
      <c r="AD188">
        <v>339</v>
      </c>
      <c r="AE188" t="s">
        <v>57</v>
      </c>
      <c r="AF188">
        <v>0</v>
      </c>
      <c r="AG188" t="s">
        <v>862</v>
      </c>
      <c r="AH188">
        <v>967</v>
      </c>
      <c r="AI188" t="s">
        <v>627</v>
      </c>
      <c r="AJ188" s="1">
        <v>11969</v>
      </c>
      <c r="AK188">
        <v>14.3</v>
      </c>
      <c r="AL188" s="2">
        <v>0.26</v>
      </c>
      <c r="AM188" s="3">
        <v>2.2819444444444446</v>
      </c>
      <c r="AN188" t="s">
        <v>861</v>
      </c>
      <c r="AO188" t="s">
        <v>863</v>
      </c>
      <c r="AP188" t="b">
        <v>0</v>
      </c>
      <c r="AQ188" t="b">
        <v>0</v>
      </c>
      <c r="AR188" t="b">
        <v>0</v>
      </c>
    </row>
    <row r="189" spans="1:45" x14ac:dyDescent="0.3">
      <c r="A189">
        <v>192</v>
      </c>
      <c r="B189">
        <v>216</v>
      </c>
      <c r="C189" t="s">
        <v>864</v>
      </c>
      <c r="D189" t="s">
        <v>95</v>
      </c>
      <c r="E189" t="s">
        <v>96</v>
      </c>
      <c r="F189" t="s">
        <v>77</v>
      </c>
      <c r="G189">
        <v>31.8</v>
      </c>
      <c r="H189">
        <v>16.899999999999999</v>
      </c>
      <c r="I189">
        <v>29.1</v>
      </c>
      <c r="J189">
        <v>96.9</v>
      </c>
      <c r="K189">
        <v>54.5</v>
      </c>
      <c r="L189">
        <v>26.5</v>
      </c>
      <c r="M189">
        <v>72.900000000000006</v>
      </c>
      <c r="N189">
        <v>24</v>
      </c>
      <c r="O189">
        <v>81.400000000000006</v>
      </c>
      <c r="P189">
        <v>46.9</v>
      </c>
      <c r="Q189">
        <f>185</f>
        <v>185</v>
      </c>
      <c r="R189" t="s">
        <v>864</v>
      </c>
      <c r="S189">
        <v>59.6</v>
      </c>
      <c r="T189">
        <v>1860</v>
      </c>
      <c r="U189">
        <v>50</v>
      </c>
      <c r="V189">
        <v>136</v>
      </c>
      <c r="W189">
        <v>53.6</v>
      </c>
      <c r="X189">
        <v>120</v>
      </c>
      <c r="Y189">
        <v>69.5</v>
      </c>
      <c r="Z189">
        <v>569</v>
      </c>
      <c r="AA189">
        <v>85.4</v>
      </c>
      <c r="AB189">
        <v>204</v>
      </c>
      <c r="AC189">
        <v>67.7</v>
      </c>
      <c r="AD189">
        <v>437</v>
      </c>
      <c r="AE189" t="s">
        <v>57</v>
      </c>
      <c r="AF189">
        <v>0</v>
      </c>
      <c r="AG189" t="s">
        <v>865</v>
      </c>
      <c r="AH189">
        <v>984</v>
      </c>
      <c r="AI189" t="s">
        <v>98</v>
      </c>
      <c r="AJ189" s="1">
        <v>31632</v>
      </c>
      <c r="AK189">
        <v>11.3</v>
      </c>
      <c r="AL189" s="2">
        <v>0.15</v>
      </c>
      <c r="AM189" s="3">
        <v>1.7493055555555554</v>
      </c>
      <c r="AN189" t="s">
        <v>864</v>
      </c>
      <c r="AO189" t="s">
        <v>866</v>
      </c>
      <c r="AP189" t="b">
        <v>0</v>
      </c>
      <c r="AQ189" t="b">
        <v>0</v>
      </c>
      <c r="AR189" t="b">
        <v>0</v>
      </c>
    </row>
    <row r="190" spans="1:45" x14ac:dyDescent="0.3">
      <c r="A190">
        <v>252</v>
      </c>
      <c r="B190">
        <v>295</v>
      </c>
      <c r="C190" t="s">
        <v>867</v>
      </c>
      <c r="D190" t="s">
        <v>112</v>
      </c>
      <c r="E190" t="s">
        <v>113</v>
      </c>
      <c r="F190" t="s">
        <v>47</v>
      </c>
      <c r="G190">
        <v>18.2</v>
      </c>
      <c r="H190">
        <v>12</v>
      </c>
      <c r="I190">
        <v>60</v>
      </c>
      <c r="J190">
        <v>61.4</v>
      </c>
      <c r="K190">
        <v>98.9</v>
      </c>
      <c r="L190">
        <v>100</v>
      </c>
      <c r="M190">
        <v>37</v>
      </c>
      <c r="N190">
        <v>15.7</v>
      </c>
      <c r="O190">
        <v>54.4</v>
      </c>
      <c r="P190">
        <v>40.299999999999997</v>
      </c>
      <c r="Q190" t="s">
        <v>614</v>
      </c>
      <c r="R190" t="s">
        <v>867</v>
      </c>
      <c r="S190" t="s">
        <v>615</v>
      </c>
      <c r="T190">
        <v>3190</v>
      </c>
      <c r="U190">
        <v>34</v>
      </c>
      <c r="V190">
        <v>492</v>
      </c>
      <c r="W190">
        <v>28.9</v>
      </c>
      <c r="X190">
        <v>498</v>
      </c>
      <c r="Y190">
        <v>77.2</v>
      </c>
      <c r="Z190">
        <v>390</v>
      </c>
      <c r="AA190">
        <v>69.599999999999994</v>
      </c>
      <c r="AB190">
        <v>440</v>
      </c>
      <c r="AC190">
        <v>97.8</v>
      </c>
      <c r="AD190">
        <v>10</v>
      </c>
      <c r="AE190" t="s">
        <v>57</v>
      </c>
      <c r="AF190">
        <v>0</v>
      </c>
      <c r="AG190" t="s">
        <v>868</v>
      </c>
      <c r="AH190">
        <v>748</v>
      </c>
      <c r="AI190" t="s">
        <v>116</v>
      </c>
      <c r="AJ190" s="1">
        <v>7460</v>
      </c>
      <c r="AK190">
        <v>10.199999999999999</v>
      </c>
      <c r="AL190" s="2">
        <v>0.55000000000000004</v>
      </c>
      <c r="AM190" s="3">
        <v>2.7326388888888888</v>
      </c>
      <c r="AN190" t="s">
        <v>869</v>
      </c>
      <c r="AO190" t="s">
        <v>870</v>
      </c>
      <c r="AP190" t="b">
        <v>0</v>
      </c>
      <c r="AQ190" t="b">
        <v>0</v>
      </c>
      <c r="AR190" t="b">
        <v>0</v>
      </c>
    </row>
    <row r="191" spans="1:45" x14ac:dyDescent="0.3">
      <c r="A191">
        <v>252</v>
      </c>
      <c r="B191">
        <v>232</v>
      </c>
      <c r="C191" t="s">
        <v>871</v>
      </c>
      <c r="D191" t="s">
        <v>150</v>
      </c>
      <c r="E191" t="s">
        <v>151</v>
      </c>
      <c r="F191" t="s">
        <v>56</v>
      </c>
      <c r="G191">
        <v>46.4</v>
      </c>
      <c r="H191">
        <v>27.1</v>
      </c>
      <c r="I191">
        <v>76.400000000000006</v>
      </c>
      <c r="J191">
        <v>16.2</v>
      </c>
      <c r="K191">
        <v>49.7</v>
      </c>
      <c r="L191">
        <v>22.4</v>
      </c>
      <c r="M191">
        <v>95.1</v>
      </c>
      <c r="N191">
        <v>40.299999999999997</v>
      </c>
      <c r="O191">
        <v>32.1</v>
      </c>
      <c r="P191">
        <v>40.299999999999997</v>
      </c>
      <c r="Q191">
        <f>111</f>
        <v>111</v>
      </c>
      <c r="R191" t="s">
        <v>871</v>
      </c>
      <c r="S191">
        <v>65.8</v>
      </c>
      <c r="T191">
        <v>1120</v>
      </c>
      <c r="U191">
        <v>50</v>
      </c>
      <c r="V191">
        <v>134</v>
      </c>
      <c r="W191">
        <v>54.8</v>
      </c>
      <c r="X191">
        <v>112</v>
      </c>
      <c r="Y191">
        <v>90.1</v>
      </c>
      <c r="Z191">
        <v>125</v>
      </c>
      <c r="AA191">
        <v>70.8</v>
      </c>
      <c r="AB191">
        <v>411</v>
      </c>
      <c r="AC191">
        <v>70.7</v>
      </c>
      <c r="AD191">
        <v>396</v>
      </c>
      <c r="AE191" t="s">
        <v>57</v>
      </c>
      <c r="AF191">
        <v>0</v>
      </c>
      <c r="AG191" t="s">
        <v>872</v>
      </c>
      <c r="AH191">
        <v>533</v>
      </c>
      <c r="AI191" t="s">
        <v>151</v>
      </c>
      <c r="AJ191" s="1">
        <v>23349</v>
      </c>
      <c r="AK191">
        <v>27.4</v>
      </c>
      <c r="AL191" s="2">
        <v>0.14000000000000001</v>
      </c>
      <c r="AM191" s="3">
        <v>2.2409722222222221</v>
      </c>
      <c r="AN191" t="s">
        <v>871</v>
      </c>
      <c r="AO191" t="s">
        <v>873</v>
      </c>
      <c r="AP191" t="b">
        <v>0</v>
      </c>
      <c r="AQ191" t="b">
        <v>0</v>
      </c>
      <c r="AR191" t="b">
        <v>0</v>
      </c>
    </row>
    <row r="192" spans="1:45" x14ac:dyDescent="0.3">
      <c r="A192">
        <v>255</v>
      </c>
      <c r="B192">
        <v>243</v>
      </c>
      <c r="C192" t="s">
        <v>874</v>
      </c>
      <c r="D192" t="s">
        <v>87</v>
      </c>
      <c r="E192" t="s">
        <v>88</v>
      </c>
      <c r="F192" t="s">
        <v>56</v>
      </c>
      <c r="G192">
        <v>27</v>
      </c>
      <c r="H192">
        <v>13.7</v>
      </c>
      <c r="I192">
        <v>8.4</v>
      </c>
      <c r="J192">
        <v>62.5</v>
      </c>
      <c r="K192">
        <v>99.8</v>
      </c>
      <c r="L192">
        <v>38.5</v>
      </c>
      <c r="M192">
        <v>92.1</v>
      </c>
      <c r="N192">
        <v>17.899999999999999</v>
      </c>
      <c r="O192">
        <v>96.4</v>
      </c>
      <c r="P192">
        <v>40.1</v>
      </c>
      <c r="Q192" t="s">
        <v>486</v>
      </c>
      <c r="R192" t="s">
        <v>874</v>
      </c>
      <c r="S192" t="s">
        <v>487</v>
      </c>
      <c r="T192">
        <v>2610</v>
      </c>
      <c r="U192">
        <v>30.5</v>
      </c>
      <c r="V192">
        <v>665</v>
      </c>
      <c r="W192">
        <v>37.799999999999997</v>
      </c>
      <c r="X192">
        <v>295</v>
      </c>
      <c r="Y192">
        <v>82.7</v>
      </c>
      <c r="Z192">
        <v>266</v>
      </c>
      <c r="AA192">
        <v>74.599999999999994</v>
      </c>
      <c r="AB192">
        <v>342</v>
      </c>
      <c r="AC192">
        <v>81.8</v>
      </c>
      <c r="AD192">
        <v>225</v>
      </c>
      <c r="AE192" t="s">
        <v>57</v>
      </c>
      <c r="AF192">
        <v>6</v>
      </c>
      <c r="AG192" t="s">
        <v>875</v>
      </c>
      <c r="AH192">
        <v>825</v>
      </c>
      <c r="AI192" t="s">
        <v>88</v>
      </c>
      <c r="AJ192" s="1">
        <v>34770</v>
      </c>
      <c r="AK192">
        <v>31.6</v>
      </c>
      <c r="AL192" s="2">
        <v>0.15</v>
      </c>
      <c r="AM192" s="3">
        <v>2.5277777777777777</v>
      </c>
      <c r="AN192" t="s">
        <v>874</v>
      </c>
      <c r="AO192" t="s">
        <v>876</v>
      </c>
      <c r="AP192" t="b">
        <v>0</v>
      </c>
      <c r="AQ192" t="b">
        <v>0</v>
      </c>
      <c r="AR192" t="b">
        <v>0</v>
      </c>
    </row>
    <row r="193" spans="1:45" x14ac:dyDescent="0.3">
      <c r="A193">
        <v>256</v>
      </c>
      <c r="B193">
        <v>281</v>
      </c>
      <c r="C193" t="s">
        <v>877</v>
      </c>
      <c r="D193" t="s">
        <v>878</v>
      </c>
      <c r="E193" t="s">
        <v>879</v>
      </c>
      <c r="F193" t="s">
        <v>56</v>
      </c>
      <c r="G193">
        <v>43.2</v>
      </c>
      <c r="H193">
        <v>72.7</v>
      </c>
      <c r="I193">
        <v>55.8</v>
      </c>
      <c r="J193">
        <v>2.6</v>
      </c>
      <c r="K193">
        <v>94.4</v>
      </c>
      <c r="L193">
        <v>3.8</v>
      </c>
      <c r="M193">
        <v>26.3</v>
      </c>
      <c r="N193">
        <v>49.2</v>
      </c>
      <c r="O193">
        <v>37.6</v>
      </c>
      <c r="P193">
        <v>39.9</v>
      </c>
      <c r="Q193" t="s">
        <v>621</v>
      </c>
      <c r="R193" t="s">
        <v>877</v>
      </c>
      <c r="S193" t="s">
        <v>622</v>
      </c>
      <c r="T193">
        <v>12240</v>
      </c>
      <c r="U193">
        <v>23.7</v>
      </c>
      <c r="V193">
        <v>1097</v>
      </c>
      <c r="W193">
        <v>17.100000000000001</v>
      </c>
      <c r="X193">
        <v>960</v>
      </c>
      <c r="Y193">
        <v>29.2</v>
      </c>
      <c r="Z193">
        <v>1459</v>
      </c>
      <c r="AA193">
        <v>29.4</v>
      </c>
      <c r="AB193">
        <v>1195</v>
      </c>
      <c r="AC193">
        <v>38.5</v>
      </c>
      <c r="AD193">
        <v>1168</v>
      </c>
      <c r="AE193" t="s">
        <v>57</v>
      </c>
      <c r="AF193">
        <v>0</v>
      </c>
      <c r="AG193" t="s">
        <v>880</v>
      </c>
      <c r="AH193">
        <v>589106</v>
      </c>
      <c r="AI193" t="s">
        <v>879</v>
      </c>
      <c r="AJ193" s="1">
        <v>27774</v>
      </c>
      <c r="AK193">
        <v>15.3</v>
      </c>
      <c r="AL193" s="2">
        <v>0.03</v>
      </c>
      <c r="AM193" s="3">
        <v>1.83125</v>
      </c>
      <c r="AN193" t="s">
        <v>877</v>
      </c>
      <c r="AO193" t="s">
        <v>881</v>
      </c>
      <c r="AP193" t="b">
        <v>0</v>
      </c>
      <c r="AQ193" t="b">
        <v>0</v>
      </c>
      <c r="AR193" t="b">
        <v>0</v>
      </c>
    </row>
    <row r="194" spans="1:45" x14ac:dyDescent="0.3">
      <c r="A194">
        <v>256</v>
      </c>
      <c r="B194">
        <v>235</v>
      </c>
      <c r="C194" t="s">
        <v>882</v>
      </c>
      <c r="D194" t="s">
        <v>54</v>
      </c>
      <c r="E194" t="s">
        <v>55</v>
      </c>
      <c r="F194" t="s">
        <v>47</v>
      </c>
      <c r="G194">
        <v>17.8</v>
      </c>
      <c r="H194">
        <v>27.1</v>
      </c>
      <c r="I194">
        <v>17.600000000000001</v>
      </c>
      <c r="J194">
        <v>65.2</v>
      </c>
      <c r="K194">
        <v>100</v>
      </c>
      <c r="L194">
        <v>98.1</v>
      </c>
      <c r="M194">
        <v>75.400000000000006</v>
      </c>
      <c r="N194">
        <v>26.3</v>
      </c>
      <c r="O194">
        <v>25.7</v>
      </c>
      <c r="P194">
        <v>39.9</v>
      </c>
      <c r="Q194" t="s">
        <v>659</v>
      </c>
      <c r="R194" t="s">
        <v>882</v>
      </c>
      <c r="S194" t="s">
        <v>660</v>
      </c>
      <c r="T194">
        <v>3700</v>
      </c>
      <c r="U194">
        <v>34.299999999999997</v>
      </c>
      <c r="V194">
        <v>482</v>
      </c>
      <c r="W194">
        <v>33.4</v>
      </c>
      <c r="X194">
        <v>395</v>
      </c>
      <c r="Y194">
        <v>65.2</v>
      </c>
      <c r="Z194">
        <v>670</v>
      </c>
      <c r="AA194">
        <v>75.099999999999994</v>
      </c>
      <c r="AB194">
        <v>336</v>
      </c>
      <c r="AC194">
        <v>94.8</v>
      </c>
      <c r="AD194">
        <v>52</v>
      </c>
      <c r="AE194" t="s">
        <v>57</v>
      </c>
      <c r="AF194">
        <v>0</v>
      </c>
      <c r="AG194" t="s">
        <v>883</v>
      </c>
      <c r="AH194">
        <v>828</v>
      </c>
      <c r="AI194" t="s">
        <v>55</v>
      </c>
      <c r="AJ194" s="1">
        <v>9735</v>
      </c>
      <c r="AK194">
        <v>18.2</v>
      </c>
      <c r="AL194" s="2">
        <v>0.36</v>
      </c>
      <c r="AM194" t="s">
        <v>455</v>
      </c>
      <c r="AN194" t="s">
        <v>882</v>
      </c>
      <c r="AO194" t="s">
        <v>884</v>
      </c>
      <c r="AP194" t="b">
        <v>0</v>
      </c>
      <c r="AQ194" t="b">
        <v>0</v>
      </c>
      <c r="AR194" t="b">
        <v>0</v>
      </c>
      <c r="AS194" t="s">
        <v>885</v>
      </c>
    </row>
    <row r="195" spans="1:45" x14ac:dyDescent="0.3">
      <c r="A195">
        <v>258</v>
      </c>
      <c r="B195">
        <v>262</v>
      </c>
      <c r="C195" t="s">
        <v>886</v>
      </c>
      <c r="D195" t="s">
        <v>887</v>
      </c>
      <c r="E195" t="s">
        <v>888</v>
      </c>
      <c r="F195" t="s">
        <v>77</v>
      </c>
      <c r="G195">
        <v>50</v>
      </c>
      <c r="H195">
        <v>53.6</v>
      </c>
      <c r="I195">
        <v>46.4</v>
      </c>
      <c r="J195">
        <v>5.5</v>
      </c>
      <c r="K195">
        <v>10.5</v>
      </c>
      <c r="L195">
        <v>8.4</v>
      </c>
      <c r="M195">
        <v>84.1</v>
      </c>
      <c r="N195">
        <v>60</v>
      </c>
      <c r="O195">
        <v>69.8</v>
      </c>
      <c r="P195">
        <v>39.799999999999997</v>
      </c>
      <c r="Q195" t="s">
        <v>696</v>
      </c>
      <c r="R195" t="s">
        <v>889</v>
      </c>
      <c r="S195" t="s">
        <v>697</v>
      </c>
      <c r="T195">
        <v>7910</v>
      </c>
      <c r="U195">
        <v>33.1</v>
      </c>
      <c r="V195">
        <v>542</v>
      </c>
      <c r="W195">
        <v>29.9</v>
      </c>
      <c r="X195">
        <v>477</v>
      </c>
      <c r="Y195">
        <v>55.6</v>
      </c>
      <c r="Z195">
        <v>875</v>
      </c>
      <c r="AA195">
        <v>37.1</v>
      </c>
      <c r="AB195">
        <v>1045</v>
      </c>
      <c r="AC195">
        <v>45.6</v>
      </c>
      <c r="AD195">
        <v>943</v>
      </c>
      <c r="AE195" t="s">
        <v>57</v>
      </c>
      <c r="AF195">
        <v>0</v>
      </c>
      <c r="AG195" t="s">
        <v>890</v>
      </c>
      <c r="AH195">
        <v>813</v>
      </c>
      <c r="AI195" t="s">
        <v>888</v>
      </c>
      <c r="AJ195" s="1">
        <v>34342</v>
      </c>
      <c r="AK195">
        <v>10.9</v>
      </c>
      <c r="AL195" s="2">
        <v>0.09</v>
      </c>
      <c r="AM195" s="3">
        <v>2.6097222222222221</v>
      </c>
      <c r="AN195" t="s">
        <v>889</v>
      </c>
      <c r="AO195" t="s">
        <v>891</v>
      </c>
      <c r="AP195" t="b">
        <v>0</v>
      </c>
      <c r="AQ195" t="b">
        <v>0</v>
      </c>
      <c r="AR195" t="b">
        <v>0</v>
      </c>
    </row>
    <row r="196" spans="1:45" x14ac:dyDescent="0.3">
      <c r="A196">
        <v>259</v>
      </c>
      <c r="B196">
        <v>255</v>
      </c>
      <c r="C196" t="s">
        <v>892</v>
      </c>
      <c r="D196" t="s">
        <v>45</v>
      </c>
      <c r="E196" t="s">
        <v>46</v>
      </c>
      <c r="F196" t="s">
        <v>47</v>
      </c>
      <c r="G196">
        <v>17.2</v>
      </c>
      <c r="H196">
        <v>15.4</v>
      </c>
      <c r="I196">
        <v>82.3</v>
      </c>
      <c r="J196">
        <v>61.6</v>
      </c>
      <c r="K196">
        <v>35.700000000000003</v>
      </c>
      <c r="L196">
        <v>71.7</v>
      </c>
      <c r="M196">
        <v>55.6</v>
      </c>
      <c r="N196">
        <v>29.3</v>
      </c>
      <c r="O196">
        <v>53.1</v>
      </c>
      <c r="P196">
        <v>39.700000000000003</v>
      </c>
      <c r="Q196">
        <f>164</f>
        <v>164</v>
      </c>
      <c r="R196" t="s">
        <v>892</v>
      </c>
      <c r="S196">
        <v>61.3</v>
      </c>
      <c r="T196">
        <v>1640</v>
      </c>
      <c r="U196">
        <v>51.7</v>
      </c>
      <c r="V196">
        <v>121</v>
      </c>
      <c r="W196">
        <v>40.200000000000003</v>
      </c>
      <c r="X196">
        <v>246</v>
      </c>
      <c r="Y196">
        <v>88.7</v>
      </c>
      <c r="Z196">
        <v>142</v>
      </c>
      <c r="AA196">
        <v>71.400000000000006</v>
      </c>
      <c r="AB196">
        <v>398</v>
      </c>
      <c r="AC196">
        <v>65</v>
      </c>
      <c r="AD196">
        <v>484</v>
      </c>
      <c r="AE196" t="s">
        <v>49</v>
      </c>
      <c r="AF196">
        <v>0</v>
      </c>
      <c r="AG196" t="s">
        <v>893</v>
      </c>
      <c r="AH196">
        <v>557</v>
      </c>
      <c r="AI196" t="s">
        <v>46</v>
      </c>
      <c r="AJ196" s="1">
        <v>10294</v>
      </c>
      <c r="AK196">
        <v>8.8000000000000007</v>
      </c>
      <c r="AL196" s="2">
        <v>0.25</v>
      </c>
      <c r="AM196" s="3">
        <v>2.1590277777777778</v>
      </c>
      <c r="AN196" t="s">
        <v>892</v>
      </c>
      <c r="AO196" t="s">
        <v>894</v>
      </c>
      <c r="AP196" t="b">
        <v>0</v>
      </c>
      <c r="AQ196" t="b">
        <v>0</v>
      </c>
      <c r="AR196" t="b">
        <v>0</v>
      </c>
      <c r="AS196" t="s">
        <v>895</v>
      </c>
    </row>
    <row r="197" spans="1:45" x14ac:dyDescent="0.3">
      <c r="A197">
        <v>260</v>
      </c>
      <c r="B197">
        <v>266</v>
      </c>
      <c r="C197" t="s">
        <v>896</v>
      </c>
      <c r="D197" t="s">
        <v>897</v>
      </c>
      <c r="E197" t="s">
        <v>898</v>
      </c>
      <c r="F197" t="s">
        <v>77</v>
      </c>
      <c r="G197">
        <v>44</v>
      </c>
      <c r="H197">
        <v>20.7</v>
      </c>
      <c r="I197">
        <v>10.7</v>
      </c>
      <c r="J197">
        <v>36.5</v>
      </c>
      <c r="K197">
        <v>9</v>
      </c>
      <c r="L197">
        <v>39.4</v>
      </c>
      <c r="M197">
        <v>98.2</v>
      </c>
      <c r="N197">
        <v>94</v>
      </c>
      <c r="O197">
        <v>70.900000000000006</v>
      </c>
      <c r="P197">
        <v>39.6</v>
      </c>
      <c r="Q197" t="s">
        <v>372</v>
      </c>
      <c r="R197" t="s">
        <v>899</v>
      </c>
      <c r="S197" t="s">
        <v>374</v>
      </c>
      <c r="T197">
        <v>4520</v>
      </c>
      <c r="U197">
        <v>29.6</v>
      </c>
      <c r="V197">
        <v>714</v>
      </c>
      <c r="W197">
        <v>38</v>
      </c>
      <c r="X197">
        <v>289</v>
      </c>
      <c r="Y197">
        <v>69.900000000000006</v>
      </c>
      <c r="Z197">
        <v>559</v>
      </c>
      <c r="AA197">
        <v>64.7</v>
      </c>
      <c r="AB197">
        <v>555</v>
      </c>
      <c r="AC197">
        <v>56.9</v>
      </c>
      <c r="AD197">
        <v>645</v>
      </c>
      <c r="AE197" t="s">
        <v>57</v>
      </c>
      <c r="AF197">
        <v>0</v>
      </c>
      <c r="AG197" t="s">
        <v>900</v>
      </c>
      <c r="AH197">
        <v>1032</v>
      </c>
      <c r="AI197" t="s">
        <v>898</v>
      </c>
      <c r="AJ197" s="1">
        <v>49847</v>
      </c>
      <c r="AK197">
        <v>18</v>
      </c>
      <c r="AL197" s="2">
        <v>0.16</v>
      </c>
      <c r="AM197" s="3">
        <v>2.2409722222222221</v>
      </c>
      <c r="AN197" t="s">
        <v>899</v>
      </c>
      <c r="AO197" t="s">
        <v>901</v>
      </c>
      <c r="AP197" t="b">
        <v>0</v>
      </c>
      <c r="AQ197" t="b">
        <v>0</v>
      </c>
      <c r="AR197" t="b">
        <v>0</v>
      </c>
    </row>
    <row r="198" spans="1:45" x14ac:dyDescent="0.3">
      <c r="A198">
        <v>261</v>
      </c>
      <c r="B198">
        <v>290</v>
      </c>
      <c r="C198" t="s">
        <v>902</v>
      </c>
      <c r="D198" t="s">
        <v>731</v>
      </c>
      <c r="E198" t="s">
        <v>732</v>
      </c>
      <c r="F198" t="s">
        <v>47</v>
      </c>
      <c r="G198">
        <v>30.1</v>
      </c>
      <c r="H198">
        <v>38.299999999999997</v>
      </c>
      <c r="I198">
        <v>49.8</v>
      </c>
      <c r="J198">
        <v>16.600000000000001</v>
      </c>
      <c r="K198">
        <v>100</v>
      </c>
      <c r="L198">
        <v>34.200000000000003</v>
      </c>
      <c r="M198">
        <v>86.2</v>
      </c>
      <c r="N198">
        <v>82</v>
      </c>
      <c r="O198">
        <v>36.6</v>
      </c>
      <c r="P198">
        <v>39.4</v>
      </c>
      <c r="Q198" t="s">
        <v>614</v>
      </c>
      <c r="R198" t="s">
        <v>902</v>
      </c>
      <c r="S198" t="s">
        <v>615</v>
      </c>
      <c r="T198">
        <v>3450</v>
      </c>
      <c r="U198">
        <v>27</v>
      </c>
      <c r="V198">
        <v>878</v>
      </c>
      <c r="W198">
        <v>34.5</v>
      </c>
      <c r="X198">
        <v>364</v>
      </c>
      <c r="Y198">
        <v>83.2</v>
      </c>
      <c r="Z198">
        <v>258</v>
      </c>
      <c r="AA198">
        <v>77.400000000000006</v>
      </c>
      <c r="AB198">
        <v>299</v>
      </c>
      <c r="AC198">
        <v>89.1</v>
      </c>
      <c r="AD198">
        <v>136</v>
      </c>
      <c r="AE198" t="s">
        <v>57</v>
      </c>
      <c r="AF198">
        <v>11</v>
      </c>
      <c r="AG198" t="s">
        <v>903</v>
      </c>
      <c r="AH198">
        <v>946</v>
      </c>
      <c r="AI198" t="s">
        <v>732</v>
      </c>
      <c r="AJ198" s="1">
        <v>8147</v>
      </c>
      <c r="AK198">
        <v>12.6</v>
      </c>
      <c r="AL198" s="2">
        <v>0.18</v>
      </c>
      <c r="AM198" s="3">
        <v>3.1013888888888888</v>
      </c>
      <c r="AN198" t="s">
        <v>902</v>
      </c>
      <c r="AO198" t="s">
        <v>904</v>
      </c>
      <c r="AP198" t="b">
        <v>0</v>
      </c>
      <c r="AQ198" t="b">
        <v>0</v>
      </c>
      <c r="AR198" t="b">
        <v>0</v>
      </c>
    </row>
    <row r="199" spans="1:45" x14ac:dyDescent="0.3">
      <c r="A199">
        <v>264</v>
      </c>
      <c r="B199">
        <v>292</v>
      </c>
      <c r="C199" t="s">
        <v>905</v>
      </c>
      <c r="D199" t="s">
        <v>472</v>
      </c>
      <c r="E199" t="s">
        <v>473</v>
      </c>
      <c r="F199" t="s">
        <v>77</v>
      </c>
      <c r="G199">
        <v>33.200000000000003</v>
      </c>
      <c r="H199">
        <v>25.2</v>
      </c>
      <c r="I199">
        <v>22.3</v>
      </c>
      <c r="J199">
        <v>30.4</v>
      </c>
      <c r="K199">
        <v>75.099999999999994</v>
      </c>
      <c r="L199">
        <v>9.3000000000000007</v>
      </c>
      <c r="M199">
        <v>94.4</v>
      </c>
      <c r="N199">
        <v>89.4</v>
      </c>
      <c r="O199">
        <v>85.8</v>
      </c>
      <c r="P199">
        <v>39.1</v>
      </c>
      <c r="Q199" t="s">
        <v>614</v>
      </c>
      <c r="R199" t="s">
        <v>906</v>
      </c>
      <c r="S199" t="s">
        <v>615</v>
      </c>
      <c r="T199">
        <v>3270</v>
      </c>
      <c r="U199">
        <v>36</v>
      </c>
      <c r="V199">
        <v>426</v>
      </c>
      <c r="W199">
        <v>38.4</v>
      </c>
      <c r="X199">
        <v>274</v>
      </c>
      <c r="Y199">
        <v>74.7</v>
      </c>
      <c r="Z199">
        <v>448</v>
      </c>
      <c r="AA199">
        <v>67.8</v>
      </c>
      <c r="AB199">
        <v>484</v>
      </c>
      <c r="AC199">
        <v>66.2</v>
      </c>
      <c r="AD199">
        <v>461</v>
      </c>
      <c r="AE199" t="s">
        <v>57</v>
      </c>
      <c r="AF199">
        <v>0</v>
      </c>
      <c r="AG199" t="s">
        <v>907</v>
      </c>
      <c r="AH199">
        <v>729</v>
      </c>
      <c r="AI199" t="s">
        <v>473</v>
      </c>
      <c r="AJ199" s="1">
        <v>37865</v>
      </c>
      <c r="AK199">
        <v>15</v>
      </c>
      <c r="AL199" s="2">
        <v>0.09</v>
      </c>
      <c r="AM199" s="3">
        <v>2.0770833333333334</v>
      </c>
      <c r="AN199" t="s">
        <v>906</v>
      </c>
      <c r="AO199" t="s">
        <v>908</v>
      </c>
      <c r="AP199" t="b">
        <v>0</v>
      </c>
      <c r="AQ199" t="b">
        <v>0</v>
      </c>
      <c r="AR199" t="b">
        <v>0</v>
      </c>
    </row>
    <row r="200" spans="1:45" x14ac:dyDescent="0.3">
      <c r="A200">
        <v>267</v>
      </c>
      <c r="B200">
        <v>248</v>
      </c>
      <c r="C200" t="s">
        <v>909</v>
      </c>
      <c r="D200" t="s">
        <v>273</v>
      </c>
      <c r="E200" t="s">
        <v>274</v>
      </c>
      <c r="F200" t="s">
        <v>56</v>
      </c>
      <c r="G200">
        <v>24.1</v>
      </c>
      <c r="H200">
        <v>11.3</v>
      </c>
      <c r="I200">
        <v>37.5</v>
      </c>
      <c r="J200">
        <v>48.1</v>
      </c>
      <c r="K200">
        <v>94.4</v>
      </c>
      <c r="L200">
        <v>32</v>
      </c>
      <c r="M200">
        <v>94.6</v>
      </c>
      <c r="N200">
        <v>44.8</v>
      </c>
      <c r="O200">
        <v>74.8</v>
      </c>
      <c r="P200">
        <v>38.700000000000003</v>
      </c>
      <c r="Q200">
        <f>161</f>
        <v>161</v>
      </c>
      <c r="R200" t="s">
        <v>909</v>
      </c>
      <c r="S200">
        <v>61.4</v>
      </c>
      <c r="T200">
        <v>1610</v>
      </c>
      <c r="U200">
        <v>38.200000000000003</v>
      </c>
      <c r="V200">
        <v>357</v>
      </c>
      <c r="W200">
        <v>44.4</v>
      </c>
      <c r="X200">
        <v>195</v>
      </c>
      <c r="Y200">
        <v>92.5</v>
      </c>
      <c r="Z200">
        <v>84</v>
      </c>
      <c r="AA200">
        <v>98.4</v>
      </c>
      <c r="AB200">
        <v>81</v>
      </c>
      <c r="AC200">
        <v>74.7</v>
      </c>
      <c r="AD200">
        <v>334</v>
      </c>
      <c r="AE200" t="s">
        <v>57</v>
      </c>
      <c r="AF200">
        <v>0</v>
      </c>
      <c r="AG200" t="s">
        <v>910</v>
      </c>
      <c r="AH200">
        <v>742</v>
      </c>
      <c r="AI200" t="s">
        <v>274</v>
      </c>
      <c r="AJ200" s="1">
        <v>16168</v>
      </c>
      <c r="AK200">
        <v>31.8</v>
      </c>
      <c r="AL200" s="2">
        <v>0.17</v>
      </c>
      <c r="AM200" s="3">
        <v>2.3638888888888889</v>
      </c>
      <c r="AN200" t="s">
        <v>909</v>
      </c>
      <c r="AO200" t="s">
        <v>911</v>
      </c>
      <c r="AP200" t="b">
        <v>0</v>
      </c>
      <c r="AQ200" t="b">
        <v>0</v>
      </c>
      <c r="AR200" t="b">
        <v>0</v>
      </c>
    </row>
    <row r="201" spans="1:45" x14ac:dyDescent="0.3">
      <c r="A201">
        <v>267</v>
      </c>
      <c r="B201">
        <v>264</v>
      </c>
      <c r="C201" t="s">
        <v>912</v>
      </c>
      <c r="D201" t="s">
        <v>649</v>
      </c>
      <c r="E201" t="s">
        <v>650</v>
      </c>
      <c r="F201" t="s">
        <v>56</v>
      </c>
      <c r="G201">
        <v>26.5</v>
      </c>
      <c r="H201">
        <v>42.1</v>
      </c>
      <c r="I201">
        <v>8.9</v>
      </c>
      <c r="J201">
        <v>30.5</v>
      </c>
      <c r="K201">
        <v>75.099999999999994</v>
      </c>
      <c r="L201">
        <v>5.8</v>
      </c>
      <c r="M201">
        <v>96.8</v>
      </c>
      <c r="N201">
        <v>98.9</v>
      </c>
      <c r="O201">
        <v>84.8</v>
      </c>
      <c r="P201">
        <v>38.700000000000003</v>
      </c>
      <c r="Q201" t="s">
        <v>614</v>
      </c>
      <c r="R201" t="s">
        <v>913</v>
      </c>
      <c r="S201" t="s">
        <v>615</v>
      </c>
      <c r="T201">
        <v>3490</v>
      </c>
      <c r="U201">
        <v>33</v>
      </c>
      <c r="V201">
        <v>544</v>
      </c>
      <c r="W201">
        <v>42.9</v>
      </c>
      <c r="X201">
        <v>213</v>
      </c>
      <c r="Y201">
        <v>72.400000000000006</v>
      </c>
      <c r="Z201">
        <v>502</v>
      </c>
      <c r="AA201">
        <v>81.3</v>
      </c>
      <c r="AB201">
        <v>249</v>
      </c>
      <c r="AC201">
        <v>76.3</v>
      </c>
      <c r="AD201">
        <v>309</v>
      </c>
      <c r="AE201" t="s">
        <v>57</v>
      </c>
      <c r="AF201">
        <v>11</v>
      </c>
      <c r="AG201" t="s">
        <v>914</v>
      </c>
      <c r="AH201">
        <v>739</v>
      </c>
      <c r="AI201" t="s">
        <v>650</v>
      </c>
      <c r="AJ201" s="1">
        <v>27765</v>
      </c>
      <c r="AK201">
        <v>24.4</v>
      </c>
      <c r="AL201" s="2">
        <v>7.0000000000000007E-2</v>
      </c>
      <c r="AM201" s="3">
        <v>2.4048611111111109</v>
      </c>
      <c r="AN201" t="s">
        <v>915</v>
      </c>
      <c r="AO201" t="s">
        <v>916</v>
      </c>
      <c r="AP201" t="b">
        <v>0</v>
      </c>
      <c r="AQ201" t="b">
        <v>0</v>
      </c>
      <c r="AR201" t="b">
        <v>0</v>
      </c>
    </row>
    <row r="202" spans="1:45" x14ac:dyDescent="0.3">
      <c r="A202">
        <v>331</v>
      </c>
      <c r="B202">
        <v>323</v>
      </c>
      <c r="C202" t="s">
        <v>917</v>
      </c>
      <c r="D202" t="s">
        <v>95</v>
      </c>
      <c r="E202" t="s">
        <v>96</v>
      </c>
      <c r="F202" t="s">
        <v>77</v>
      </c>
      <c r="G202">
        <v>31.8</v>
      </c>
      <c r="H202">
        <v>28.8</v>
      </c>
      <c r="I202">
        <v>46.4</v>
      </c>
      <c r="J202">
        <v>49.5</v>
      </c>
      <c r="K202">
        <v>2.2000000000000002</v>
      </c>
      <c r="L202">
        <v>3.6</v>
      </c>
      <c r="M202">
        <v>77.400000000000006</v>
      </c>
      <c r="N202">
        <v>21.4</v>
      </c>
      <c r="O202">
        <v>15.9</v>
      </c>
      <c r="P202">
        <v>33.700000000000003</v>
      </c>
      <c r="Q202" t="s">
        <v>292</v>
      </c>
      <c r="R202" t="s">
        <v>917</v>
      </c>
      <c r="S202" t="s">
        <v>293</v>
      </c>
      <c r="T202">
        <v>2400</v>
      </c>
      <c r="U202">
        <v>46.6</v>
      </c>
      <c r="V202">
        <v>180</v>
      </c>
      <c r="W202">
        <v>39.5</v>
      </c>
      <c r="X202">
        <v>255</v>
      </c>
      <c r="Y202">
        <v>83.2</v>
      </c>
      <c r="Z202">
        <v>256</v>
      </c>
      <c r="AA202">
        <v>86.2</v>
      </c>
      <c r="AB202">
        <v>194</v>
      </c>
      <c r="AC202">
        <v>39.1</v>
      </c>
      <c r="AD202">
        <v>1146</v>
      </c>
      <c r="AE202" t="s">
        <v>57</v>
      </c>
      <c r="AF202">
        <v>0</v>
      </c>
      <c r="AG202" t="s">
        <v>918</v>
      </c>
      <c r="AH202">
        <v>760</v>
      </c>
      <c r="AI202" t="s">
        <v>98</v>
      </c>
      <c r="AJ202" s="1">
        <v>61453</v>
      </c>
      <c r="AK202">
        <v>15.2</v>
      </c>
      <c r="AL202" s="2">
        <v>0.05</v>
      </c>
      <c r="AM202" s="3">
        <v>2.036111111111111</v>
      </c>
      <c r="AN202" t="s">
        <v>917</v>
      </c>
      <c r="AO202" t="s">
        <v>919</v>
      </c>
      <c r="AP202" t="b">
        <v>0</v>
      </c>
      <c r="AQ202" t="b">
        <v>0</v>
      </c>
      <c r="AR202" t="b">
        <v>0</v>
      </c>
    </row>
    <row r="203" spans="1:45" x14ac:dyDescent="0.3">
      <c r="A203">
        <v>269</v>
      </c>
      <c r="B203">
        <v>307</v>
      </c>
      <c r="C203" t="s">
        <v>920</v>
      </c>
      <c r="D203" t="s">
        <v>541</v>
      </c>
      <c r="E203" t="s">
        <v>542</v>
      </c>
      <c r="F203" t="s">
        <v>388</v>
      </c>
      <c r="G203">
        <v>19.5</v>
      </c>
      <c r="H203">
        <v>28.1</v>
      </c>
      <c r="I203">
        <v>38.5</v>
      </c>
      <c r="J203">
        <v>79</v>
      </c>
      <c r="K203">
        <v>83.9</v>
      </c>
      <c r="L203">
        <v>20.100000000000001</v>
      </c>
      <c r="M203">
        <v>63.9</v>
      </c>
      <c r="N203">
        <v>4.0999999999999996</v>
      </c>
      <c r="O203">
        <v>18.399999999999999</v>
      </c>
      <c r="P203">
        <v>38.6</v>
      </c>
      <c r="Q203" t="s">
        <v>614</v>
      </c>
      <c r="R203" t="s">
        <v>921</v>
      </c>
      <c r="S203" t="s">
        <v>615</v>
      </c>
      <c r="T203">
        <v>3420</v>
      </c>
      <c r="U203">
        <v>33.799999999999997</v>
      </c>
      <c r="V203">
        <v>506</v>
      </c>
      <c r="W203">
        <v>37.799999999999997</v>
      </c>
      <c r="X203">
        <v>296</v>
      </c>
      <c r="Y203">
        <v>77.7</v>
      </c>
      <c r="Z203">
        <v>378</v>
      </c>
      <c r="AA203">
        <v>67.900000000000006</v>
      </c>
      <c r="AB203">
        <v>483</v>
      </c>
      <c r="AC203">
        <v>77.8</v>
      </c>
      <c r="AD203">
        <v>281</v>
      </c>
      <c r="AE203" t="s">
        <v>57</v>
      </c>
      <c r="AF203">
        <v>0</v>
      </c>
      <c r="AG203" t="s">
        <v>922</v>
      </c>
      <c r="AH203">
        <v>589229</v>
      </c>
      <c r="AI203" t="s">
        <v>542</v>
      </c>
      <c r="AJ203" s="1">
        <v>4570</v>
      </c>
      <c r="AK203">
        <v>13.1</v>
      </c>
      <c r="AL203" s="2">
        <v>0.12</v>
      </c>
      <c r="AM203" t="s">
        <v>153</v>
      </c>
      <c r="AN203" t="s">
        <v>923</v>
      </c>
      <c r="AO203" t="s">
        <v>924</v>
      </c>
      <c r="AP203" t="b">
        <v>0</v>
      </c>
      <c r="AQ203" t="b">
        <v>0</v>
      </c>
      <c r="AR203" t="b">
        <v>0</v>
      </c>
    </row>
    <row r="204" spans="1:45" x14ac:dyDescent="0.3">
      <c r="A204">
        <v>252</v>
      </c>
      <c r="B204">
        <v>256</v>
      </c>
      <c r="C204" t="s">
        <v>925</v>
      </c>
      <c r="D204" t="s">
        <v>95</v>
      </c>
      <c r="E204" t="s">
        <v>96</v>
      </c>
      <c r="F204" t="s">
        <v>77</v>
      </c>
      <c r="G204">
        <v>27.1</v>
      </c>
      <c r="H204">
        <v>21.1</v>
      </c>
      <c r="I204">
        <v>33.700000000000003</v>
      </c>
      <c r="J204">
        <v>99.8</v>
      </c>
      <c r="K204">
        <v>8</v>
      </c>
      <c r="L204">
        <v>5</v>
      </c>
      <c r="M204">
        <v>68.599999999999994</v>
      </c>
      <c r="N204">
        <v>28.3</v>
      </c>
      <c r="O204">
        <v>14.6</v>
      </c>
      <c r="P204">
        <v>40.299999999999997</v>
      </c>
      <c r="Q204">
        <f>168</f>
        <v>168</v>
      </c>
      <c r="R204" t="s">
        <v>925</v>
      </c>
      <c r="S204">
        <v>60.8</v>
      </c>
      <c r="T204">
        <v>1700</v>
      </c>
      <c r="U204">
        <v>58.8</v>
      </c>
      <c r="V204">
        <v>83</v>
      </c>
      <c r="W204">
        <v>55.1</v>
      </c>
      <c r="X204">
        <v>110</v>
      </c>
      <c r="Y204">
        <v>70.900000000000006</v>
      </c>
      <c r="Z204">
        <v>539</v>
      </c>
      <c r="AA204">
        <v>91.2</v>
      </c>
      <c r="AB204">
        <v>154</v>
      </c>
      <c r="AC204">
        <v>33.9</v>
      </c>
      <c r="AD204">
        <v>1360</v>
      </c>
      <c r="AE204" t="s">
        <v>57</v>
      </c>
      <c r="AF204">
        <v>0</v>
      </c>
      <c r="AG204" t="s">
        <v>926</v>
      </c>
      <c r="AH204">
        <v>827</v>
      </c>
      <c r="AI204" t="s">
        <v>98</v>
      </c>
      <c r="AJ204" s="1">
        <v>30933</v>
      </c>
      <c r="AK204">
        <v>10.6</v>
      </c>
      <c r="AL204" s="2">
        <v>0.06</v>
      </c>
      <c r="AN204" t="s">
        <v>925</v>
      </c>
      <c r="AO204" t="s">
        <v>927</v>
      </c>
      <c r="AP204" t="b">
        <v>0</v>
      </c>
      <c r="AQ204" t="b">
        <v>0</v>
      </c>
      <c r="AR204" t="b">
        <v>0</v>
      </c>
    </row>
    <row r="205" spans="1:45" x14ac:dyDescent="0.3">
      <c r="A205">
        <v>273</v>
      </c>
      <c r="B205">
        <v>292</v>
      </c>
      <c r="C205" t="s">
        <v>928</v>
      </c>
      <c r="D205" t="s">
        <v>504</v>
      </c>
      <c r="E205" t="s">
        <v>505</v>
      </c>
      <c r="F205" t="s">
        <v>56</v>
      </c>
      <c r="G205">
        <v>30.1</v>
      </c>
      <c r="H205">
        <v>35.1</v>
      </c>
      <c r="I205">
        <v>22.1</v>
      </c>
      <c r="J205">
        <v>28.5</v>
      </c>
      <c r="K205">
        <v>89</v>
      </c>
      <c r="L205">
        <v>52.1</v>
      </c>
      <c r="M205">
        <v>69.099999999999994</v>
      </c>
      <c r="N205">
        <v>34</v>
      </c>
      <c r="O205">
        <v>91</v>
      </c>
      <c r="P205">
        <v>38.299999999999997</v>
      </c>
      <c r="Q205" t="s">
        <v>614</v>
      </c>
      <c r="R205" t="s">
        <v>928</v>
      </c>
      <c r="S205" t="s">
        <v>615</v>
      </c>
      <c r="T205">
        <v>3460</v>
      </c>
      <c r="U205">
        <v>28.3</v>
      </c>
      <c r="V205">
        <v>792</v>
      </c>
      <c r="W205">
        <v>31.6</v>
      </c>
      <c r="X205">
        <v>430</v>
      </c>
      <c r="Y205">
        <v>82.4</v>
      </c>
      <c r="Z205">
        <v>279</v>
      </c>
      <c r="AA205">
        <v>75.900000000000006</v>
      </c>
      <c r="AB205">
        <v>319</v>
      </c>
      <c r="AC205">
        <v>77.2</v>
      </c>
      <c r="AD205">
        <v>295</v>
      </c>
      <c r="AE205" t="s">
        <v>57</v>
      </c>
      <c r="AF205">
        <v>0</v>
      </c>
      <c r="AG205" t="s">
        <v>929</v>
      </c>
      <c r="AH205">
        <v>775</v>
      </c>
      <c r="AI205" t="s">
        <v>505</v>
      </c>
      <c r="AJ205" s="1">
        <v>18567</v>
      </c>
      <c r="AK205">
        <v>21.1</v>
      </c>
      <c r="AL205" s="2">
        <v>0.16</v>
      </c>
      <c r="AM205" s="3">
        <v>2.4868055555555557</v>
      </c>
      <c r="AN205" t="s">
        <v>930</v>
      </c>
      <c r="AO205" t="s">
        <v>931</v>
      </c>
      <c r="AP205" t="b">
        <v>0</v>
      </c>
      <c r="AQ205" t="b">
        <v>0</v>
      </c>
      <c r="AR205" t="b">
        <v>0</v>
      </c>
    </row>
    <row r="206" spans="1:45" x14ac:dyDescent="0.3">
      <c r="A206">
        <v>273</v>
      </c>
      <c r="B206">
        <v>289</v>
      </c>
      <c r="C206" t="s">
        <v>932</v>
      </c>
      <c r="D206" t="s">
        <v>504</v>
      </c>
      <c r="E206" t="s">
        <v>505</v>
      </c>
      <c r="F206" t="s">
        <v>56</v>
      </c>
      <c r="G206">
        <v>26.2</v>
      </c>
      <c r="H206">
        <v>30.3</v>
      </c>
      <c r="I206">
        <v>63.2</v>
      </c>
      <c r="J206">
        <v>13.2</v>
      </c>
      <c r="K206">
        <v>95.2</v>
      </c>
      <c r="L206">
        <v>43.2</v>
      </c>
      <c r="M206">
        <v>81.3</v>
      </c>
      <c r="N206">
        <v>46.6</v>
      </c>
      <c r="O206">
        <v>85.9</v>
      </c>
      <c r="P206">
        <v>38.299999999999997</v>
      </c>
      <c r="Q206" t="s">
        <v>614</v>
      </c>
      <c r="R206" t="s">
        <v>932</v>
      </c>
      <c r="S206" t="s">
        <v>615</v>
      </c>
      <c r="T206">
        <v>3150</v>
      </c>
      <c r="U206">
        <v>32.9</v>
      </c>
      <c r="V206">
        <v>545</v>
      </c>
      <c r="W206">
        <v>33.799999999999997</v>
      </c>
      <c r="X206">
        <v>383</v>
      </c>
      <c r="Y206">
        <v>76.7</v>
      </c>
      <c r="Z206">
        <v>401</v>
      </c>
      <c r="AA206">
        <v>83</v>
      </c>
      <c r="AB206">
        <v>227</v>
      </c>
      <c r="AC206">
        <v>77.599999999999994</v>
      </c>
      <c r="AD206">
        <v>285</v>
      </c>
      <c r="AE206" t="s">
        <v>57</v>
      </c>
      <c r="AF206">
        <v>0</v>
      </c>
      <c r="AG206" t="s">
        <v>933</v>
      </c>
      <c r="AH206">
        <v>842</v>
      </c>
      <c r="AI206" t="s">
        <v>505</v>
      </c>
      <c r="AJ206" s="1">
        <v>15734</v>
      </c>
      <c r="AK206">
        <v>26.1</v>
      </c>
      <c r="AL206" s="2">
        <v>0.16</v>
      </c>
      <c r="AM206" s="3">
        <v>2.4868055555555557</v>
      </c>
      <c r="AN206" t="s">
        <v>934</v>
      </c>
      <c r="AO206" t="s">
        <v>935</v>
      </c>
      <c r="AP206" t="b">
        <v>0</v>
      </c>
      <c r="AQ206" t="b">
        <v>0</v>
      </c>
      <c r="AR206" t="b">
        <v>0</v>
      </c>
    </row>
    <row r="207" spans="1:45" x14ac:dyDescent="0.3">
      <c r="A207">
        <v>275</v>
      </c>
      <c r="B207">
        <v>298</v>
      </c>
      <c r="C207" t="s">
        <v>936</v>
      </c>
      <c r="D207" t="s">
        <v>139</v>
      </c>
      <c r="E207" t="s">
        <v>140</v>
      </c>
      <c r="F207" t="s">
        <v>56</v>
      </c>
      <c r="G207">
        <v>19.399999999999999</v>
      </c>
      <c r="H207">
        <v>16.7</v>
      </c>
      <c r="I207">
        <v>12.9</v>
      </c>
      <c r="J207">
        <v>53.5</v>
      </c>
      <c r="K207">
        <v>99.9</v>
      </c>
      <c r="L207">
        <v>74.599999999999994</v>
      </c>
      <c r="M207">
        <v>77.400000000000006</v>
      </c>
      <c r="N207">
        <v>30.1</v>
      </c>
      <c r="O207">
        <v>87.9</v>
      </c>
      <c r="P207">
        <v>38.200000000000003</v>
      </c>
      <c r="Q207" t="s">
        <v>614</v>
      </c>
      <c r="R207" t="s">
        <v>936</v>
      </c>
      <c r="S207" t="s">
        <v>615</v>
      </c>
      <c r="T207">
        <v>3090</v>
      </c>
      <c r="U207">
        <v>30.8</v>
      </c>
      <c r="V207">
        <v>647</v>
      </c>
      <c r="W207">
        <v>31.6</v>
      </c>
      <c r="X207">
        <v>427</v>
      </c>
      <c r="Y207">
        <v>78.900000000000006</v>
      </c>
      <c r="Z207">
        <v>345</v>
      </c>
      <c r="AA207">
        <v>71.7</v>
      </c>
      <c r="AB207">
        <v>391</v>
      </c>
      <c r="AC207">
        <v>89.1</v>
      </c>
      <c r="AD207">
        <v>134</v>
      </c>
      <c r="AE207" t="s">
        <v>57</v>
      </c>
      <c r="AF207">
        <v>11</v>
      </c>
      <c r="AG207" t="s">
        <v>937</v>
      </c>
      <c r="AH207">
        <v>698</v>
      </c>
      <c r="AI207" t="s">
        <v>140</v>
      </c>
      <c r="AJ207" s="1">
        <v>17314</v>
      </c>
      <c r="AK207">
        <v>14.7</v>
      </c>
      <c r="AL207" s="2">
        <v>0.27</v>
      </c>
      <c r="AM207" s="3">
        <v>2.2819444444444446</v>
      </c>
      <c r="AN207" t="s">
        <v>936</v>
      </c>
      <c r="AO207" t="s">
        <v>938</v>
      </c>
      <c r="AP207" t="b">
        <v>0</v>
      </c>
      <c r="AQ207" t="b">
        <v>0</v>
      </c>
      <c r="AR207" t="b">
        <v>0</v>
      </c>
      <c r="AS207" t="s">
        <v>939</v>
      </c>
    </row>
    <row r="208" spans="1:45" x14ac:dyDescent="0.3">
      <c r="A208">
        <v>278</v>
      </c>
      <c r="B208">
        <v>253</v>
      </c>
      <c r="C208" t="s">
        <v>940</v>
      </c>
      <c r="D208" t="s">
        <v>897</v>
      </c>
      <c r="E208" t="s">
        <v>898</v>
      </c>
      <c r="F208" t="s">
        <v>77</v>
      </c>
      <c r="G208">
        <v>41.3</v>
      </c>
      <c r="H208">
        <v>17.899999999999999</v>
      </c>
      <c r="I208">
        <v>10.8</v>
      </c>
      <c r="J208">
        <v>59.6</v>
      </c>
      <c r="K208">
        <v>6.6</v>
      </c>
      <c r="L208">
        <v>19.8</v>
      </c>
      <c r="M208">
        <v>95.1</v>
      </c>
      <c r="N208">
        <v>39.1</v>
      </c>
      <c r="O208">
        <v>53.1</v>
      </c>
      <c r="P208">
        <v>38.1</v>
      </c>
      <c r="Q208" t="s">
        <v>372</v>
      </c>
      <c r="R208" t="s">
        <v>940</v>
      </c>
      <c r="S208" t="s">
        <v>374</v>
      </c>
      <c r="T208">
        <v>4710</v>
      </c>
      <c r="U208">
        <v>31.3</v>
      </c>
      <c r="V208">
        <v>624</v>
      </c>
      <c r="W208">
        <v>35.4</v>
      </c>
      <c r="X208">
        <v>341</v>
      </c>
      <c r="Y208">
        <v>71.099999999999994</v>
      </c>
      <c r="Z208">
        <v>534</v>
      </c>
      <c r="AA208">
        <v>66.3</v>
      </c>
      <c r="AB208">
        <v>521</v>
      </c>
      <c r="AC208">
        <v>57.9</v>
      </c>
      <c r="AD208">
        <v>625</v>
      </c>
      <c r="AE208" t="s">
        <v>57</v>
      </c>
      <c r="AF208">
        <v>0</v>
      </c>
      <c r="AG208" t="s">
        <v>941</v>
      </c>
      <c r="AH208">
        <v>798</v>
      </c>
      <c r="AI208" t="s">
        <v>898</v>
      </c>
      <c r="AJ208" s="1">
        <v>36386</v>
      </c>
      <c r="AK208">
        <v>16.899999999999999</v>
      </c>
      <c r="AL208" s="2">
        <v>0.17</v>
      </c>
      <c r="AM208" s="3">
        <v>2.2819444444444446</v>
      </c>
      <c r="AN208" t="s">
        <v>940</v>
      </c>
      <c r="AO208" t="s">
        <v>942</v>
      </c>
      <c r="AP208" t="b">
        <v>0</v>
      </c>
      <c r="AQ208" t="b">
        <v>0</v>
      </c>
      <c r="AR208" t="b">
        <v>0</v>
      </c>
    </row>
    <row r="209" spans="1:45" x14ac:dyDescent="0.3">
      <c r="A209">
        <v>278</v>
      </c>
      <c r="B209">
        <v>259</v>
      </c>
      <c r="C209" t="s">
        <v>943</v>
      </c>
      <c r="D209" t="s">
        <v>273</v>
      </c>
      <c r="E209" t="s">
        <v>274</v>
      </c>
      <c r="F209" t="s">
        <v>56</v>
      </c>
      <c r="G209">
        <v>23.3</v>
      </c>
      <c r="H209">
        <v>13.7</v>
      </c>
      <c r="I209">
        <v>76.099999999999994</v>
      </c>
      <c r="J209">
        <v>18.2</v>
      </c>
      <c r="K209">
        <v>93.6</v>
      </c>
      <c r="L209">
        <v>58.2</v>
      </c>
      <c r="M209">
        <v>93.1</v>
      </c>
      <c r="N209">
        <v>51.8</v>
      </c>
      <c r="O209">
        <v>72.099999999999994</v>
      </c>
      <c r="P209">
        <v>38.1</v>
      </c>
      <c r="Q209" t="s">
        <v>292</v>
      </c>
      <c r="R209" t="s">
        <v>944</v>
      </c>
      <c r="S209" t="s">
        <v>293</v>
      </c>
      <c r="T209">
        <v>2480</v>
      </c>
      <c r="U209">
        <v>37.799999999999997</v>
      </c>
      <c r="V209">
        <v>366</v>
      </c>
      <c r="W209">
        <v>42.6</v>
      </c>
      <c r="X209">
        <v>220</v>
      </c>
      <c r="Y209">
        <v>80.900000000000006</v>
      </c>
      <c r="Z209">
        <v>305</v>
      </c>
      <c r="AA209">
        <v>92.4</v>
      </c>
      <c r="AB209">
        <v>141</v>
      </c>
      <c r="AC209">
        <v>78.5</v>
      </c>
      <c r="AD209">
        <v>278</v>
      </c>
      <c r="AE209" t="s">
        <v>57</v>
      </c>
      <c r="AF209">
        <v>0</v>
      </c>
      <c r="AG209" t="s">
        <v>945</v>
      </c>
      <c r="AH209">
        <v>811</v>
      </c>
      <c r="AI209" t="s">
        <v>274</v>
      </c>
      <c r="AJ209" s="1">
        <v>14931</v>
      </c>
      <c r="AK209">
        <v>35.1</v>
      </c>
      <c r="AL209" s="2">
        <v>0.23</v>
      </c>
      <c r="AM209" s="3">
        <v>2.4458333333333333</v>
      </c>
      <c r="AN209" t="s">
        <v>944</v>
      </c>
      <c r="AO209" t="s">
        <v>946</v>
      </c>
      <c r="AP209" t="b">
        <v>0</v>
      </c>
      <c r="AQ209" t="b">
        <v>0</v>
      </c>
      <c r="AR209" t="b">
        <v>0</v>
      </c>
    </row>
    <row r="210" spans="1:45" x14ac:dyDescent="0.3">
      <c r="A210">
        <v>280</v>
      </c>
      <c r="B210">
        <v>266</v>
      </c>
      <c r="C210" t="s">
        <v>947</v>
      </c>
      <c r="D210" t="s">
        <v>166</v>
      </c>
      <c r="E210" t="s">
        <v>167</v>
      </c>
      <c r="F210" t="s">
        <v>388</v>
      </c>
      <c r="G210">
        <v>13.6</v>
      </c>
      <c r="H210">
        <v>13.5</v>
      </c>
      <c r="I210">
        <v>87.9</v>
      </c>
      <c r="J210">
        <v>98.1</v>
      </c>
      <c r="K210">
        <v>29.3</v>
      </c>
      <c r="L210">
        <v>9.6</v>
      </c>
      <c r="M210">
        <v>24.8</v>
      </c>
      <c r="N210">
        <v>3.3</v>
      </c>
      <c r="O210">
        <v>16.100000000000001</v>
      </c>
      <c r="P210">
        <v>38</v>
      </c>
      <c r="Q210">
        <f>199</f>
        <v>199</v>
      </c>
      <c r="R210" t="s">
        <v>947</v>
      </c>
      <c r="S210">
        <v>58.7</v>
      </c>
      <c r="T210">
        <v>2010</v>
      </c>
      <c r="U210">
        <v>47.7</v>
      </c>
      <c r="V210">
        <v>164</v>
      </c>
      <c r="W210">
        <v>40.799999999999997</v>
      </c>
      <c r="X210">
        <v>238</v>
      </c>
      <c r="Y210">
        <v>85</v>
      </c>
      <c r="Z210">
        <v>210</v>
      </c>
      <c r="AA210">
        <v>94.6</v>
      </c>
      <c r="AB210">
        <v>124</v>
      </c>
      <c r="AC210">
        <v>46.5</v>
      </c>
      <c r="AD210">
        <v>918</v>
      </c>
      <c r="AE210" t="s">
        <v>57</v>
      </c>
      <c r="AF210">
        <v>6</v>
      </c>
      <c r="AG210" t="s">
        <v>948</v>
      </c>
      <c r="AH210">
        <v>623271</v>
      </c>
      <c r="AI210" t="s">
        <v>167</v>
      </c>
      <c r="AJ210" s="1">
        <v>3799</v>
      </c>
      <c r="AK210">
        <v>11.8</v>
      </c>
      <c r="AL210" s="2">
        <v>0.09</v>
      </c>
      <c r="AM210" t="s">
        <v>427</v>
      </c>
      <c r="AN210" t="s">
        <v>947</v>
      </c>
      <c r="AO210" t="s">
        <v>949</v>
      </c>
      <c r="AP210" t="b">
        <v>0</v>
      </c>
      <c r="AQ210" t="b">
        <v>0</v>
      </c>
      <c r="AR210" t="b">
        <v>0</v>
      </c>
    </row>
    <row r="211" spans="1:45" x14ac:dyDescent="0.3">
      <c r="A211">
        <v>281</v>
      </c>
      <c r="B211">
        <v>251</v>
      </c>
      <c r="C211" t="s">
        <v>950</v>
      </c>
      <c r="D211" t="s">
        <v>750</v>
      </c>
      <c r="E211" t="s">
        <v>751</v>
      </c>
      <c r="F211" t="s">
        <v>56</v>
      </c>
      <c r="G211">
        <v>32.799999999999997</v>
      </c>
      <c r="H211">
        <v>18.2</v>
      </c>
      <c r="I211">
        <v>79.3</v>
      </c>
      <c r="J211">
        <v>19.399999999999999</v>
      </c>
      <c r="K211">
        <v>53.2</v>
      </c>
      <c r="L211">
        <v>23.8</v>
      </c>
      <c r="M211">
        <v>77.8</v>
      </c>
      <c r="N211">
        <v>94.6</v>
      </c>
      <c r="O211">
        <v>34.200000000000003</v>
      </c>
      <c r="P211">
        <v>37.9</v>
      </c>
      <c r="Q211" t="s">
        <v>614</v>
      </c>
      <c r="R211" t="s">
        <v>951</v>
      </c>
      <c r="S211" t="s">
        <v>615</v>
      </c>
      <c r="T211">
        <v>3180</v>
      </c>
      <c r="U211">
        <v>46.4</v>
      </c>
      <c r="V211">
        <v>183</v>
      </c>
      <c r="W211">
        <v>36.299999999999997</v>
      </c>
      <c r="X211">
        <v>320</v>
      </c>
      <c r="Y211">
        <v>68.900000000000006</v>
      </c>
      <c r="Z211">
        <v>581</v>
      </c>
      <c r="AA211">
        <v>71</v>
      </c>
      <c r="AB211">
        <v>407</v>
      </c>
      <c r="AC211">
        <v>46.8</v>
      </c>
      <c r="AD211">
        <v>896</v>
      </c>
      <c r="AE211" t="s">
        <v>57</v>
      </c>
      <c r="AF211">
        <v>0</v>
      </c>
      <c r="AG211" t="s">
        <v>952</v>
      </c>
      <c r="AH211">
        <v>585</v>
      </c>
      <c r="AI211" t="s">
        <v>751</v>
      </c>
      <c r="AJ211" s="1">
        <v>19267</v>
      </c>
      <c r="AK211">
        <v>8.9</v>
      </c>
      <c r="AL211" s="2">
        <v>0.05</v>
      </c>
      <c r="AM211" s="3">
        <v>2.4458333333333333</v>
      </c>
      <c r="AN211" t="s">
        <v>951</v>
      </c>
      <c r="AO211" t="s">
        <v>953</v>
      </c>
      <c r="AP211" t="b">
        <v>0</v>
      </c>
      <c r="AQ211" t="b">
        <v>0</v>
      </c>
      <c r="AR211" t="b">
        <v>0</v>
      </c>
    </row>
    <row r="212" spans="1:45" x14ac:dyDescent="0.3">
      <c r="A212">
        <v>281</v>
      </c>
      <c r="B212">
        <v>276</v>
      </c>
      <c r="C212" t="s">
        <v>954</v>
      </c>
      <c r="D212" t="s">
        <v>54</v>
      </c>
      <c r="E212" t="s">
        <v>55</v>
      </c>
      <c r="F212" t="s">
        <v>56</v>
      </c>
      <c r="G212">
        <v>25.9</v>
      </c>
      <c r="H212">
        <v>30</v>
      </c>
      <c r="I212">
        <v>16.7</v>
      </c>
      <c r="J212">
        <v>31.8</v>
      </c>
      <c r="K212">
        <v>93</v>
      </c>
      <c r="L212">
        <v>64</v>
      </c>
      <c r="M212">
        <v>85</v>
      </c>
      <c r="N212">
        <v>33.6</v>
      </c>
      <c r="O212">
        <v>88.6</v>
      </c>
      <c r="P212">
        <v>37.9</v>
      </c>
      <c r="Q212" t="s">
        <v>614</v>
      </c>
      <c r="R212" t="s">
        <v>954</v>
      </c>
      <c r="S212" t="s">
        <v>615</v>
      </c>
      <c r="T212">
        <v>3380</v>
      </c>
      <c r="U212">
        <v>32.4</v>
      </c>
      <c r="V212">
        <v>576</v>
      </c>
      <c r="W212">
        <v>35.5</v>
      </c>
      <c r="X212">
        <v>335</v>
      </c>
      <c r="Y212">
        <v>71.2</v>
      </c>
      <c r="Z212">
        <v>532</v>
      </c>
      <c r="AA212">
        <v>75.5</v>
      </c>
      <c r="AB212">
        <v>327</v>
      </c>
      <c r="AC212">
        <v>91.9</v>
      </c>
      <c r="AD212">
        <v>101</v>
      </c>
      <c r="AE212" t="s">
        <v>57</v>
      </c>
      <c r="AF212">
        <v>0</v>
      </c>
      <c r="AG212" t="s">
        <v>955</v>
      </c>
      <c r="AH212">
        <v>856</v>
      </c>
      <c r="AI212" t="s">
        <v>55</v>
      </c>
      <c r="AJ212" s="1">
        <v>20400</v>
      </c>
      <c r="AK212">
        <v>16.3</v>
      </c>
      <c r="AL212" s="2">
        <v>0.25</v>
      </c>
      <c r="AM212" s="3">
        <v>2.1590277777777778</v>
      </c>
      <c r="AN212" t="s">
        <v>954</v>
      </c>
      <c r="AO212" t="s">
        <v>956</v>
      </c>
      <c r="AP212" t="b">
        <v>0</v>
      </c>
      <c r="AQ212" t="b">
        <v>0</v>
      </c>
      <c r="AR212" t="b">
        <v>0</v>
      </c>
      <c r="AS212" t="s">
        <v>957</v>
      </c>
    </row>
    <row r="213" spans="1:45" x14ac:dyDescent="0.3">
      <c r="A213">
        <v>362</v>
      </c>
      <c r="B213">
        <v>392</v>
      </c>
      <c r="C213" t="s">
        <v>958</v>
      </c>
      <c r="D213" t="s">
        <v>95</v>
      </c>
      <c r="E213" t="s">
        <v>96</v>
      </c>
      <c r="F213" t="s">
        <v>77</v>
      </c>
      <c r="G213">
        <v>23.6</v>
      </c>
      <c r="H213">
        <v>16.2</v>
      </c>
      <c r="I213">
        <v>19</v>
      </c>
      <c r="J213">
        <v>72.2</v>
      </c>
      <c r="K213">
        <v>5.0999999999999996</v>
      </c>
      <c r="L213">
        <v>3.1</v>
      </c>
      <c r="M213">
        <v>62.6</v>
      </c>
      <c r="N213">
        <v>46</v>
      </c>
      <c r="O213">
        <v>15.4</v>
      </c>
      <c r="P213">
        <v>31.7</v>
      </c>
      <c r="Q213" t="s">
        <v>614</v>
      </c>
      <c r="R213" t="s">
        <v>958</v>
      </c>
      <c r="S213" t="s">
        <v>615</v>
      </c>
      <c r="T213">
        <v>3500</v>
      </c>
      <c r="U213">
        <v>38</v>
      </c>
      <c r="V213">
        <v>363</v>
      </c>
      <c r="W213">
        <v>33.5</v>
      </c>
      <c r="X213">
        <v>393</v>
      </c>
      <c r="Y213">
        <v>83.7</v>
      </c>
      <c r="Z213">
        <v>244</v>
      </c>
      <c r="AA213">
        <v>72.099999999999994</v>
      </c>
      <c r="AB213">
        <v>386</v>
      </c>
      <c r="AC213">
        <v>38.4</v>
      </c>
      <c r="AD213">
        <v>1175</v>
      </c>
      <c r="AE213" t="s">
        <v>57</v>
      </c>
      <c r="AF213">
        <v>0</v>
      </c>
      <c r="AG213" t="s">
        <v>959</v>
      </c>
      <c r="AH213">
        <v>131582</v>
      </c>
      <c r="AI213" t="s">
        <v>98</v>
      </c>
      <c r="AJ213" s="1">
        <v>44715</v>
      </c>
      <c r="AK213">
        <v>15.1</v>
      </c>
      <c r="AL213" s="2">
        <v>0.02</v>
      </c>
      <c r="AN213" t="s">
        <v>958</v>
      </c>
      <c r="AO213" t="s">
        <v>960</v>
      </c>
      <c r="AP213" t="b">
        <v>0</v>
      </c>
      <c r="AQ213" t="b">
        <v>0</v>
      </c>
      <c r="AR213" t="b">
        <v>0</v>
      </c>
    </row>
    <row r="214" spans="1:45" x14ac:dyDescent="0.3">
      <c r="A214">
        <v>285</v>
      </c>
      <c r="B214">
        <v>336</v>
      </c>
      <c r="C214" t="s">
        <v>961</v>
      </c>
      <c r="D214" t="s">
        <v>962</v>
      </c>
      <c r="E214" t="s">
        <v>963</v>
      </c>
      <c r="F214" t="s">
        <v>56</v>
      </c>
      <c r="G214">
        <v>31.2</v>
      </c>
      <c r="H214">
        <v>70.2</v>
      </c>
      <c r="I214">
        <v>9</v>
      </c>
      <c r="J214">
        <v>22.3</v>
      </c>
      <c r="K214">
        <v>12</v>
      </c>
      <c r="L214">
        <v>18.3</v>
      </c>
      <c r="M214">
        <v>74.7</v>
      </c>
      <c r="N214">
        <v>77.5</v>
      </c>
      <c r="O214">
        <v>69.5</v>
      </c>
      <c r="P214">
        <v>37.200000000000003</v>
      </c>
      <c r="Q214" t="s">
        <v>659</v>
      </c>
      <c r="R214" t="s">
        <v>961</v>
      </c>
      <c r="S214" t="s">
        <v>660</v>
      </c>
      <c r="T214">
        <v>3810</v>
      </c>
      <c r="U214">
        <v>44.2</v>
      </c>
      <c r="V214">
        <v>213</v>
      </c>
      <c r="W214">
        <v>43.1</v>
      </c>
      <c r="X214">
        <v>209</v>
      </c>
      <c r="Y214">
        <v>53.6</v>
      </c>
      <c r="Z214">
        <v>929</v>
      </c>
      <c r="AA214">
        <v>81.900000000000006</v>
      </c>
      <c r="AB214">
        <v>239</v>
      </c>
      <c r="AC214">
        <v>56</v>
      </c>
      <c r="AD214">
        <v>660</v>
      </c>
      <c r="AE214" t="s">
        <v>57</v>
      </c>
      <c r="AF214">
        <v>0</v>
      </c>
      <c r="AG214" t="s">
        <v>964</v>
      </c>
      <c r="AH214">
        <v>754</v>
      </c>
      <c r="AI214" t="s">
        <v>963</v>
      </c>
      <c r="AJ214" s="1">
        <v>16182</v>
      </c>
      <c r="AK214">
        <v>21.2</v>
      </c>
      <c r="AL214" s="2">
        <v>0.12</v>
      </c>
      <c r="AM214" s="3">
        <v>2.0770833333333334</v>
      </c>
      <c r="AN214" t="s">
        <v>961</v>
      </c>
      <c r="AO214" t="s">
        <v>965</v>
      </c>
      <c r="AP214" t="b">
        <v>0</v>
      </c>
      <c r="AQ214" t="b">
        <v>0</v>
      </c>
      <c r="AR214" t="b">
        <v>0</v>
      </c>
    </row>
    <row r="215" spans="1:45" x14ac:dyDescent="0.3">
      <c r="A215">
        <v>285</v>
      </c>
      <c r="B215">
        <v>268</v>
      </c>
      <c r="C215" t="s">
        <v>966</v>
      </c>
      <c r="D215" t="s">
        <v>150</v>
      </c>
      <c r="E215" t="s">
        <v>151</v>
      </c>
      <c r="F215" t="s">
        <v>56</v>
      </c>
      <c r="G215">
        <v>35.200000000000003</v>
      </c>
      <c r="H215">
        <v>30.4</v>
      </c>
      <c r="I215">
        <v>15.7</v>
      </c>
      <c r="J215">
        <v>29.3</v>
      </c>
      <c r="K215">
        <v>35.9</v>
      </c>
      <c r="L215">
        <v>30.1</v>
      </c>
      <c r="M215">
        <v>90.8</v>
      </c>
      <c r="N215">
        <v>56.8</v>
      </c>
      <c r="O215">
        <v>91.9</v>
      </c>
      <c r="P215">
        <v>37.200000000000003</v>
      </c>
      <c r="Q215">
        <v>160</v>
      </c>
      <c r="R215" t="s">
        <v>966</v>
      </c>
      <c r="S215">
        <v>61.5</v>
      </c>
      <c r="T215">
        <v>1600</v>
      </c>
      <c r="U215">
        <v>42.9</v>
      </c>
      <c r="V215">
        <v>241</v>
      </c>
      <c r="W215">
        <v>47.1</v>
      </c>
      <c r="X215">
        <v>165</v>
      </c>
      <c r="Y215">
        <v>85.6</v>
      </c>
      <c r="Z215">
        <v>197</v>
      </c>
      <c r="AA215">
        <v>98.8</v>
      </c>
      <c r="AB215">
        <v>70</v>
      </c>
      <c r="AC215">
        <v>73.3</v>
      </c>
      <c r="AD215">
        <v>358</v>
      </c>
      <c r="AE215" t="s">
        <v>57</v>
      </c>
      <c r="AF215">
        <v>0</v>
      </c>
      <c r="AG215" t="s">
        <v>967</v>
      </c>
      <c r="AH215">
        <v>961</v>
      </c>
      <c r="AI215" t="s">
        <v>151</v>
      </c>
      <c r="AJ215" s="1">
        <v>31299</v>
      </c>
      <c r="AK215">
        <v>28.7</v>
      </c>
      <c r="AL215" s="2">
        <v>0.17</v>
      </c>
      <c r="AN215" t="s">
        <v>966</v>
      </c>
      <c r="AO215" t="s">
        <v>968</v>
      </c>
      <c r="AP215" t="b">
        <v>0</v>
      </c>
      <c r="AQ215" t="b">
        <v>0</v>
      </c>
      <c r="AR215" t="b">
        <v>0</v>
      </c>
    </row>
    <row r="216" spans="1:45" x14ac:dyDescent="0.3">
      <c r="A216">
        <v>285</v>
      </c>
      <c r="B216">
        <v>272</v>
      </c>
      <c r="C216" t="s">
        <v>969</v>
      </c>
      <c r="D216" t="s">
        <v>54</v>
      </c>
      <c r="E216" t="s">
        <v>55</v>
      </c>
      <c r="F216" t="s">
        <v>56</v>
      </c>
      <c r="G216">
        <v>19.8</v>
      </c>
      <c r="H216">
        <v>13.7</v>
      </c>
      <c r="I216">
        <v>30.8</v>
      </c>
      <c r="J216">
        <v>43.4</v>
      </c>
      <c r="K216">
        <v>80</v>
      </c>
      <c r="L216">
        <v>95.3</v>
      </c>
      <c r="M216">
        <v>88.8</v>
      </c>
      <c r="N216">
        <v>22.7</v>
      </c>
      <c r="O216">
        <v>75</v>
      </c>
      <c r="P216">
        <v>37.200000000000003</v>
      </c>
      <c r="Q216" t="s">
        <v>292</v>
      </c>
      <c r="R216" t="s">
        <v>969</v>
      </c>
      <c r="S216" t="s">
        <v>293</v>
      </c>
      <c r="T216">
        <v>2200</v>
      </c>
      <c r="U216">
        <v>33.4</v>
      </c>
      <c r="V216">
        <v>527</v>
      </c>
      <c r="W216">
        <v>34.200000000000003</v>
      </c>
      <c r="X216">
        <v>372</v>
      </c>
      <c r="Y216">
        <v>95.5</v>
      </c>
      <c r="Z216">
        <v>44</v>
      </c>
      <c r="AA216">
        <v>67.900000000000006</v>
      </c>
      <c r="AB216">
        <v>482</v>
      </c>
      <c r="AC216">
        <v>95.1</v>
      </c>
      <c r="AD216">
        <v>46</v>
      </c>
      <c r="AE216" t="s">
        <v>57</v>
      </c>
      <c r="AF216">
        <v>0</v>
      </c>
      <c r="AG216" t="s">
        <v>970</v>
      </c>
      <c r="AH216">
        <v>662</v>
      </c>
      <c r="AI216" t="s">
        <v>55</v>
      </c>
      <c r="AJ216" s="1">
        <v>14000</v>
      </c>
      <c r="AK216">
        <v>13.9</v>
      </c>
      <c r="AL216" s="2">
        <v>0.31</v>
      </c>
      <c r="AM216" s="3">
        <v>2.2819444444444446</v>
      </c>
      <c r="AN216" t="s">
        <v>971</v>
      </c>
      <c r="AO216" t="s">
        <v>972</v>
      </c>
      <c r="AP216" t="b">
        <v>0</v>
      </c>
      <c r="AQ216" t="b">
        <v>0</v>
      </c>
      <c r="AR216" t="b">
        <v>0</v>
      </c>
      <c r="AS216" t="s">
        <v>973</v>
      </c>
    </row>
    <row r="217" spans="1:45" x14ac:dyDescent="0.3">
      <c r="A217">
        <v>285</v>
      </c>
      <c r="B217">
        <v>276</v>
      </c>
      <c r="C217" t="s">
        <v>974</v>
      </c>
      <c r="D217" t="s">
        <v>442</v>
      </c>
      <c r="E217" t="s">
        <v>443</v>
      </c>
      <c r="F217" t="s">
        <v>77</v>
      </c>
      <c r="G217">
        <v>52.8</v>
      </c>
      <c r="H217">
        <v>17</v>
      </c>
      <c r="I217">
        <v>6.4</v>
      </c>
      <c r="J217">
        <v>39.6</v>
      </c>
      <c r="K217">
        <v>6.5</v>
      </c>
      <c r="L217">
        <v>6.8</v>
      </c>
      <c r="M217">
        <v>85.5</v>
      </c>
      <c r="N217">
        <v>44.1</v>
      </c>
      <c r="O217">
        <v>74.8</v>
      </c>
      <c r="P217">
        <v>37.200000000000003</v>
      </c>
      <c r="Q217" t="s">
        <v>659</v>
      </c>
      <c r="R217" t="s">
        <v>974</v>
      </c>
      <c r="S217" t="s">
        <v>660</v>
      </c>
      <c r="T217">
        <v>3820</v>
      </c>
      <c r="U217">
        <v>31.3</v>
      </c>
      <c r="V217">
        <v>623</v>
      </c>
      <c r="W217">
        <v>31.8</v>
      </c>
      <c r="X217">
        <v>420</v>
      </c>
      <c r="Y217">
        <v>87.3</v>
      </c>
      <c r="Z217">
        <v>169</v>
      </c>
      <c r="AA217">
        <v>69.5</v>
      </c>
      <c r="AB217">
        <v>443</v>
      </c>
      <c r="AC217">
        <v>47.2</v>
      </c>
      <c r="AD217">
        <v>884</v>
      </c>
      <c r="AE217" t="s">
        <v>57</v>
      </c>
      <c r="AF217">
        <v>0</v>
      </c>
      <c r="AG217" t="s">
        <v>975</v>
      </c>
      <c r="AH217">
        <v>704</v>
      </c>
      <c r="AI217" t="s">
        <v>443</v>
      </c>
      <c r="AJ217" s="1">
        <v>50995</v>
      </c>
      <c r="AK217">
        <v>21.8</v>
      </c>
      <c r="AL217" s="2">
        <v>7.0000000000000007E-2</v>
      </c>
      <c r="AM217" s="3">
        <v>2.5277777777777777</v>
      </c>
      <c r="AN217" t="s">
        <v>974</v>
      </c>
      <c r="AO217" t="s">
        <v>976</v>
      </c>
      <c r="AP217" t="b">
        <v>0</v>
      </c>
      <c r="AQ217" t="b">
        <v>0</v>
      </c>
      <c r="AR217" t="b">
        <v>0</v>
      </c>
    </row>
    <row r="218" spans="1:45" x14ac:dyDescent="0.3">
      <c r="A218">
        <v>285</v>
      </c>
      <c r="B218">
        <v>244</v>
      </c>
      <c r="C218" t="s">
        <v>977</v>
      </c>
      <c r="D218" t="s">
        <v>54</v>
      </c>
      <c r="E218" t="s">
        <v>55</v>
      </c>
      <c r="F218" t="s">
        <v>56</v>
      </c>
      <c r="G218">
        <v>19.7</v>
      </c>
      <c r="H218">
        <v>17.899999999999999</v>
      </c>
      <c r="I218">
        <v>22.8</v>
      </c>
      <c r="J218">
        <v>55.2</v>
      </c>
      <c r="K218">
        <v>97.1</v>
      </c>
      <c r="L218">
        <v>87.1</v>
      </c>
      <c r="M218">
        <v>86.4</v>
      </c>
      <c r="N218">
        <v>20.399999999999999</v>
      </c>
      <c r="O218">
        <v>28.4</v>
      </c>
      <c r="P218">
        <v>37.200000000000003</v>
      </c>
      <c r="Q218" t="s">
        <v>486</v>
      </c>
      <c r="R218" t="s">
        <v>977</v>
      </c>
      <c r="S218" t="s">
        <v>487</v>
      </c>
      <c r="T218">
        <v>2940</v>
      </c>
      <c r="U218">
        <v>31.3</v>
      </c>
      <c r="V218">
        <v>626</v>
      </c>
      <c r="W218">
        <v>34.5</v>
      </c>
      <c r="X218">
        <v>363</v>
      </c>
      <c r="Y218">
        <v>88</v>
      </c>
      <c r="Z218">
        <v>155</v>
      </c>
      <c r="AA218">
        <v>73</v>
      </c>
      <c r="AB218">
        <v>369</v>
      </c>
      <c r="AC218">
        <v>96.8</v>
      </c>
      <c r="AD218">
        <v>25</v>
      </c>
      <c r="AE218" t="s">
        <v>57</v>
      </c>
      <c r="AF218">
        <v>0</v>
      </c>
      <c r="AG218" t="s">
        <v>978</v>
      </c>
      <c r="AH218">
        <v>806</v>
      </c>
      <c r="AI218" t="s">
        <v>55</v>
      </c>
      <c r="AJ218" s="1">
        <v>14630</v>
      </c>
      <c r="AK218">
        <v>16.3</v>
      </c>
      <c r="AL218" s="2">
        <v>0.33</v>
      </c>
      <c r="AM218" s="3">
        <v>2.2819444444444446</v>
      </c>
      <c r="AN218" t="s">
        <v>977</v>
      </c>
      <c r="AO218" t="s">
        <v>979</v>
      </c>
      <c r="AP218" t="b">
        <v>0</v>
      </c>
      <c r="AQ218" t="b">
        <v>0</v>
      </c>
      <c r="AR218" t="b">
        <v>0</v>
      </c>
    </row>
    <row r="219" spans="1:45" x14ac:dyDescent="0.3">
      <c r="A219">
        <v>291</v>
      </c>
      <c r="B219">
        <v>285</v>
      </c>
      <c r="C219" t="s">
        <v>980</v>
      </c>
      <c r="D219" t="s">
        <v>87</v>
      </c>
      <c r="E219" t="s">
        <v>88</v>
      </c>
      <c r="F219" t="s">
        <v>56</v>
      </c>
      <c r="G219">
        <v>13.9</v>
      </c>
      <c r="H219">
        <v>11.4</v>
      </c>
      <c r="I219">
        <v>12.4</v>
      </c>
      <c r="J219">
        <v>86.5</v>
      </c>
      <c r="K219">
        <v>94.9</v>
      </c>
      <c r="L219">
        <v>77.3</v>
      </c>
      <c r="M219">
        <v>66.099999999999994</v>
      </c>
      <c r="N219">
        <v>13.9</v>
      </c>
      <c r="O219">
        <v>15.4</v>
      </c>
      <c r="P219">
        <v>37.1</v>
      </c>
      <c r="Q219" t="s">
        <v>292</v>
      </c>
      <c r="R219" t="s">
        <v>980</v>
      </c>
      <c r="S219" t="s">
        <v>293</v>
      </c>
      <c r="T219">
        <v>2420</v>
      </c>
      <c r="U219">
        <v>31.7</v>
      </c>
      <c r="V219">
        <v>606</v>
      </c>
      <c r="W219">
        <v>34</v>
      </c>
      <c r="X219">
        <v>379</v>
      </c>
      <c r="Y219">
        <v>91.3</v>
      </c>
      <c r="Z219">
        <v>104</v>
      </c>
      <c r="AA219">
        <v>75.400000000000006</v>
      </c>
      <c r="AB219">
        <v>331</v>
      </c>
      <c r="AC219">
        <v>85.6</v>
      </c>
      <c r="AD219">
        <v>183</v>
      </c>
      <c r="AE219" t="s">
        <v>57</v>
      </c>
      <c r="AF219">
        <v>0</v>
      </c>
      <c r="AG219" t="s">
        <v>981</v>
      </c>
      <c r="AH219">
        <v>858</v>
      </c>
      <c r="AI219" t="s">
        <v>88</v>
      </c>
      <c r="AJ219" s="1">
        <v>14324</v>
      </c>
      <c r="AK219">
        <v>28.5</v>
      </c>
      <c r="AL219" s="2">
        <v>0.24</v>
      </c>
      <c r="AM219" s="3">
        <v>1.7902777777777779</v>
      </c>
      <c r="AN219" t="s">
        <v>980</v>
      </c>
      <c r="AO219" t="s">
        <v>982</v>
      </c>
      <c r="AP219" t="b">
        <v>0</v>
      </c>
      <c r="AQ219" t="b">
        <v>0</v>
      </c>
      <c r="AR219" t="b">
        <v>0</v>
      </c>
      <c r="AS219" t="s">
        <v>983</v>
      </c>
    </row>
    <row r="220" spans="1:45" x14ac:dyDescent="0.3">
      <c r="A220">
        <v>291</v>
      </c>
      <c r="B220">
        <v>281</v>
      </c>
      <c r="C220" t="s">
        <v>984</v>
      </c>
      <c r="D220" t="s">
        <v>472</v>
      </c>
      <c r="E220" t="s">
        <v>473</v>
      </c>
      <c r="F220" t="s">
        <v>56</v>
      </c>
      <c r="G220">
        <v>31.6</v>
      </c>
      <c r="H220">
        <v>8.3000000000000007</v>
      </c>
      <c r="I220">
        <v>64.900000000000006</v>
      </c>
      <c r="J220">
        <v>28.3</v>
      </c>
      <c r="K220">
        <v>93.3</v>
      </c>
      <c r="L220">
        <v>16.899999999999999</v>
      </c>
      <c r="M220">
        <v>90.7</v>
      </c>
      <c r="N220">
        <v>63.9</v>
      </c>
      <c r="O220">
        <v>33.6</v>
      </c>
      <c r="P220">
        <v>37.1</v>
      </c>
      <c r="Q220" t="s">
        <v>486</v>
      </c>
      <c r="R220" t="s">
        <v>984</v>
      </c>
      <c r="S220" t="s">
        <v>487</v>
      </c>
      <c r="T220">
        <v>2530</v>
      </c>
      <c r="U220">
        <v>36.700000000000003</v>
      </c>
      <c r="V220">
        <v>399</v>
      </c>
      <c r="W220">
        <v>33.9</v>
      </c>
      <c r="X220">
        <v>381</v>
      </c>
      <c r="Y220">
        <v>84.2</v>
      </c>
      <c r="Z220">
        <v>227</v>
      </c>
      <c r="AA220">
        <v>69.400000000000006</v>
      </c>
      <c r="AB220">
        <v>445</v>
      </c>
      <c r="AC220">
        <v>76.3</v>
      </c>
      <c r="AD220">
        <v>308</v>
      </c>
      <c r="AE220" t="s">
        <v>57</v>
      </c>
      <c r="AF220">
        <v>0</v>
      </c>
      <c r="AG220" t="s">
        <v>985</v>
      </c>
      <c r="AH220">
        <v>655</v>
      </c>
      <c r="AI220" t="s">
        <v>473</v>
      </c>
      <c r="AJ220" s="1">
        <v>15751</v>
      </c>
      <c r="AK220">
        <v>13</v>
      </c>
      <c r="AL220" s="2">
        <v>0.11</v>
      </c>
      <c r="AM220" s="3">
        <v>2.5687500000000001</v>
      </c>
      <c r="AN220" t="s">
        <v>984</v>
      </c>
      <c r="AO220" t="s">
        <v>986</v>
      </c>
      <c r="AP220" t="b">
        <v>0</v>
      </c>
      <c r="AQ220" t="b">
        <v>0</v>
      </c>
      <c r="AR220" t="b">
        <v>0</v>
      </c>
    </row>
    <row r="221" spans="1:45" x14ac:dyDescent="0.3">
      <c r="A221">
        <v>293</v>
      </c>
      <c r="B221">
        <v>285</v>
      </c>
      <c r="C221" t="s">
        <v>987</v>
      </c>
      <c r="D221" t="s">
        <v>45</v>
      </c>
      <c r="E221" t="s">
        <v>46</v>
      </c>
      <c r="F221" t="s">
        <v>77</v>
      </c>
      <c r="G221">
        <v>37.299999999999997</v>
      </c>
      <c r="H221">
        <v>22.2</v>
      </c>
      <c r="I221">
        <v>44.4</v>
      </c>
      <c r="J221">
        <v>38.799999999999997</v>
      </c>
      <c r="K221">
        <v>31.6</v>
      </c>
      <c r="L221">
        <v>15.1</v>
      </c>
      <c r="M221">
        <v>94.1</v>
      </c>
      <c r="N221">
        <v>37.1</v>
      </c>
      <c r="O221">
        <v>40.4</v>
      </c>
      <c r="P221">
        <v>37</v>
      </c>
      <c r="Q221">
        <f>155</f>
        <v>155</v>
      </c>
      <c r="R221" t="s">
        <v>988</v>
      </c>
      <c r="S221">
        <v>61.8</v>
      </c>
      <c r="T221">
        <v>1550</v>
      </c>
      <c r="U221">
        <v>48.7</v>
      </c>
      <c r="V221">
        <v>147</v>
      </c>
      <c r="W221">
        <v>51.3</v>
      </c>
      <c r="X221">
        <v>131</v>
      </c>
      <c r="Y221">
        <v>85.7</v>
      </c>
      <c r="Z221">
        <v>193</v>
      </c>
      <c r="AA221">
        <v>84</v>
      </c>
      <c r="AB221">
        <v>217</v>
      </c>
      <c r="AC221">
        <v>47</v>
      </c>
      <c r="AD221">
        <v>889</v>
      </c>
      <c r="AE221" t="s">
        <v>208</v>
      </c>
      <c r="AF221">
        <v>0</v>
      </c>
      <c r="AG221" t="s">
        <v>989</v>
      </c>
      <c r="AH221">
        <v>561</v>
      </c>
      <c r="AI221" t="s">
        <v>46</v>
      </c>
      <c r="AJ221" s="1">
        <v>45517</v>
      </c>
      <c r="AK221">
        <v>19.899999999999999</v>
      </c>
      <c r="AL221" s="2">
        <v>7.0000000000000007E-2</v>
      </c>
      <c r="AM221" s="3">
        <v>2.3638888888888889</v>
      </c>
      <c r="AN221" t="s">
        <v>988</v>
      </c>
      <c r="AO221" t="s">
        <v>990</v>
      </c>
      <c r="AP221" t="b">
        <v>0</v>
      </c>
      <c r="AQ221" t="b">
        <v>0</v>
      </c>
      <c r="AR221" t="b">
        <v>0</v>
      </c>
      <c r="AS221" t="s">
        <v>991</v>
      </c>
    </row>
    <row r="222" spans="1:45" x14ac:dyDescent="0.3">
      <c r="A222">
        <v>293</v>
      </c>
      <c r="B222">
        <v>307</v>
      </c>
      <c r="C222" t="s">
        <v>992</v>
      </c>
      <c r="D222" t="s">
        <v>87</v>
      </c>
      <c r="E222" t="s">
        <v>88</v>
      </c>
      <c r="F222" t="s">
        <v>47</v>
      </c>
      <c r="G222">
        <v>16</v>
      </c>
      <c r="H222">
        <v>7.4</v>
      </c>
      <c r="I222">
        <v>22.1</v>
      </c>
      <c r="J222">
        <v>59.8</v>
      </c>
      <c r="K222">
        <v>79.900000000000006</v>
      </c>
      <c r="L222">
        <v>89.7</v>
      </c>
      <c r="M222">
        <v>80</v>
      </c>
      <c r="N222">
        <v>15.9</v>
      </c>
      <c r="O222">
        <v>85.6</v>
      </c>
      <c r="P222">
        <v>37</v>
      </c>
      <c r="Q222" t="s">
        <v>486</v>
      </c>
      <c r="R222" t="s">
        <v>992</v>
      </c>
      <c r="S222" t="s">
        <v>487</v>
      </c>
      <c r="T222">
        <v>2970</v>
      </c>
      <c r="U222">
        <v>31.6</v>
      </c>
      <c r="V222">
        <v>609</v>
      </c>
      <c r="W222">
        <v>38.4</v>
      </c>
      <c r="X222">
        <v>276</v>
      </c>
      <c r="Y222">
        <v>82</v>
      </c>
      <c r="Z222">
        <v>285</v>
      </c>
      <c r="AA222">
        <v>70.5</v>
      </c>
      <c r="AB222">
        <v>417</v>
      </c>
      <c r="AC222">
        <v>90.9</v>
      </c>
      <c r="AD222">
        <v>118</v>
      </c>
      <c r="AE222" t="s">
        <v>57</v>
      </c>
      <c r="AF222">
        <v>0</v>
      </c>
      <c r="AG222" t="s">
        <v>993</v>
      </c>
      <c r="AH222">
        <v>808</v>
      </c>
      <c r="AI222" t="s">
        <v>88</v>
      </c>
      <c r="AJ222" s="1">
        <v>16894</v>
      </c>
      <c r="AK222">
        <v>22.5</v>
      </c>
      <c r="AL222" s="2">
        <v>0.31</v>
      </c>
      <c r="AM222" s="3">
        <v>2.5277777777777777</v>
      </c>
      <c r="AN222" t="s">
        <v>992</v>
      </c>
      <c r="AO222" t="s">
        <v>994</v>
      </c>
      <c r="AP222" t="b">
        <v>0</v>
      </c>
      <c r="AQ222" t="b">
        <v>0</v>
      </c>
      <c r="AR222" t="b">
        <v>0</v>
      </c>
      <c r="AS222" t="s">
        <v>995</v>
      </c>
    </row>
    <row r="223" spans="1:45" x14ac:dyDescent="0.3">
      <c r="A223">
        <v>302</v>
      </c>
      <c r="B223">
        <v>340</v>
      </c>
      <c r="C223" t="s">
        <v>996</v>
      </c>
      <c r="D223" t="s">
        <v>95</v>
      </c>
      <c r="E223" t="s">
        <v>96</v>
      </c>
      <c r="F223" t="s">
        <v>77</v>
      </c>
      <c r="G223">
        <v>23.2</v>
      </c>
      <c r="H223">
        <v>24.3</v>
      </c>
      <c r="I223">
        <v>43.4</v>
      </c>
      <c r="J223">
        <v>82</v>
      </c>
      <c r="K223">
        <v>5.7</v>
      </c>
      <c r="L223">
        <v>6.7</v>
      </c>
      <c r="M223">
        <v>68.599999999999994</v>
      </c>
      <c r="N223">
        <v>14.3</v>
      </c>
      <c r="O223">
        <v>10.1</v>
      </c>
      <c r="P223">
        <v>35.9</v>
      </c>
      <c r="Q223" t="s">
        <v>486</v>
      </c>
      <c r="R223" t="s">
        <v>996</v>
      </c>
      <c r="S223" t="s">
        <v>487</v>
      </c>
      <c r="T223">
        <v>2520</v>
      </c>
      <c r="U223">
        <v>45.1</v>
      </c>
      <c r="V223">
        <v>202</v>
      </c>
      <c r="W223">
        <v>44</v>
      </c>
      <c r="X223">
        <v>200</v>
      </c>
      <c r="Y223">
        <v>74.7</v>
      </c>
      <c r="Z223">
        <v>443</v>
      </c>
      <c r="AA223">
        <v>82.1</v>
      </c>
      <c r="AB223">
        <v>237</v>
      </c>
      <c r="AC223">
        <v>36.799999999999997</v>
      </c>
      <c r="AD223">
        <v>1250</v>
      </c>
      <c r="AE223" t="s">
        <v>57</v>
      </c>
      <c r="AF223">
        <v>0</v>
      </c>
      <c r="AG223" t="s">
        <v>997</v>
      </c>
      <c r="AH223">
        <v>1038</v>
      </c>
      <c r="AI223" t="s">
        <v>98</v>
      </c>
      <c r="AJ223" s="1">
        <v>34050</v>
      </c>
      <c r="AK223">
        <v>13.4</v>
      </c>
      <c r="AL223" s="2">
        <v>0.08</v>
      </c>
      <c r="AN223" t="s">
        <v>996</v>
      </c>
      <c r="AO223" t="s">
        <v>998</v>
      </c>
      <c r="AP223" t="b">
        <v>0</v>
      </c>
      <c r="AQ223" t="b">
        <v>0</v>
      </c>
      <c r="AR223" t="b">
        <v>0</v>
      </c>
    </row>
    <row r="224" spans="1:45" x14ac:dyDescent="0.3">
      <c r="A224">
        <v>296</v>
      </c>
      <c r="B224">
        <v>283</v>
      </c>
      <c r="C224" t="s">
        <v>999</v>
      </c>
      <c r="D224" t="s">
        <v>649</v>
      </c>
      <c r="E224" t="s">
        <v>650</v>
      </c>
      <c r="F224" t="s">
        <v>56</v>
      </c>
      <c r="G224">
        <v>26.1</v>
      </c>
      <c r="H224">
        <v>35.799999999999997</v>
      </c>
      <c r="I224">
        <v>3.5</v>
      </c>
      <c r="J224">
        <v>61.9</v>
      </c>
      <c r="K224">
        <v>19.7</v>
      </c>
      <c r="L224">
        <v>8</v>
      </c>
      <c r="M224">
        <v>94.8</v>
      </c>
      <c r="N224">
        <v>85.2</v>
      </c>
      <c r="O224">
        <v>22</v>
      </c>
      <c r="P224">
        <v>36.700000000000003</v>
      </c>
      <c r="Q224" t="s">
        <v>614</v>
      </c>
      <c r="R224" t="s">
        <v>999</v>
      </c>
      <c r="S224" t="s">
        <v>615</v>
      </c>
      <c r="T224">
        <v>3370</v>
      </c>
      <c r="U224">
        <v>33.799999999999997</v>
      </c>
      <c r="V224">
        <v>504</v>
      </c>
      <c r="W224">
        <v>39.5</v>
      </c>
      <c r="X224">
        <v>254</v>
      </c>
      <c r="Y224">
        <v>76.900000000000006</v>
      </c>
      <c r="Z224">
        <v>399</v>
      </c>
      <c r="AA224">
        <v>89.8</v>
      </c>
      <c r="AB224">
        <v>169</v>
      </c>
      <c r="AC224">
        <v>59.9</v>
      </c>
      <c r="AD224">
        <v>586</v>
      </c>
      <c r="AE224" t="s">
        <v>57</v>
      </c>
      <c r="AF224">
        <v>11</v>
      </c>
      <c r="AG224" t="s">
        <v>1000</v>
      </c>
      <c r="AH224">
        <v>732</v>
      </c>
      <c r="AI224" t="s">
        <v>650</v>
      </c>
      <c r="AJ224" s="1">
        <v>25140</v>
      </c>
      <c r="AK224">
        <v>25.7</v>
      </c>
      <c r="AL224" s="2">
        <v>7.0000000000000007E-2</v>
      </c>
      <c r="AM224" s="3">
        <v>2.3638888888888889</v>
      </c>
      <c r="AN224" t="s">
        <v>1001</v>
      </c>
      <c r="AO224" t="s">
        <v>1002</v>
      </c>
      <c r="AP224" t="b">
        <v>0</v>
      </c>
      <c r="AQ224" t="b">
        <v>0</v>
      </c>
      <c r="AR224" t="b">
        <v>0</v>
      </c>
    </row>
    <row r="225" spans="1:45" x14ac:dyDescent="0.3">
      <c r="A225">
        <v>298</v>
      </c>
      <c r="B225">
        <v>319</v>
      </c>
      <c r="C225" t="s">
        <v>1003</v>
      </c>
      <c r="D225" t="s">
        <v>378</v>
      </c>
      <c r="E225" t="s">
        <v>379</v>
      </c>
      <c r="F225" t="s">
        <v>56</v>
      </c>
      <c r="G225">
        <v>36.200000000000003</v>
      </c>
      <c r="H225">
        <v>51.9</v>
      </c>
      <c r="I225">
        <v>99.9</v>
      </c>
      <c r="J225">
        <v>1.4</v>
      </c>
      <c r="K225">
        <v>65.599999999999994</v>
      </c>
      <c r="L225">
        <v>70</v>
      </c>
      <c r="M225">
        <v>15.2</v>
      </c>
      <c r="N225">
        <v>7.7</v>
      </c>
      <c r="O225">
        <v>6.8</v>
      </c>
      <c r="P225">
        <v>36.5</v>
      </c>
      <c r="Q225" t="s">
        <v>372</v>
      </c>
      <c r="R225" t="s">
        <v>1003</v>
      </c>
      <c r="S225" t="s">
        <v>374</v>
      </c>
      <c r="T225">
        <v>4060</v>
      </c>
      <c r="U225">
        <v>71.7</v>
      </c>
      <c r="V225">
        <v>38</v>
      </c>
      <c r="W225">
        <v>43.9</v>
      </c>
      <c r="X225">
        <v>203</v>
      </c>
      <c r="Y225">
        <v>22.1</v>
      </c>
      <c r="Z225">
        <v>1635</v>
      </c>
      <c r="AA225">
        <v>51.7</v>
      </c>
      <c r="AB225">
        <v>779</v>
      </c>
      <c r="AC225">
        <v>59.3</v>
      </c>
      <c r="AD225">
        <v>596</v>
      </c>
      <c r="AE225" t="s">
        <v>57</v>
      </c>
      <c r="AF225">
        <v>0</v>
      </c>
      <c r="AG225" t="s">
        <v>1004</v>
      </c>
      <c r="AH225">
        <v>1037</v>
      </c>
      <c r="AI225" t="s">
        <v>381</v>
      </c>
      <c r="AJ225" s="1">
        <v>16061</v>
      </c>
      <c r="AK225">
        <v>6.6</v>
      </c>
      <c r="AL225" s="2">
        <v>0.18</v>
      </c>
      <c r="AM225" s="3">
        <v>1.7902777777777779</v>
      </c>
      <c r="AN225" t="s">
        <v>1003</v>
      </c>
      <c r="AO225" t="s">
        <v>1005</v>
      </c>
      <c r="AP225" t="b">
        <v>0</v>
      </c>
      <c r="AQ225" t="b">
        <v>0</v>
      </c>
      <c r="AR225" t="b">
        <v>1</v>
      </c>
    </row>
    <row r="226" spans="1:45" x14ac:dyDescent="0.3">
      <c r="A226">
        <v>298</v>
      </c>
      <c r="B226">
        <v>307</v>
      </c>
      <c r="C226" t="s">
        <v>1006</v>
      </c>
      <c r="D226" t="s">
        <v>54</v>
      </c>
      <c r="E226" t="s">
        <v>55</v>
      </c>
      <c r="F226" t="s">
        <v>56</v>
      </c>
      <c r="G226">
        <v>23.1</v>
      </c>
      <c r="H226">
        <v>43.1</v>
      </c>
      <c r="I226">
        <v>25.1</v>
      </c>
      <c r="J226">
        <v>27.9</v>
      </c>
      <c r="K226">
        <v>71</v>
      </c>
      <c r="L226">
        <v>59.6</v>
      </c>
      <c r="M226">
        <v>82.3</v>
      </c>
      <c r="N226">
        <v>8.3000000000000007</v>
      </c>
      <c r="O226">
        <v>91.8</v>
      </c>
      <c r="P226">
        <v>36.5</v>
      </c>
      <c r="Q226" t="s">
        <v>486</v>
      </c>
      <c r="R226" t="s">
        <v>1006</v>
      </c>
      <c r="S226" t="s">
        <v>487</v>
      </c>
      <c r="T226">
        <v>2960</v>
      </c>
      <c r="U226">
        <v>27.6</v>
      </c>
      <c r="V226">
        <v>839</v>
      </c>
      <c r="W226">
        <v>30.2</v>
      </c>
      <c r="X226">
        <v>468</v>
      </c>
      <c r="Y226">
        <v>89.7</v>
      </c>
      <c r="Z226">
        <v>131</v>
      </c>
      <c r="AA226">
        <v>62.8</v>
      </c>
      <c r="AB226">
        <v>599</v>
      </c>
      <c r="AC226">
        <v>89.5</v>
      </c>
      <c r="AD226">
        <v>132</v>
      </c>
      <c r="AE226" t="s">
        <v>57</v>
      </c>
      <c r="AF226">
        <v>0</v>
      </c>
      <c r="AG226" t="s">
        <v>1007</v>
      </c>
      <c r="AH226">
        <v>857</v>
      </c>
      <c r="AI226" t="s">
        <v>55</v>
      </c>
      <c r="AJ226" s="1">
        <v>18505</v>
      </c>
      <c r="AK226">
        <v>16.8</v>
      </c>
      <c r="AL226" s="2">
        <v>0.21</v>
      </c>
      <c r="AM226" s="3">
        <v>1.9951388888888888</v>
      </c>
      <c r="AN226" t="s">
        <v>1006</v>
      </c>
      <c r="AO226" t="s">
        <v>1008</v>
      </c>
      <c r="AP226" t="b">
        <v>0</v>
      </c>
      <c r="AQ226" t="b">
        <v>0</v>
      </c>
      <c r="AR226" t="b">
        <v>0</v>
      </c>
      <c r="AS226" t="s">
        <v>1009</v>
      </c>
    </row>
    <row r="227" spans="1:45" x14ac:dyDescent="0.3">
      <c r="A227">
        <v>300</v>
      </c>
      <c r="B227">
        <v>275</v>
      </c>
      <c r="C227" t="s">
        <v>1010</v>
      </c>
      <c r="D227" t="s">
        <v>95</v>
      </c>
      <c r="E227" t="s">
        <v>96</v>
      </c>
      <c r="F227" t="s">
        <v>77</v>
      </c>
      <c r="G227">
        <v>20.399999999999999</v>
      </c>
      <c r="H227">
        <v>28.2</v>
      </c>
      <c r="I227">
        <v>7.9</v>
      </c>
      <c r="J227">
        <v>99.9</v>
      </c>
      <c r="K227">
        <v>5.2</v>
      </c>
      <c r="L227">
        <v>2.7</v>
      </c>
      <c r="M227">
        <v>79.400000000000006</v>
      </c>
      <c r="N227">
        <v>17.600000000000001</v>
      </c>
      <c r="O227">
        <v>15</v>
      </c>
      <c r="P227">
        <v>36.4</v>
      </c>
      <c r="Q227">
        <f>158</f>
        <v>158</v>
      </c>
      <c r="R227" t="s">
        <v>1010</v>
      </c>
      <c r="S227">
        <v>61.7</v>
      </c>
      <c r="T227">
        <v>1580</v>
      </c>
      <c r="U227">
        <v>48.8</v>
      </c>
      <c r="V227">
        <v>145</v>
      </c>
      <c r="W227">
        <v>48.1</v>
      </c>
      <c r="X227">
        <v>156</v>
      </c>
      <c r="Y227">
        <v>90</v>
      </c>
      <c r="Z227">
        <v>127</v>
      </c>
      <c r="AA227">
        <v>96.9</v>
      </c>
      <c r="AB227">
        <v>96</v>
      </c>
      <c r="AC227">
        <v>32.9</v>
      </c>
      <c r="AD227">
        <v>1389</v>
      </c>
      <c r="AE227" t="s">
        <v>57</v>
      </c>
      <c r="AF227">
        <v>0</v>
      </c>
      <c r="AG227" t="s">
        <v>1011</v>
      </c>
      <c r="AH227">
        <v>956</v>
      </c>
      <c r="AI227" t="s">
        <v>98</v>
      </c>
      <c r="AJ227" s="1">
        <v>57663</v>
      </c>
      <c r="AK227">
        <v>15.5</v>
      </c>
      <c r="AL227" s="2">
        <v>0.04</v>
      </c>
      <c r="AN227" t="s">
        <v>1012</v>
      </c>
      <c r="AO227" t="s">
        <v>1013</v>
      </c>
      <c r="AP227" t="b">
        <v>0</v>
      </c>
      <c r="AQ227" t="b">
        <v>0</v>
      </c>
      <c r="AR227" t="b">
        <v>0</v>
      </c>
    </row>
    <row r="228" spans="1:45" x14ac:dyDescent="0.3">
      <c r="A228">
        <v>301</v>
      </c>
      <c r="B228">
        <v>297</v>
      </c>
      <c r="C228" t="s">
        <v>1014</v>
      </c>
      <c r="D228" t="s">
        <v>45</v>
      </c>
      <c r="E228" t="s">
        <v>46</v>
      </c>
      <c r="F228" t="s">
        <v>56</v>
      </c>
      <c r="G228">
        <v>29.3</v>
      </c>
      <c r="H228">
        <v>41.9</v>
      </c>
      <c r="I228">
        <v>63</v>
      </c>
      <c r="J228">
        <v>14</v>
      </c>
      <c r="K228">
        <v>28</v>
      </c>
      <c r="L228">
        <v>37.299999999999997</v>
      </c>
      <c r="M228">
        <v>62.5</v>
      </c>
      <c r="N228">
        <v>90.9</v>
      </c>
      <c r="O228">
        <v>37</v>
      </c>
      <c r="P228">
        <v>36.299999999999997</v>
      </c>
      <c r="Q228">
        <f>187</f>
        <v>187</v>
      </c>
      <c r="R228" t="s">
        <v>1014</v>
      </c>
      <c r="S228">
        <v>59.5</v>
      </c>
      <c r="T228">
        <v>1870</v>
      </c>
      <c r="U228">
        <v>52.6</v>
      </c>
      <c r="V228">
        <v>114</v>
      </c>
      <c r="W228">
        <v>37</v>
      </c>
      <c r="X228">
        <v>304</v>
      </c>
      <c r="Y228">
        <v>85.1</v>
      </c>
      <c r="Z228">
        <v>209</v>
      </c>
      <c r="AA228">
        <v>92.2</v>
      </c>
      <c r="AB228">
        <v>144</v>
      </c>
      <c r="AC228">
        <v>53.2</v>
      </c>
      <c r="AD228">
        <v>705</v>
      </c>
      <c r="AE228" t="s">
        <v>49</v>
      </c>
      <c r="AF228">
        <v>0</v>
      </c>
      <c r="AG228" t="s">
        <v>1015</v>
      </c>
      <c r="AH228">
        <v>602</v>
      </c>
      <c r="AI228" t="s">
        <v>46</v>
      </c>
      <c r="AJ228" s="1">
        <v>17508</v>
      </c>
      <c r="AK228">
        <v>10.1</v>
      </c>
      <c r="AL228" s="2">
        <v>0.18</v>
      </c>
      <c r="AM228" s="3">
        <v>2.3229166666666665</v>
      </c>
      <c r="AN228" t="s">
        <v>1014</v>
      </c>
      <c r="AO228" t="s">
        <v>1016</v>
      </c>
      <c r="AP228" t="b">
        <v>0</v>
      </c>
      <c r="AQ228" t="b">
        <v>0</v>
      </c>
      <c r="AR228" t="b">
        <v>0</v>
      </c>
      <c r="AS228" t="s">
        <v>1017</v>
      </c>
    </row>
    <row r="229" spans="1:45" x14ac:dyDescent="0.3">
      <c r="A229">
        <v>336</v>
      </c>
      <c r="B229">
        <v>355</v>
      </c>
      <c r="C229" t="s">
        <v>1018</v>
      </c>
      <c r="D229" t="s">
        <v>95</v>
      </c>
      <c r="E229" t="s">
        <v>96</v>
      </c>
      <c r="F229" t="s">
        <v>77</v>
      </c>
      <c r="G229">
        <v>20.399999999999999</v>
      </c>
      <c r="H229">
        <v>12.3</v>
      </c>
      <c r="I229">
        <v>10.3</v>
      </c>
      <c r="J229">
        <v>98.5</v>
      </c>
      <c r="K229">
        <v>7.1</v>
      </c>
      <c r="L229">
        <v>4.9000000000000004</v>
      </c>
      <c r="M229">
        <v>71.3</v>
      </c>
      <c r="N229">
        <v>12.9</v>
      </c>
      <c r="O229">
        <v>11</v>
      </c>
      <c r="P229">
        <v>33.299999999999997</v>
      </c>
      <c r="Q229">
        <f>150</f>
        <v>150</v>
      </c>
      <c r="R229" t="s">
        <v>1018</v>
      </c>
      <c r="S229">
        <v>62</v>
      </c>
      <c r="T229">
        <v>1510</v>
      </c>
      <c r="U229">
        <v>59.1</v>
      </c>
      <c r="V229">
        <v>81</v>
      </c>
      <c r="W229">
        <v>57.3</v>
      </c>
      <c r="X229">
        <v>99</v>
      </c>
      <c r="Y229">
        <v>69.3</v>
      </c>
      <c r="Z229">
        <v>573</v>
      </c>
      <c r="AA229">
        <v>93.2</v>
      </c>
      <c r="AB229">
        <v>135</v>
      </c>
      <c r="AC229">
        <v>46.1</v>
      </c>
      <c r="AD229">
        <v>927</v>
      </c>
      <c r="AE229" t="s">
        <v>57</v>
      </c>
      <c r="AF229">
        <v>0</v>
      </c>
      <c r="AG229" t="s">
        <v>1019</v>
      </c>
      <c r="AH229">
        <v>1003</v>
      </c>
      <c r="AI229" t="s">
        <v>98</v>
      </c>
      <c r="AJ229" s="1">
        <v>49117</v>
      </c>
      <c r="AK229">
        <v>15.9</v>
      </c>
      <c r="AL229" s="2">
        <v>0.05</v>
      </c>
      <c r="AN229" t="s">
        <v>1018</v>
      </c>
      <c r="AO229" t="s">
        <v>1020</v>
      </c>
      <c r="AP229" t="b">
        <v>0</v>
      </c>
      <c r="AQ229" t="b">
        <v>0</v>
      </c>
      <c r="AR229" t="b">
        <v>0</v>
      </c>
    </row>
    <row r="230" spans="1:45" x14ac:dyDescent="0.3">
      <c r="A230">
        <v>302</v>
      </c>
      <c r="B230">
        <v>236</v>
      </c>
      <c r="C230" t="s">
        <v>1021</v>
      </c>
      <c r="D230" t="s">
        <v>217</v>
      </c>
      <c r="E230" t="s">
        <v>218</v>
      </c>
      <c r="F230" t="s">
        <v>77</v>
      </c>
      <c r="G230">
        <v>27.8</v>
      </c>
      <c r="H230">
        <v>6.2</v>
      </c>
      <c r="I230">
        <v>9.1999999999999993</v>
      </c>
      <c r="J230">
        <v>87</v>
      </c>
      <c r="K230">
        <v>12</v>
      </c>
      <c r="L230">
        <v>35.200000000000003</v>
      </c>
      <c r="M230">
        <v>99.2</v>
      </c>
      <c r="N230">
        <v>15.2</v>
      </c>
      <c r="O230">
        <v>18.399999999999999</v>
      </c>
      <c r="P230">
        <v>35.9</v>
      </c>
      <c r="Q230">
        <f>152</f>
        <v>152</v>
      </c>
      <c r="R230" t="s">
        <v>1021</v>
      </c>
      <c r="S230">
        <v>61.9</v>
      </c>
      <c r="T230">
        <v>1540</v>
      </c>
      <c r="U230">
        <v>47.9</v>
      </c>
      <c r="V230">
        <v>162</v>
      </c>
      <c r="W230">
        <v>42.7</v>
      </c>
      <c r="X230">
        <v>214</v>
      </c>
      <c r="Y230">
        <v>90.6</v>
      </c>
      <c r="Z230">
        <v>116</v>
      </c>
      <c r="AA230">
        <v>68.3</v>
      </c>
      <c r="AB230">
        <v>472</v>
      </c>
      <c r="AC230">
        <v>73.2</v>
      </c>
      <c r="AD230">
        <v>361</v>
      </c>
      <c r="AE230" t="s">
        <v>57</v>
      </c>
      <c r="AF230">
        <v>6</v>
      </c>
      <c r="AG230" t="s">
        <v>1022</v>
      </c>
      <c r="AH230">
        <v>670575</v>
      </c>
      <c r="AI230" t="s">
        <v>218</v>
      </c>
      <c r="AJ230" s="1">
        <v>61690</v>
      </c>
      <c r="AK230">
        <v>16.899999999999999</v>
      </c>
      <c r="AL230" s="2">
        <v>0.18</v>
      </c>
      <c r="AM230" s="3">
        <v>2.7736111111111112</v>
      </c>
      <c r="AN230" t="s">
        <v>1023</v>
      </c>
      <c r="AO230" t="s">
        <v>1024</v>
      </c>
      <c r="AP230" t="b">
        <v>0</v>
      </c>
      <c r="AQ230" t="b">
        <v>0</v>
      </c>
      <c r="AR230" t="b">
        <v>0</v>
      </c>
    </row>
    <row r="231" spans="1:45" x14ac:dyDescent="0.3">
      <c r="A231">
        <v>304</v>
      </c>
      <c r="B231">
        <v>268</v>
      </c>
      <c r="C231" t="s">
        <v>1025</v>
      </c>
      <c r="D231" t="s">
        <v>314</v>
      </c>
      <c r="E231" t="s">
        <v>315</v>
      </c>
      <c r="F231" t="s">
        <v>56</v>
      </c>
      <c r="G231">
        <v>18.5</v>
      </c>
      <c r="H231">
        <v>26.6</v>
      </c>
      <c r="I231">
        <v>37.9</v>
      </c>
      <c r="J231">
        <v>45.4</v>
      </c>
      <c r="K231">
        <v>81.900000000000006</v>
      </c>
      <c r="L231">
        <v>32.6</v>
      </c>
      <c r="M231">
        <v>84.6</v>
      </c>
      <c r="N231">
        <v>42.4</v>
      </c>
      <c r="O231">
        <v>41</v>
      </c>
      <c r="P231">
        <v>35.799999999999997</v>
      </c>
      <c r="Q231" t="s">
        <v>486</v>
      </c>
      <c r="R231" t="s">
        <v>1025</v>
      </c>
      <c r="S231" t="s">
        <v>487</v>
      </c>
      <c r="T231">
        <v>2730</v>
      </c>
      <c r="U231">
        <v>28.3</v>
      </c>
      <c r="V231">
        <v>788</v>
      </c>
      <c r="W231">
        <v>41.3</v>
      </c>
      <c r="X231">
        <v>231</v>
      </c>
      <c r="Y231">
        <v>86.4</v>
      </c>
      <c r="Z231">
        <v>185</v>
      </c>
      <c r="AA231">
        <v>92.8</v>
      </c>
      <c r="AB231">
        <v>137</v>
      </c>
      <c r="AC231">
        <v>70.7</v>
      </c>
      <c r="AD231">
        <v>397</v>
      </c>
      <c r="AE231" t="s">
        <v>57</v>
      </c>
      <c r="AF231">
        <v>0</v>
      </c>
      <c r="AG231" t="s">
        <v>1026</v>
      </c>
      <c r="AH231">
        <v>789</v>
      </c>
      <c r="AI231" t="s">
        <v>315</v>
      </c>
      <c r="AJ231" s="1">
        <v>15233</v>
      </c>
      <c r="AK231">
        <v>14.9</v>
      </c>
      <c r="AL231" s="2">
        <v>0.15</v>
      </c>
      <c r="AM231" s="3">
        <v>2.2819444444444446</v>
      </c>
      <c r="AN231" t="s">
        <v>1025</v>
      </c>
      <c r="AO231" t="s">
        <v>1027</v>
      </c>
      <c r="AP231" t="b">
        <v>0</v>
      </c>
      <c r="AQ231" t="b">
        <v>0</v>
      </c>
      <c r="AR231" t="b">
        <v>0</v>
      </c>
    </row>
    <row r="232" spans="1:45" x14ac:dyDescent="0.3">
      <c r="A232">
        <v>306</v>
      </c>
      <c r="B232">
        <v>336</v>
      </c>
      <c r="C232" t="s">
        <v>1028</v>
      </c>
      <c r="D232" t="s">
        <v>397</v>
      </c>
      <c r="E232" t="s">
        <v>398</v>
      </c>
      <c r="F232" t="s">
        <v>56</v>
      </c>
      <c r="G232">
        <v>19.899999999999999</v>
      </c>
      <c r="H232">
        <v>20.8</v>
      </c>
      <c r="I232">
        <v>25.5</v>
      </c>
      <c r="J232">
        <v>53.2</v>
      </c>
      <c r="K232">
        <v>77.3</v>
      </c>
      <c r="L232">
        <v>14.9</v>
      </c>
      <c r="M232">
        <v>92.1</v>
      </c>
      <c r="N232">
        <v>23.3</v>
      </c>
      <c r="O232">
        <v>75.599999999999994</v>
      </c>
      <c r="P232">
        <v>35.700000000000003</v>
      </c>
      <c r="Q232" t="s">
        <v>292</v>
      </c>
      <c r="R232" t="s">
        <v>1028</v>
      </c>
      <c r="S232" t="s">
        <v>293</v>
      </c>
      <c r="T232">
        <v>2020</v>
      </c>
      <c r="U232">
        <v>33.700000000000003</v>
      </c>
      <c r="V232">
        <v>508</v>
      </c>
      <c r="W232">
        <v>45</v>
      </c>
      <c r="X232">
        <v>187</v>
      </c>
      <c r="Y232">
        <v>83</v>
      </c>
      <c r="Z232">
        <v>260</v>
      </c>
      <c r="AA232">
        <v>80.599999999999994</v>
      </c>
      <c r="AB232">
        <v>256</v>
      </c>
      <c r="AC232">
        <v>72.400000000000006</v>
      </c>
      <c r="AD232">
        <v>371</v>
      </c>
      <c r="AE232" t="s">
        <v>57</v>
      </c>
      <c r="AF232">
        <v>1</v>
      </c>
      <c r="AG232" t="s">
        <v>1029</v>
      </c>
      <c r="AH232">
        <v>766</v>
      </c>
      <c r="AI232" t="s">
        <v>398</v>
      </c>
      <c r="AJ232" s="1">
        <v>17275</v>
      </c>
      <c r="AK232">
        <v>14.9</v>
      </c>
      <c r="AL232" s="2">
        <v>0.12</v>
      </c>
      <c r="AN232" t="s">
        <v>1028</v>
      </c>
      <c r="AO232" t="s">
        <v>1030</v>
      </c>
      <c r="AP232" t="b">
        <v>0</v>
      </c>
      <c r="AQ232" t="b">
        <v>0</v>
      </c>
      <c r="AR232" t="b">
        <v>0</v>
      </c>
    </row>
    <row r="233" spans="1:45" x14ac:dyDescent="0.3">
      <c r="A233">
        <v>307</v>
      </c>
      <c r="B233">
        <v>268</v>
      </c>
      <c r="C233" t="s">
        <v>1031</v>
      </c>
      <c r="D233" t="s">
        <v>45</v>
      </c>
      <c r="E233" t="s">
        <v>46</v>
      </c>
      <c r="F233" t="s">
        <v>77</v>
      </c>
      <c r="G233">
        <v>37.5</v>
      </c>
      <c r="H233">
        <v>22.3</v>
      </c>
      <c r="I233">
        <v>17.3</v>
      </c>
      <c r="J233">
        <v>40.700000000000003</v>
      </c>
      <c r="K233">
        <v>43.9</v>
      </c>
      <c r="L233">
        <v>58.7</v>
      </c>
      <c r="M233">
        <v>84.1</v>
      </c>
      <c r="N233">
        <v>11.2</v>
      </c>
      <c r="O233">
        <v>36</v>
      </c>
      <c r="P233">
        <v>35.5</v>
      </c>
      <c r="Q233">
        <f>92</f>
        <v>92</v>
      </c>
      <c r="R233" t="s">
        <v>1031</v>
      </c>
      <c r="S233">
        <v>67.400000000000006</v>
      </c>
      <c r="T233">
        <v>920</v>
      </c>
      <c r="U233">
        <v>47.1</v>
      </c>
      <c r="V233">
        <v>175</v>
      </c>
      <c r="W233">
        <v>53.8</v>
      </c>
      <c r="X233">
        <v>119</v>
      </c>
      <c r="Y233">
        <v>93.2</v>
      </c>
      <c r="Z233">
        <v>72</v>
      </c>
      <c r="AA233">
        <v>96.1</v>
      </c>
      <c r="AB233">
        <v>102</v>
      </c>
      <c r="AC233">
        <v>80.900000000000006</v>
      </c>
      <c r="AD233">
        <v>242</v>
      </c>
      <c r="AE233" t="s">
        <v>208</v>
      </c>
      <c r="AF233">
        <v>0</v>
      </c>
      <c r="AG233" t="s">
        <v>1032</v>
      </c>
      <c r="AH233">
        <v>550</v>
      </c>
      <c r="AI233" t="s">
        <v>46</v>
      </c>
      <c r="AJ233" s="1">
        <v>35675</v>
      </c>
      <c r="AK233">
        <v>16.2</v>
      </c>
      <c r="AL233" s="2">
        <v>0.26</v>
      </c>
      <c r="AM233" s="3">
        <v>2.2409722222222221</v>
      </c>
      <c r="AN233" t="s">
        <v>1031</v>
      </c>
      <c r="AO233" t="s">
        <v>1033</v>
      </c>
      <c r="AP233" t="b">
        <v>0</v>
      </c>
      <c r="AQ233" t="b">
        <v>0</v>
      </c>
      <c r="AR233" t="b">
        <v>0</v>
      </c>
      <c r="AS233" t="s">
        <v>1034</v>
      </c>
    </row>
    <row r="234" spans="1:45" x14ac:dyDescent="0.3">
      <c r="A234">
        <v>311</v>
      </c>
      <c r="B234">
        <v>274</v>
      </c>
      <c r="C234" t="s">
        <v>1035</v>
      </c>
      <c r="D234" t="s">
        <v>45</v>
      </c>
      <c r="E234" t="s">
        <v>46</v>
      </c>
      <c r="F234" t="s">
        <v>77</v>
      </c>
      <c r="G234">
        <v>26.7</v>
      </c>
      <c r="H234">
        <v>25.4</v>
      </c>
      <c r="I234">
        <v>9.8000000000000007</v>
      </c>
      <c r="J234">
        <v>63.4</v>
      </c>
      <c r="K234">
        <v>55</v>
      </c>
      <c r="L234">
        <v>17</v>
      </c>
      <c r="M234">
        <v>78.099999999999994</v>
      </c>
      <c r="N234">
        <v>21.5</v>
      </c>
      <c r="O234">
        <v>35.700000000000003</v>
      </c>
      <c r="P234">
        <v>35.1</v>
      </c>
      <c r="Q234" t="s">
        <v>486</v>
      </c>
      <c r="R234" t="s">
        <v>1035</v>
      </c>
      <c r="S234" t="s">
        <v>487</v>
      </c>
      <c r="T234">
        <v>2790</v>
      </c>
      <c r="U234">
        <v>46</v>
      </c>
      <c r="V234">
        <v>191</v>
      </c>
      <c r="W234">
        <v>41.4</v>
      </c>
      <c r="X234">
        <v>230</v>
      </c>
      <c r="Y234">
        <v>73.3</v>
      </c>
      <c r="Z234">
        <v>475</v>
      </c>
      <c r="AA234">
        <v>79.099999999999994</v>
      </c>
      <c r="AB234">
        <v>276</v>
      </c>
      <c r="AC234">
        <v>61.8</v>
      </c>
      <c r="AD234">
        <v>545</v>
      </c>
      <c r="AE234" t="s">
        <v>208</v>
      </c>
      <c r="AF234">
        <v>0</v>
      </c>
      <c r="AG234" t="s">
        <v>1036</v>
      </c>
      <c r="AH234">
        <v>891</v>
      </c>
      <c r="AI234" t="s">
        <v>46</v>
      </c>
      <c r="AJ234" s="1">
        <v>31391</v>
      </c>
      <c r="AK234">
        <v>15.9</v>
      </c>
      <c r="AL234" s="2">
        <v>0.11</v>
      </c>
      <c r="AM234" s="3">
        <v>2.0770833333333334</v>
      </c>
      <c r="AN234" t="s">
        <v>1035</v>
      </c>
      <c r="AO234" t="s">
        <v>1037</v>
      </c>
      <c r="AP234" t="b">
        <v>0</v>
      </c>
      <c r="AQ234" t="b">
        <v>0</v>
      </c>
      <c r="AR234" t="b">
        <v>0</v>
      </c>
      <c r="AS234" t="s">
        <v>1038</v>
      </c>
    </row>
    <row r="235" spans="1:45" x14ac:dyDescent="0.3">
      <c r="A235">
        <v>312</v>
      </c>
      <c r="B235">
        <v>304</v>
      </c>
      <c r="C235" t="s">
        <v>1039</v>
      </c>
      <c r="D235" t="s">
        <v>887</v>
      </c>
      <c r="E235" t="s">
        <v>888</v>
      </c>
      <c r="F235" t="s">
        <v>77</v>
      </c>
      <c r="G235">
        <v>37.799999999999997</v>
      </c>
      <c r="H235">
        <v>46.4</v>
      </c>
      <c r="I235">
        <v>65.099999999999994</v>
      </c>
      <c r="J235">
        <v>5.5</v>
      </c>
      <c r="K235">
        <v>5.7</v>
      </c>
      <c r="L235">
        <v>15.4</v>
      </c>
      <c r="M235">
        <v>88.6</v>
      </c>
      <c r="N235">
        <v>51.3</v>
      </c>
      <c r="O235">
        <v>35.4</v>
      </c>
      <c r="P235">
        <v>35</v>
      </c>
      <c r="Q235" t="s">
        <v>696</v>
      </c>
      <c r="R235" t="s">
        <v>1039</v>
      </c>
      <c r="S235" t="s">
        <v>697</v>
      </c>
      <c r="T235">
        <v>6780</v>
      </c>
      <c r="U235">
        <v>38.4</v>
      </c>
      <c r="V235">
        <v>349</v>
      </c>
      <c r="W235">
        <v>29</v>
      </c>
      <c r="X235">
        <v>495</v>
      </c>
      <c r="Y235">
        <v>55.7</v>
      </c>
      <c r="Z235">
        <v>868</v>
      </c>
      <c r="AA235">
        <v>46.7</v>
      </c>
      <c r="AB235">
        <v>869</v>
      </c>
      <c r="AC235">
        <v>43.4</v>
      </c>
      <c r="AD235">
        <v>1002</v>
      </c>
      <c r="AE235" t="s">
        <v>57</v>
      </c>
      <c r="AF235">
        <v>0</v>
      </c>
      <c r="AG235" t="s">
        <v>1040</v>
      </c>
      <c r="AH235">
        <v>783</v>
      </c>
      <c r="AI235" t="s">
        <v>888</v>
      </c>
      <c r="AJ235" s="1">
        <v>34309</v>
      </c>
      <c r="AK235">
        <v>8.8000000000000007</v>
      </c>
      <c r="AL235" s="2">
        <v>0.11</v>
      </c>
      <c r="AM235" s="3">
        <v>2.8145833333333332</v>
      </c>
      <c r="AN235" t="s">
        <v>1039</v>
      </c>
      <c r="AO235" t="s">
        <v>1041</v>
      </c>
      <c r="AP235" t="b">
        <v>0</v>
      </c>
      <c r="AQ235" t="b">
        <v>0</v>
      </c>
      <c r="AR235" t="b">
        <v>0</v>
      </c>
    </row>
    <row r="236" spans="1:45" x14ac:dyDescent="0.3">
      <c r="A236">
        <v>312</v>
      </c>
      <c r="B236">
        <v>306</v>
      </c>
      <c r="C236" t="s">
        <v>1042</v>
      </c>
      <c r="D236" t="s">
        <v>649</v>
      </c>
      <c r="E236" t="s">
        <v>650</v>
      </c>
      <c r="F236" t="s">
        <v>56</v>
      </c>
      <c r="G236">
        <v>17.7</v>
      </c>
      <c r="H236">
        <v>17.899999999999999</v>
      </c>
      <c r="I236">
        <v>40.299999999999997</v>
      </c>
      <c r="J236">
        <v>24.9</v>
      </c>
      <c r="K236">
        <v>96.5</v>
      </c>
      <c r="L236">
        <v>51.4</v>
      </c>
      <c r="M236">
        <v>98</v>
      </c>
      <c r="N236">
        <v>63.1</v>
      </c>
      <c r="O236">
        <v>65.599999999999994</v>
      </c>
      <c r="P236">
        <v>35</v>
      </c>
      <c r="Q236" t="s">
        <v>372</v>
      </c>
      <c r="R236" t="s">
        <v>1042</v>
      </c>
      <c r="S236" t="s">
        <v>374</v>
      </c>
      <c r="T236">
        <v>4430</v>
      </c>
      <c r="U236">
        <v>28.6</v>
      </c>
      <c r="V236">
        <v>767</v>
      </c>
      <c r="W236">
        <v>36.299999999999997</v>
      </c>
      <c r="X236">
        <v>321</v>
      </c>
      <c r="Y236">
        <v>66.8</v>
      </c>
      <c r="Z236">
        <v>628</v>
      </c>
      <c r="AA236">
        <v>44.8</v>
      </c>
      <c r="AB236">
        <v>898</v>
      </c>
      <c r="AC236">
        <v>81</v>
      </c>
      <c r="AD236">
        <v>240</v>
      </c>
      <c r="AE236" t="s">
        <v>57</v>
      </c>
      <c r="AF236">
        <v>6</v>
      </c>
      <c r="AG236" t="s">
        <v>1043</v>
      </c>
      <c r="AH236">
        <v>1036</v>
      </c>
      <c r="AI236" t="s">
        <v>650</v>
      </c>
      <c r="AJ236" s="1">
        <v>31721</v>
      </c>
      <c r="AK236">
        <v>26.5</v>
      </c>
      <c r="AL236" s="2">
        <v>0.13</v>
      </c>
      <c r="AM236" s="3">
        <v>2.3229166666666665</v>
      </c>
      <c r="AN236" t="s">
        <v>1044</v>
      </c>
      <c r="AO236" t="s">
        <v>1045</v>
      </c>
      <c r="AP236" t="b">
        <v>0</v>
      </c>
      <c r="AQ236" t="b">
        <v>0</v>
      </c>
      <c r="AR236" t="b">
        <v>0</v>
      </c>
    </row>
    <row r="237" spans="1:45" x14ac:dyDescent="0.3">
      <c r="A237">
        <v>315</v>
      </c>
      <c r="B237">
        <v>315</v>
      </c>
      <c r="C237" t="s">
        <v>1046</v>
      </c>
      <c r="D237" t="s">
        <v>1047</v>
      </c>
      <c r="E237" t="s">
        <v>737</v>
      </c>
      <c r="F237" t="s">
        <v>47</v>
      </c>
      <c r="G237">
        <v>17.3</v>
      </c>
      <c r="H237">
        <v>42.4</v>
      </c>
      <c r="I237">
        <v>3.2</v>
      </c>
      <c r="J237">
        <v>93.6</v>
      </c>
      <c r="K237">
        <v>7</v>
      </c>
      <c r="L237">
        <v>1.9</v>
      </c>
      <c r="M237">
        <v>65</v>
      </c>
      <c r="N237">
        <v>21</v>
      </c>
      <c r="O237">
        <v>3.4</v>
      </c>
      <c r="P237">
        <v>34.799999999999997</v>
      </c>
      <c r="Q237" t="s">
        <v>372</v>
      </c>
      <c r="R237" t="s">
        <v>1046</v>
      </c>
      <c r="S237" t="s">
        <v>374</v>
      </c>
      <c r="T237">
        <v>4740</v>
      </c>
      <c r="U237">
        <v>29.7</v>
      </c>
      <c r="V237">
        <v>708</v>
      </c>
      <c r="W237">
        <v>24.1</v>
      </c>
      <c r="X237">
        <v>648</v>
      </c>
      <c r="Y237">
        <v>84.2</v>
      </c>
      <c r="Z237">
        <v>228</v>
      </c>
      <c r="AA237">
        <v>22.9</v>
      </c>
      <c r="AB237">
        <v>1404</v>
      </c>
      <c r="AC237">
        <v>53.7</v>
      </c>
      <c r="AD237">
        <v>698</v>
      </c>
      <c r="AE237" t="s">
        <v>57</v>
      </c>
      <c r="AF237">
        <v>0</v>
      </c>
      <c r="AG237" t="s">
        <v>1048</v>
      </c>
      <c r="AH237">
        <v>131310</v>
      </c>
      <c r="AI237" t="s">
        <v>737</v>
      </c>
      <c r="AJ237" s="1">
        <v>11386</v>
      </c>
      <c r="AK237">
        <v>20.3</v>
      </c>
      <c r="AL237" s="2">
        <v>0.01</v>
      </c>
      <c r="AM237" s="3">
        <v>1.9131944444444444</v>
      </c>
      <c r="AN237" t="s">
        <v>1046</v>
      </c>
      <c r="AO237" t="s">
        <v>1049</v>
      </c>
      <c r="AP237" t="b">
        <v>0</v>
      </c>
      <c r="AQ237" t="b">
        <v>0</v>
      </c>
      <c r="AR237" t="b">
        <v>0</v>
      </c>
    </row>
    <row r="238" spans="1:45" x14ac:dyDescent="0.3">
      <c r="A238">
        <v>316</v>
      </c>
      <c r="B238">
        <v>342</v>
      </c>
      <c r="C238" t="s">
        <v>1050</v>
      </c>
      <c r="D238" t="s">
        <v>378</v>
      </c>
      <c r="E238" t="s">
        <v>379</v>
      </c>
      <c r="F238" t="s">
        <v>56</v>
      </c>
      <c r="G238">
        <v>24.4</v>
      </c>
      <c r="H238">
        <v>48.7</v>
      </c>
      <c r="I238">
        <v>92</v>
      </c>
      <c r="J238">
        <v>2.1</v>
      </c>
      <c r="K238">
        <v>8</v>
      </c>
      <c r="L238">
        <v>92.2</v>
      </c>
      <c r="M238">
        <v>89.7</v>
      </c>
      <c r="N238">
        <v>10</v>
      </c>
      <c r="O238">
        <v>24</v>
      </c>
      <c r="P238">
        <v>34.700000000000003</v>
      </c>
      <c r="Q238" t="s">
        <v>696</v>
      </c>
      <c r="R238" t="s">
        <v>1050</v>
      </c>
      <c r="S238" t="s">
        <v>697</v>
      </c>
      <c r="T238">
        <v>7590</v>
      </c>
      <c r="U238">
        <v>39.1</v>
      </c>
      <c r="V238">
        <v>335</v>
      </c>
      <c r="W238">
        <v>23</v>
      </c>
      <c r="X238">
        <v>687</v>
      </c>
      <c r="Y238">
        <v>46.1</v>
      </c>
      <c r="Z238">
        <v>1093</v>
      </c>
      <c r="AA238">
        <v>21</v>
      </c>
      <c r="AB238">
        <v>1481</v>
      </c>
      <c r="AC238">
        <v>70.400000000000006</v>
      </c>
      <c r="AD238">
        <v>401</v>
      </c>
      <c r="AE238" t="s">
        <v>57</v>
      </c>
      <c r="AF238">
        <v>0</v>
      </c>
      <c r="AG238" t="s">
        <v>1051</v>
      </c>
      <c r="AH238">
        <v>131343</v>
      </c>
      <c r="AI238" t="s">
        <v>381</v>
      </c>
      <c r="AJ238" s="1">
        <v>22866</v>
      </c>
      <c r="AK238">
        <v>15.6</v>
      </c>
      <c r="AL238" s="2">
        <v>0.32</v>
      </c>
      <c r="AM238" s="3">
        <v>2.4868055555555557</v>
      </c>
      <c r="AN238" t="s">
        <v>1050</v>
      </c>
      <c r="AO238" t="s">
        <v>1052</v>
      </c>
      <c r="AP238" t="b">
        <v>0</v>
      </c>
      <c r="AQ238" t="b">
        <v>0</v>
      </c>
      <c r="AR238" t="b">
        <v>1</v>
      </c>
    </row>
    <row r="239" spans="1:45" x14ac:dyDescent="0.3">
      <c r="A239">
        <v>489</v>
      </c>
      <c r="B239">
        <v>514</v>
      </c>
      <c r="C239" t="s">
        <v>1053</v>
      </c>
      <c r="D239" t="s">
        <v>95</v>
      </c>
      <c r="E239" t="s">
        <v>96</v>
      </c>
      <c r="F239" t="s">
        <v>77</v>
      </c>
      <c r="G239">
        <v>20.3</v>
      </c>
      <c r="H239">
        <v>13.1</v>
      </c>
      <c r="I239">
        <v>50.8</v>
      </c>
      <c r="J239">
        <v>30.5</v>
      </c>
      <c r="K239">
        <v>40.9</v>
      </c>
      <c r="L239">
        <v>5.3</v>
      </c>
      <c r="M239">
        <v>58.7</v>
      </c>
      <c r="N239">
        <v>8.9</v>
      </c>
      <c r="O239">
        <v>10.5</v>
      </c>
      <c r="P239">
        <v>24.5</v>
      </c>
      <c r="Q239" t="s">
        <v>572</v>
      </c>
      <c r="R239" t="s">
        <v>1053</v>
      </c>
      <c r="S239" t="s">
        <v>574</v>
      </c>
      <c r="T239">
        <v>5820</v>
      </c>
      <c r="U239">
        <v>31.8</v>
      </c>
      <c r="V239">
        <v>600</v>
      </c>
      <c r="W239">
        <v>38</v>
      </c>
      <c r="X239">
        <v>292</v>
      </c>
      <c r="Y239">
        <v>62.7</v>
      </c>
      <c r="Z239">
        <v>712</v>
      </c>
      <c r="AA239">
        <v>71.3</v>
      </c>
      <c r="AB239">
        <v>401</v>
      </c>
      <c r="AC239">
        <v>42.9</v>
      </c>
      <c r="AD239">
        <v>1020</v>
      </c>
      <c r="AE239" t="s">
        <v>57</v>
      </c>
      <c r="AF239">
        <v>0</v>
      </c>
      <c r="AG239" t="s">
        <v>1054</v>
      </c>
      <c r="AH239">
        <v>1001</v>
      </c>
      <c r="AI239" t="s">
        <v>98</v>
      </c>
      <c r="AJ239" s="1">
        <v>38015</v>
      </c>
      <c r="AK239">
        <v>13</v>
      </c>
      <c r="AL239" s="2">
        <v>0.06</v>
      </c>
      <c r="AM239" s="3">
        <v>2.1590277777777778</v>
      </c>
      <c r="AN239" t="s">
        <v>1053</v>
      </c>
      <c r="AO239" t="s">
        <v>1055</v>
      </c>
      <c r="AP239" t="b">
        <v>0</v>
      </c>
      <c r="AQ239" t="b">
        <v>0</v>
      </c>
      <c r="AR239" t="b">
        <v>0</v>
      </c>
    </row>
    <row r="240" spans="1:45" x14ac:dyDescent="0.3">
      <c r="A240">
        <v>316</v>
      </c>
      <c r="B240">
        <v>304</v>
      </c>
      <c r="C240" t="s">
        <v>1056</v>
      </c>
      <c r="D240" t="s">
        <v>45</v>
      </c>
      <c r="E240" t="s">
        <v>46</v>
      </c>
      <c r="F240" t="s">
        <v>56</v>
      </c>
      <c r="G240">
        <v>25.8</v>
      </c>
      <c r="H240">
        <v>25.2</v>
      </c>
      <c r="I240">
        <v>60.8</v>
      </c>
      <c r="J240">
        <v>29.2</v>
      </c>
      <c r="K240">
        <v>22.3</v>
      </c>
      <c r="L240">
        <v>18.399999999999999</v>
      </c>
      <c r="M240">
        <v>70.099999999999994</v>
      </c>
      <c r="N240">
        <v>60.2</v>
      </c>
      <c r="O240">
        <v>68.900000000000006</v>
      </c>
      <c r="P240">
        <v>34.700000000000003</v>
      </c>
      <c r="Q240">
        <f>199</f>
        <v>199</v>
      </c>
      <c r="R240" t="s">
        <v>1056</v>
      </c>
      <c r="S240">
        <v>58.7</v>
      </c>
      <c r="T240">
        <v>1990</v>
      </c>
      <c r="U240">
        <v>51.9</v>
      </c>
      <c r="V240">
        <v>118</v>
      </c>
      <c r="W240">
        <v>42.6</v>
      </c>
      <c r="X240">
        <v>215</v>
      </c>
      <c r="Y240">
        <v>76.099999999999994</v>
      </c>
      <c r="Z240">
        <v>414</v>
      </c>
      <c r="AA240">
        <v>72.900000000000006</v>
      </c>
      <c r="AB240">
        <v>372</v>
      </c>
      <c r="AC240">
        <v>69.900000000000006</v>
      </c>
      <c r="AD240">
        <v>409</v>
      </c>
      <c r="AE240" t="s">
        <v>49</v>
      </c>
      <c r="AF240">
        <v>0</v>
      </c>
      <c r="AG240" t="s">
        <v>1057</v>
      </c>
      <c r="AH240">
        <v>553</v>
      </c>
      <c r="AI240" t="s">
        <v>46</v>
      </c>
      <c r="AJ240" s="1">
        <v>12576</v>
      </c>
      <c r="AK240">
        <v>10.9</v>
      </c>
      <c r="AL240" s="2">
        <v>0.12</v>
      </c>
      <c r="AM240" s="3">
        <v>1.9951388888888888</v>
      </c>
      <c r="AN240" t="s">
        <v>1056</v>
      </c>
      <c r="AO240" t="s">
        <v>1058</v>
      </c>
      <c r="AP240" t="b">
        <v>0</v>
      </c>
      <c r="AQ240" t="b">
        <v>0</v>
      </c>
      <c r="AR240" t="b">
        <v>0</v>
      </c>
      <c r="AS240" t="s">
        <v>1059</v>
      </c>
    </row>
    <row r="241" spans="1:45" x14ac:dyDescent="0.3">
      <c r="A241">
        <v>319</v>
      </c>
      <c r="B241">
        <v>318</v>
      </c>
      <c r="C241" t="s">
        <v>1060</v>
      </c>
      <c r="D241" t="s">
        <v>139</v>
      </c>
      <c r="E241" t="s">
        <v>140</v>
      </c>
      <c r="F241" t="s">
        <v>56</v>
      </c>
      <c r="G241">
        <v>24</v>
      </c>
      <c r="H241">
        <v>11.4</v>
      </c>
      <c r="I241">
        <v>6.2</v>
      </c>
      <c r="J241">
        <v>36.6</v>
      </c>
      <c r="K241">
        <v>97</v>
      </c>
      <c r="L241">
        <v>83.9</v>
      </c>
      <c r="M241">
        <v>76.8</v>
      </c>
      <c r="N241">
        <v>22.8</v>
      </c>
      <c r="O241">
        <v>89.8</v>
      </c>
      <c r="P241">
        <v>34.6</v>
      </c>
      <c r="Q241" t="s">
        <v>486</v>
      </c>
      <c r="R241" t="s">
        <v>1060</v>
      </c>
      <c r="S241" t="s">
        <v>487</v>
      </c>
      <c r="T241">
        <v>2880</v>
      </c>
      <c r="U241">
        <v>28.7</v>
      </c>
      <c r="V241">
        <v>758</v>
      </c>
      <c r="W241">
        <v>36.700000000000003</v>
      </c>
      <c r="X241">
        <v>309</v>
      </c>
      <c r="Y241">
        <v>84.2</v>
      </c>
      <c r="Z241">
        <v>229</v>
      </c>
      <c r="AA241">
        <v>83.1</v>
      </c>
      <c r="AB241">
        <v>225</v>
      </c>
      <c r="AC241">
        <v>92.9</v>
      </c>
      <c r="AD241">
        <v>85</v>
      </c>
      <c r="AE241" t="s">
        <v>57</v>
      </c>
      <c r="AF241">
        <v>11</v>
      </c>
      <c r="AG241" t="s">
        <v>1061</v>
      </c>
      <c r="AH241">
        <v>709</v>
      </c>
      <c r="AI241" t="s">
        <v>140</v>
      </c>
      <c r="AJ241" s="1">
        <v>27269</v>
      </c>
      <c r="AK241">
        <v>26.8</v>
      </c>
      <c r="AL241" s="2">
        <v>0.31</v>
      </c>
      <c r="AM241" s="3">
        <v>2.2819444444444446</v>
      </c>
      <c r="AN241" t="s">
        <v>1060</v>
      </c>
      <c r="AO241" t="s">
        <v>1062</v>
      </c>
      <c r="AP241" t="b">
        <v>0</v>
      </c>
      <c r="AQ241" t="b">
        <v>0</v>
      </c>
      <c r="AR241" t="b">
        <v>0</v>
      </c>
    </row>
    <row r="242" spans="1:45" x14ac:dyDescent="0.3">
      <c r="A242">
        <v>320</v>
      </c>
      <c r="B242">
        <v>264</v>
      </c>
      <c r="C242" t="s">
        <v>1063</v>
      </c>
      <c r="D242" t="s">
        <v>45</v>
      </c>
      <c r="E242" t="s">
        <v>46</v>
      </c>
      <c r="F242" t="s">
        <v>77</v>
      </c>
      <c r="G242">
        <v>36.1</v>
      </c>
      <c r="H242">
        <v>17.5</v>
      </c>
      <c r="I242">
        <v>38.299999999999997</v>
      </c>
      <c r="J242">
        <v>34.9</v>
      </c>
      <c r="K242">
        <v>32.200000000000003</v>
      </c>
      <c r="L242">
        <v>4.9000000000000004</v>
      </c>
      <c r="M242">
        <v>86.3</v>
      </c>
      <c r="N242">
        <v>31.6</v>
      </c>
      <c r="O242">
        <v>62.8</v>
      </c>
      <c r="P242">
        <v>34.4</v>
      </c>
      <c r="Q242">
        <f>138</f>
        <v>138</v>
      </c>
      <c r="R242" t="s">
        <v>1063</v>
      </c>
      <c r="S242">
        <v>62.9</v>
      </c>
      <c r="T242">
        <v>1380</v>
      </c>
      <c r="U242">
        <v>46.5</v>
      </c>
      <c r="V242">
        <v>182</v>
      </c>
      <c r="W242">
        <v>51.9</v>
      </c>
      <c r="X242">
        <v>127</v>
      </c>
      <c r="Y242">
        <v>88.6</v>
      </c>
      <c r="Z242">
        <v>145</v>
      </c>
      <c r="AA242">
        <v>82.8</v>
      </c>
      <c r="AB242">
        <v>231</v>
      </c>
      <c r="AC242">
        <v>56.6</v>
      </c>
      <c r="AD242">
        <v>650</v>
      </c>
      <c r="AE242" t="s">
        <v>208</v>
      </c>
      <c r="AF242">
        <v>0</v>
      </c>
      <c r="AG242" t="s">
        <v>1064</v>
      </c>
      <c r="AH242">
        <v>541</v>
      </c>
      <c r="AI242" t="s">
        <v>46</v>
      </c>
      <c r="AJ242" s="1">
        <v>35844</v>
      </c>
      <c r="AK242">
        <v>16.5</v>
      </c>
      <c r="AL242" s="2">
        <v>0.08</v>
      </c>
      <c r="AM242" s="3">
        <v>1.9131944444444444</v>
      </c>
      <c r="AN242" t="s">
        <v>1063</v>
      </c>
      <c r="AO242" t="s">
        <v>1065</v>
      </c>
      <c r="AP242" t="b">
        <v>0</v>
      </c>
      <c r="AQ242" t="b">
        <v>0</v>
      </c>
      <c r="AR242" t="b">
        <v>0</v>
      </c>
      <c r="AS242" t="s">
        <v>1066</v>
      </c>
    </row>
    <row r="243" spans="1:45" x14ac:dyDescent="0.3">
      <c r="A243">
        <v>321</v>
      </c>
      <c r="B243">
        <v>355</v>
      </c>
      <c r="C243" t="s">
        <v>1067</v>
      </c>
      <c r="D243" t="s">
        <v>619</v>
      </c>
      <c r="E243" t="s">
        <v>620</v>
      </c>
      <c r="F243" t="s">
        <v>56</v>
      </c>
      <c r="G243">
        <v>34.4</v>
      </c>
      <c r="H243">
        <v>62</v>
      </c>
      <c r="I243">
        <v>92.6</v>
      </c>
      <c r="J243">
        <v>1.4</v>
      </c>
      <c r="K243">
        <v>68.7</v>
      </c>
      <c r="L243">
        <v>8.1999999999999993</v>
      </c>
      <c r="M243">
        <v>22.8</v>
      </c>
      <c r="N243">
        <v>5.5</v>
      </c>
      <c r="O243">
        <v>10.5</v>
      </c>
      <c r="P243">
        <v>34.200000000000003</v>
      </c>
      <c r="Q243" t="s">
        <v>1068</v>
      </c>
      <c r="R243" t="s">
        <v>1069</v>
      </c>
      <c r="S243" t="s">
        <v>1070</v>
      </c>
      <c r="T243">
        <v>17040</v>
      </c>
      <c r="U243">
        <v>21.9</v>
      </c>
      <c r="V243">
        <v>1240</v>
      </c>
      <c r="W243">
        <v>11.6</v>
      </c>
      <c r="X243">
        <v>1455</v>
      </c>
      <c r="Y243">
        <v>21.1</v>
      </c>
      <c r="Z243">
        <v>1656</v>
      </c>
      <c r="AA243">
        <v>15.7</v>
      </c>
      <c r="AB243">
        <v>1895</v>
      </c>
      <c r="AC243">
        <v>54.2</v>
      </c>
      <c r="AD243">
        <v>691</v>
      </c>
      <c r="AE243" t="s">
        <v>57</v>
      </c>
      <c r="AF243">
        <v>0</v>
      </c>
      <c r="AG243" t="s">
        <v>1071</v>
      </c>
      <c r="AH243">
        <v>131441</v>
      </c>
      <c r="AI243" t="s">
        <v>620</v>
      </c>
      <c r="AJ243" s="1">
        <v>19632</v>
      </c>
      <c r="AK243">
        <v>13.5</v>
      </c>
      <c r="AL243" s="2">
        <v>0.04</v>
      </c>
      <c r="AM243" s="3">
        <v>2.5277777777777777</v>
      </c>
      <c r="AN243" t="s">
        <v>1072</v>
      </c>
      <c r="AO243" t="s">
        <v>1073</v>
      </c>
      <c r="AP243" t="b">
        <v>0</v>
      </c>
      <c r="AQ243" t="b">
        <v>0</v>
      </c>
      <c r="AR243" t="b">
        <v>0</v>
      </c>
    </row>
    <row r="244" spans="1:45" x14ac:dyDescent="0.3">
      <c r="A244">
        <v>321</v>
      </c>
      <c r="B244">
        <v>347</v>
      </c>
      <c r="C244" t="s">
        <v>1074</v>
      </c>
      <c r="D244" t="s">
        <v>1075</v>
      </c>
      <c r="E244" t="s">
        <v>1076</v>
      </c>
      <c r="F244" t="s">
        <v>56</v>
      </c>
      <c r="G244">
        <v>21.3</v>
      </c>
      <c r="H244">
        <v>44.9</v>
      </c>
      <c r="I244">
        <v>4.5999999999999996</v>
      </c>
      <c r="J244">
        <v>76</v>
      </c>
      <c r="K244">
        <v>1.3</v>
      </c>
      <c r="L244">
        <v>4.5999999999999996</v>
      </c>
      <c r="M244">
        <v>72.7</v>
      </c>
      <c r="N244">
        <v>39.6</v>
      </c>
      <c r="O244">
        <v>5</v>
      </c>
      <c r="P244">
        <v>34.200000000000003</v>
      </c>
      <c r="Q244" t="s">
        <v>696</v>
      </c>
      <c r="R244" t="s">
        <v>1074</v>
      </c>
      <c r="S244" t="s">
        <v>697</v>
      </c>
      <c r="T244">
        <v>7220</v>
      </c>
      <c r="U244">
        <v>26.3</v>
      </c>
      <c r="V244">
        <v>922</v>
      </c>
      <c r="W244">
        <v>23</v>
      </c>
      <c r="X244">
        <v>686</v>
      </c>
      <c r="Y244">
        <v>59.1</v>
      </c>
      <c r="Z244">
        <v>801</v>
      </c>
      <c r="AA244">
        <v>59.7</v>
      </c>
      <c r="AB244">
        <v>651</v>
      </c>
      <c r="AC244">
        <v>38.1</v>
      </c>
      <c r="AD244">
        <v>1187</v>
      </c>
      <c r="AE244" t="s">
        <v>57</v>
      </c>
      <c r="AF244">
        <v>0</v>
      </c>
      <c r="AG244" t="s">
        <v>1077</v>
      </c>
      <c r="AH244">
        <v>131780</v>
      </c>
      <c r="AI244" t="s">
        <v>1076</v>
      </c>
      <c r="AJ244" s="1">
        <v>13532</v>
      </c>
      <c r="AK244">
        <v>20.3</v>
      </c>
      <c r="AL244" s="2">
        <v>0.06</v>
      </c>
      <c r="AM244" t="s">
        <v>153</v>
      </c>
      <c r="AN244" t="s">
        <v>1074</v>
      </c>
      <c r="AO244" t="s">
        <v>1078</v>
      </c>
      <c r="AP244" t="b">
        <v>0</v>
      </c>
      <c r="AQ244" t="b">
        <v>0</v>
      </c>
      <c r="AR244" t="b">
        <v>0</v>
      </c>
    </row>
    <row r="245" spans="1:45" x14ac:dyDescent="0.3">
      <c r="A245">
        <v>324</v>
      </c>
      <c r="B245">
        <v>278</v>
      </c>
      <c r="C245" t="s">
        <v>1079</v>
      </c>
      <c r="D245" t="s">
        <v>45</v>
      </c>
      <c r="E245" t="s">
        <v>46</v>
      </c>
      <c r="F245" t="s">
        <v>56</v>
      </c>
      <c r="G245">
        <v>19</v>
      </c>
      <c r="H245">
        <v>29.5</v>
      </c>
      <c r="I245">
        <v>50</v>
      </c>
      <c r="J245">
        <v>39.299999999999997</v>
      </c>
      <c r="K245">
        <v>66.7</v>
      </c>
      <c r="L245">
        <v>16.899999999999999</v>
      </c>
      <c r="M245">
        <v>81.599999999999994</v>
      </c>
      <c r="N245">
        <v>43.8</v>
      </c>
      <c r="O245">
        <v>27.9</v>
      </c>
      <c r="P245">
        <v>34.1</v>
      </c>
      <c r="Q245" t="s">
        <v>292</v>
      </c>
      <c r="R245" t="s">
        <v>1079</v>
      </c>
      <c r="S245" t="s">
        <v>293</v>
      </c>
      <c r="T245">
        <v>2250</v>
      </c>
      <c r="U245">
        <v>48.5</v>
      </c>
      <c r="V245">
        <v>153</v>
      </c>
      <c r="W245">
        <v>34.700000000000003</v>
      </c>
      <c r="X245">
        <v>357</v>
      </c>
      <c r="Y245">
        <v>83.2</v>
      </c>
      <c r="Z245">
        <v>252</v>
      </c>
      <c r="AA245">
        <v>80.400000000000006</v>
      </c>
      <c r="AB245">
        <v>258</v>
      </c>
      <c r="AC245">
        <v>67.5</v>
      </c>
      <c r="AD245">
        <v>439</v>
      </c>
      <c r="AE245" t="s">
        <v>49</v>
      </c>
      <c r="AF245">
        <v>0</v>
      </c>
      <c r="AG245" t="s">
        <v>1080</v>
      </c>
      <c r="AH245">
        <v>636</v>
      </c>
      <c r="AI245" t="s">
        <v>46</v>
      </c>
      <c r="AJ245" s="1">
        <v>17060</v>
      </c>
      <c r="AK245">
        <v>10.4</v>
      </c>
      <c r="AL245" s="2">
        <v>0.14000000000000001</v>
      </c>
      <c r="AM245" s="3">
        <v>2.2819444444444446</v>
      </c>
      <c r="AN245" t="s">
        <v>1079</v>
      </c>
      <c r="AO245" t="s">
        <v>1081</v>
      </c>
      <c r="AP245" t="b">
        <v>0</v>
      </c>
      <c r="AQ245" t="b">
        <v>0</v>
      </c>
      <c r="AR245" t="b">
        <v>0</v>
      </c>
      <c r="AS245" t="s">
        <v>1082</v>
      </c>
    </row>
    <row r="246" spans="1:45" x14ac:dyDescent="0.3">
      <c r="A246">
        <v>326</v>
      </c>
      <c r="B246">
        <v>307</v>
      </c>
      <c r="C246" t="s">
        <v>1083</v>
      </c>
      <c r="D246" t="s">
        <v>166</v>
      </c>
      <c r="E246" t="s">
        <v>167</v>
      </c>
      <c r="F246" t="s">
        <v>388</v>
      </c>
      <c r="G246">
        <v>10.5</v>
      </c>
      <c r="H246">
        <v>11.8</v>
      </c>
      <c r="I246">
        <v>84.1</v>
      </c>
      <c r="J246">
        <v>99.9</v>
      </c>
      <c r="K246">
        <v>6.6</v>
      </c>
      <c r="L246">
        <v>3.3</v>
      </c>
      <c r="M246">
        <v>12.3</v>
      </c>
      <c r="N246">
        <v>2.7</v>
      </c>
      <c r="O246">
        <v>3.1</v>
      </c>
      <c r="P246">
        <v>34</v>
      </c>
      <c r="Q246" t="s">
        <v>659</v>
      </c>
      <c r="R246" t="s">
        <v>1083</v>
      </c>
      <c r="S246" t="s">
        <v>660</v>
      </c>
      <c r="T246">
        <v>3630</v>
      </c>
      <c r="U246">
        <v>48.8</v>
      </c>
      <c r="V246">
        <v>144</v>
      </c>
      <c r="W246">
        <v>38.9</v>
      </c>
      <c r="X246">
        <v>263</v>
      </c>
      <c r="Y246">
        <v>64.8</v>
      </c>
      <c r="Z246">
        <v>677</v>
      </c>
      <c r="AA246">
        <v>78.099999999999994</v>
      </c>
      <c r="AB246">
        <v>288</v>
      </c>
      <c r="AC246">
        <v>34.5</v>
      </c>
      <c r="AD246">
        <v>1335</v>
      </c>
      <c r="AE246" t="s">
        <v>57</v>
      </c>
      <c r="AF246">
        <v>0</v>
      </c>
      <c r="AG246" t="s">
        <v>1084</v>
      </c>
      <c r="AH246">
        <v>638042</v>
      </c>
      <c r="AI246" t="s">
        <v>167</v>
      </c>
      <c r="AJ246">
        <v>742</v>
      </c>
      <c r="AK246">
        <v>6.3</v>
      </c>
      <c r="AL246" s="2">
        <v>0.04</v>
      </c>
      <c r="AM246" t="s">
        <v>699</v>
      </c>
      <c r="AN246" t="s">
        <v>1083</v>
      </c>
      <c r="AO246" t="s">
        <v>1085</v>
      </c>
      <c r="AP246" t="b">
        <v>0</v>
      </c>
      <c r="AQ246" t="b">
        <v>0</v>
      </c>
      <c r="AR246" t="b">
        <v>0</v>
      </c>
    </row>
    <row r="247" spans="1:45" x14ac:dyDescent="0.3">
      <c r="A247">
        <v>326</v>
      </c>
      <c r="B247">
        <v>404</v>
      </c>
      <c r="C247" t="s">
        <v>1086</v>
      </c>
      <c r="D247" t="s">
        <v>962</v>
      </c>
      <c r="E247" t="s">
        <v>963</v>
      </c>
      <c r="F247" t="s">
        <v>56</v>
      </c>
      <c r="G247">
        <v>27</v>
      </c>
      <c r="H247">
        <v>67.2</v>
      </c>
      <c r="I247">
        <v>9.6999999999999993</v>
      </c>
      <c r="J247">
        <v>17</v>
      </c>
      <c r="K247">
        <v>8.3000000000000007</v>
      </c>
      <c r="L247">
        <v>19.8</v>
      </c>
      <c r="M247">
        <v>76.099999999999994</v>
      </c>
      <c r="N247">
        <v>69.099999999999994</v>
      </c>
      <c r="O247">
        <v>70.3</v>
      </c>
      <c r="P247">
        <v>34</v>
      </c>
      <c r="Q247" t="s">
        <v>572</v>
      </c>
      <c r="R247" t="s">
        <v>1086</v>
      </c>
      <c r="S247" t="s">
        <v>574</v>
      </c>
      <c r="T247">
        <v>5440</v>
      </c>
      <c r="U247">
        <v>35.799999999999997</v>
      </c>
      <c r="V247">
        <v>436</v>
      </c>
      <c r="W247">
        <v>36.6</v>
      </c>
      <c r="X247">
        <v>312</v>
      </c>
      <c r="Y247">
        <v>51.8</v>
      </c>
      <c r="Z247">
        <v>970</v>
      </c>
      <c r="AA247">
        <v>87.3</v>
      </c>
      <c r="AB247">
        <v>183</v>
      </c>
      <c r="AC247">
        <v>45.8</v>
      </c>
      <c r="AD247">
        <v>937</v>
      </c>
      <c r="AE247" t="s">
        <v>57</v>
      </c>
      <c r="AF247">
        <v>0</v>
      </c>
      <c r="AG247" t="s">
        <v>1087</v>
      </c>
      <c r="AH247">
        <v>750</v>
      </c>
      <c r="AI247" t="s">
        <v>963</v>
      </c>
      <c r="AJ247" s="1">
        <v>19055</v>
      </c>
      <c r="AK247">
        <v>25.8</v>
      </c>
      <c r="AL247" s="2">
        <v>0.14000000000000001</v>
      </c>
      <c r="AM247" s="3">
        <v>1.7902777777777779</v>
      </c>
      <c r="AN247" t="s">
        <v>1086</v>
      </c>
      <c r="AO247" t="s">
        <v>1088</v>
      </c>
      <c r="AP247" t="b">
        <v>0</v>
      </c>
      <c r="AQ247" t="b">
        <v>0</v>
      </c>
      <c r="AR247" t="b">
        <v>0</v>
      </c>
    </row>
    <row r="248" spans="1:45" x14ac:dyDescent="0.3">
      <c r="A248">
        <v>328</v>
      </c>
      <c r="B248">
        <v>332</v>
      </c>
      <c r="C248" t="s">
        <v>1089</v>
      </c>
      <c r="D248" t="s">
        <v>166</v>
      </c>
      <c r="E248" t="s">
        <v>167</v>
      </c>
      <c r="F248" t="s">
        <v>56</v>
      </c>
      <c r="G248">
        <v>23.2</v>
      </c>
      <c r="H248">
        <v>37.1</v>
      </c>
      <c r="I248">
        <v>82.1</v>
      </c>
      <c r="J248">
        <v>15.1</v>
      </c>
      <c r="K248">
        <v>14.3</v>
      </c>
      <c r="L248">
        <v>53.4</v>
      </c>
      <c r="M248">
        <v>54.5</v>
      </c>
      <c r="N248">
        <v>13.8</v>
      </c>
      <c r="O248">
        <v>80.5</v>
      </c>
      <c r="P248">
        <v>33.799999999999997</v>
      </c>
      <c r="Q248" t="s">
        <v>486</v>
      </c>
      <c r="R248" t="s">
        <v>1089</v>
      </c>
      <c r="S248" t="s">
        <v>487</v>
      </c>
      <c r="T248">
        <v>2690</v>
      </c>
      <c r="U248">
        <v>40.299999999999997</v>
      </c>
      <c r="V248">
        <v>300</v>
      </c>
      <c r="W248">
        <v>40</v>
      </c>
      <c r="X248">
        <v>249</v>
      </c>
      <c r="Y248">
        <v>71</v>
      </c>
      <c r="Z248">
        <v>538</v>
      </c>
      <c r="AA248">
        <v>95.9</v>
      </c>
      <c r="AB248">
        <v>108</v>
      </c>
      <c r="AC248">
        <v>71.5</v>
      </c>
      <c r="AD248">
        <v>383</v>
      </c>
      <c r="AE248" t="s">
        <v>57</v>
      </c>
      <c r="AF248">
        <v>6</v>
      </c>
      <c r="AG248" t="s">
        <v>1090</v>
      </c>
      <c r="AH248">
        <v>834</v>
      </c>
      <c r="AI248" t="s">
        <v>167</v>
      </c>
      <c r="AJ248" s="1">
        <v>20427</v>
      </c>
      <c r="AK248">
        <v>17.600000000000001</v>
      </c>
      <c r="AL248" s="2">
        <v>0.3</v>
      </c>
      <c r="AM248" s="3">
        <v>2.3638888888888889</v>
      </c>
      <c r="AN248" t="s">
        <v>1091</v>
      </c>
      <c r="AO248" t="s">
        <v>1092</v>
      </c>
      <c r="AP248" t="b">
        <v>0</v>
      </c>
      <c r="AQ248" t="b">
        <v>0</v>
      </c>
      <c r="AR248" t="b">
        <v>0</v>
      </c>
    </row>
    <row r="249" spans="1:45" x14ac:dyDescent="0.3">
      <c r="A249">
        <v>328</v>
      </c>
      <c r="B249">
        <v>299</v>
      </c>
      <c r="C249" t="s">
        <v>1093</v>
      </c>
      <c r="D249" t="s">
        <v>45</v>
      </c>
      <c r="E249" t="s">
        <v>46</v>
      </c>
      <c r="F249" t="s">
        <v>77</v>
      </c>
      <c r="G249">
        <v>36.200000000000003</v>
      </c>
      <c r="H249">
        <v>28.1</v>
      </c>
      <c r="I249">
        <v>46.3</v>
      </c>
      <c r="J249">
        <v>12.8</v>
      </c>
      <c r="K249">
        <v>18</v>
      </c>
      <c r="L249">
        <v>28.2</v>
      </c>
      <c r="M249">
        <v>78</v>
      </c>
      <c r="N249">
        <v>25.7</v>
      </c>
      <c r="O249">
        <v>95.4</v>
      </c>
      <c r="P249">
        <v>33.799999999999997</v>
      </c>
      <c r="Q249" t="s">
        <v>292</v>
      </c>
      <c r="R249" t="s">
        <v>1094</v>
      </c>
      <c r="S249" t="s">
        <v>293</v>
      </c>
      <c r="T249">
        <v>2360</v>
      </c>
      <c r="U249">
        <v>46.4</v>
      </c>
      <c r="V249">
        <v>184</v>
      </c>
      <c r="W249">
        <v>37.200000000000003</v>
      </c>
      <c r="X249">
        <v>302</v>
      </c>
      <c r="Y249">
        <v>78.400000000000006</v>
      </c>
      <c r="Z249">
        <v>355</v>
      </c>
      <c r="AA249">
        <v>80.099999999999994</v>
      </c>
      <c r="AB249">
        <v>262</v>
      </c>
      <c r="AC249">
        <v>63.7</v>
      </c>
      <c r="AD249">
        <v>508</v>
      </c>
      <c r="AE249" t="s">
        <v>208</v>
      </c>
      <c r="AF249">
        <v>0</v>
      </c>
      <c r="AG249" t="s">
        <v>1095</v>
      </c>
      <c r="AH249">
        <v>546</v>
      </c>
      <c r="AI249" t="s">
        <v>46</v>
      </c>
      <c r="AJ249" s="1">
        <v>46256</v>
      </c>
      <c r="AK249">
        <v>11.2</v>
      </c>
      <c r="AL249" s="2">
        <v>0.17</v>
      </c>
      <c r="AM249" s="3">
        <v>2.2409722222222221</v>
      </c>
      <c r="AN249" t="s">
        <v>1094</v>
      </c>
      <c r="AO249" t="s">
        <v>1096</v>
      </c>
      <c r="AP249" t="b">
        <v>0</v>
      </c>
      <c r="AQ249" t="b">
        <v>0</v>
      </c>
      <c r="AR249" t="b">
        <v>0</v>
      </c>
      <c r="AS249" t="s">
        <v>1097</v>
      </c>
    </row>
    <row r="250" spans="1:45" x14ac:dyDescent="0.3">
      <c r="A250">
        <v>328</v>
      </c>
      <c r="B250">
        <v>407</v>
      </c>
      <c r="C250" t="s">
        <v>1098</v>
      </c>
      <c r="D250" t="s">
        <v>758</v>
      </c>
      <c r="E250" t="s">
        <v>759</v>
      </c>
      <c r="F250" t="s">
        <v>56</v>
      </c>
      <c r="G250">
        <v>38.1</v>
      </c>
      <c r="H250">
        <v>35.299999999999997</v>
      </c>
      <c r="I250">
        <v>4.3</v>
      </c>
      <c r="J250">
        <v>25.9</v>
      </c>
      <c r="K250">
        <v>1.3</v>
      </c>
      <c r="L250">
        <v>1.5</v>
      </c>
      <c r="M250">
        <v>75.099999999999994</v>
      </c>
      <c r="N250">
        <v>96</v>
      </c>
      <c r="O250">
        <v>70.599999999999994</v>
      </c>
      <c r="P250">
        <v>33.799999999999997</v>
      </c>
      <c r="Q250" t="s">
        <v>679</v>
      </c>
      <c r="R250" t="s">
        <v>1098</v>
      </c>
      <c r="S250" t="s">
        <v>680</v>
      </c>
      <c r="T250">
        <v>8520</v>
      </c>
      <c r="U250">
        <v>40.4</v>
      </c>
      <c r="V250">
        <v>295</v>
      </c>
      <c r="W250">
        <v>24.2</v>
      </c>
      <c r="X250">
        <v>642</v>
      </c>
      <c r="Y250">
        <v>39</v>
      </c>
      <c r="Z250">
        <v>1240</v>
      </c>
      <c r="AA250">
        <v>40.5</v>
      </c>
      <c r="AB250">
        <v>969</v>
      </c>
      <c r="AC250">
        <v>23.3</v>
      </c>
      <c r="AD250">
        <v>1766</v>
      </c>
      <c r="AE250" t="s">
        <v>57</v>
      </c>
      <c r="AF250">
        <v>0</v>
      </c>
      <c r="AG250" t="s">
        <v>1099</v>
      </c>
      <c r="AH250">
        <v>131479</v>
      </c>
      <c r="AI250" t="s">
        <v>759</v>
      </c>
      <c r="AJ250" s="1">
        <v>29532</v>
      </c>
      <c r="AK250">
        <v>23.8</v>
      </c>
      <c r="AL250" s="2">
        <v>0.01</v>
      </c>
      <c r="AM250" s="3">
        <v>2.036111111111111</v>
      </c>
      <c r="AN250" t="s">
        <v>1098</v>
      </c>
      <c r="AO250" t="s">
        <v>1100</v>
      </c>
      <c r="AP250" t="b">
        <v>0</v>
      </c>
      <c r="AQ250" t="b">
        <v>0</v>
      </c>
      <c r="AR250" t="b">
        <v>0</v>
      </c>
    </row>
    <row r="251" spans="1:45" x14ac:dyDescent="0.3">
      <c r="A251">
        <v>332</v>
      </c>
      <c r="B251">
        <v>364</v>
      </c>
      <c r="C251" t="s">
        <v>1101</v>
      </c>
      <c r="D251" t="s">
        <v>731</v>
      </c>
      <c r="E251" t="s">
        <v>732</v>
      </c>
      <c r="F251" t="s">
        <v>47</v>
      </c>
      <c r="G251">
        <v>20.9</v>
      </c>
      <c r="H251">
        <v>38.6</v>
      </c>
      <c r="I251">
        <v>19.100000000000001</v>
      </c>
      <c r="J251">
        <v>23.9</v>
      </c>
      <c r="K251">
        <v>100</v>
      </c>
      <c r="L251">
        <v>100</v>
      </c>
      <c r="M251">
        <v>48.1</v>
      </c>
      <c r="N251">
        <v>48</v>
      </c>
      <c r="O251">
        <v>16.5</v>
      </c>
      <c r="P251">
        <v>33.6</v>
      </c>
      <c r="Q251" t="s">
        <v>696</v>
      </c>
      <c r="R251" t="s">
        <v>1101</v>
      </c>
      <c r="S251" t="s">
        <v>697</v>
      </c>
      <c r="T251">
        <v>6130</v>
      </c>
      <c r="U251">
        <v>24.5</v>
      </c>
      <c r="V251">
        <v>1040</v>
      </c>
      <c r="W251">
        <v>26.3</v>
      </c>
      <c r="X251">
        <v>560</v>
      </c>
      <c r="Y251">
        <v>57.9</v>
      </c>
      <c r="Z251">
        <v>824</v>
      </c>
      <c r="AA251">
        <v>27.9</v>
      </c>
      <c r="AB251">
        <v>1236</v>
      </c>
      <c r="AC251">
        <v>88.6</v>
      </c>
      <c r="AD251">
        <v>141</v>
      </c>
      <c r="AE251" t="s">
        <v>57</v>
      </c>
      <c r="AF251">
        <v>1</v>
      </c>
      <c r="AG251" t="s">
        <v>1102</v>
      </c>
      <c r="AH251">
        <v>995</v>
      </c>
      <c r="AI251" t="s">
        <v>732</v>
      </c>
      <c r="AJ251" s="1">
        <v>4737</v>
      </c>
      <c r="AK251">
        <v>12.5</v>
      </c>
      <c r="AL251" s="2">
        <v>0.74</v>
      </c>
      <c r="AM251" s="3">
        <v>2.2819444444444446</v>
      </c>
      <c r="AN251" t="s">
        <v>1101</v>
      </c>
      <c r="AO251" t="s">
        <v>1103</v>
      </c>
      <c r="AP251" t="b">
        <v>0</v>
      </c>
      <c r="AQ251" t="b">
        <v>0</v>
      </c>
      <c r="AR251" t="b">
        <v>0</v>
      </c>
    </row>
    <row r="252" spans="1:45" x14ac:dyDescent="0.3">
      <c r="A252">
        <v>334</v>
      </c>
      <c r="B252">
        <v>294</v>
      </c>
      <c r="C252" t="s">
        <v>1104</v>
      </c>
      <c r="D252" t="s">
        <v>217</v>
      </c>
      <c r="E252" t="s">
        <v>218</v>
      </c>
      <c r="F252" t="s">
        <v>77</v>
      </c>
      <c r="G252">
        <v>44.7</v>
      </c>
      <c r="H252">
        <v>14.3</v>
      </c>
      <c r="I252">
        <v>7.9</v>
      </c>
      <c r="J252">
        <v>41.7</v>
      </c>
      <c r="K252">
        <v>20.2</v>
      </c>
      <c r="L252">
        <v>35.1</v>
      </c>
      <c r="M252">
        <v>94.9</v>
      </c>
      <c r="N252">
        <v>20.7</v>
      </c>
      <c r="O252">
        <v>21.5</v>
      </c>
      <c r="P252">
        <v>33.5</v>
      </c>
      <c r="Q252" t="s">
        <v>614</v>
      </c>
      <c r="R252" t="s">
        <v>1104</v>
      </c>
      <c r="S252" t="s">
        <v>615</v>
      </c>
      <c r="T252">
        <v>3160</v>
      </c>
      <c r="U252">
        <v>42.2</v>
      </c>
      <c r="V252">
        <v>259</v>
      </c>
      <c r="W252">
        <v>37.9</v>
      </c>
      <c r="X252">
        <v>293</v>
      </c>
      <c r="Y252">
        <v>66.900000000000006</v>
      </c>
      <c r="Z252">
        <v>624</v>
      </c>
      <c r="AA252">
        <v>69.099999999999994</v>
      </c>
      <c r="AB252">
        <v>452</v>
      </c>
      <c r="AC252">
        <v>71.599999999999994</v>
      </c>
      <c r="AD252">
        <v>380</v>
      </c>
      <c r="AE252" t="s">
        <v>57</v>
      </c>
      <c r="AF252">
        <v>0</v>
      </c>
      <c r="AG252" t="s">
        <v>1105</v>
      </c>
      <c r="AH252">
        <v>715321</v>
      </c>
      <c r="AI252" t="s">
        <v>218</v>
      </c>
      <c r="AJ252" s="1">
        <v>51244</v>
      </c>
      <c r="AK252">
        <v>18.399999999999999</v>
      </c>
      <c r="AL252" s="2">
        <v>0.17</v>
      </c>
      <c r="AM252" s="3">
        <v>2.2409722222222221</v>
      </c>
      <c r="AN252" t="s">
        <v>1104</v>
      </c>
      <c r="AO252" t="s">
        <v>1106</v>
      </c>
      <c r="AP252" t="b">
        <v>0</v>
      </c>
      <c r="AQ252" t="b">
        <v>0</v>
      </c>
      <c r="AR252" t="b">
        <v>0</v>
      </c>
    </row>
    <row r="253" spans="1:45" x14ac:dyDescent="0.3">
      <c r="A253">
        <v>336</v>
      </c>
      <c r="B253">
        <v>380</v>
      </c>
      <c r="C253" t="s">
        <v>1107</v>
      </c>
      <c r="D253" t="s">
        <v>87</v>
      </c>
      <c r="E253" t="s">
        <v>88</v>
      </c>
      <c r="F253" t="s">
        <v>56</v>
      </c>
      <c r="G253">
        <v>13.5</v>
      </c>
      <c r="H253">
        <v>5.6</v>
      </c>
      <c r="I253">
        <v>7.2</v>
      </c>
      <c r="J253">
        <v>51.8</v>
      </c>
      <c r="K253">
        <v>97.2</v>
      </c>
      <c r="L253">
        <v>88.8</v>
      </c>
      <c r="M253">
        <v>80.8</v>
      </c>
      <c r="N253">
        <v>7.4</v>
      </c>
      <c r="O253">
        <v>87.4</v>
      </c>
      <c r="P253">
        <v>33.299999999999997</v>
      </c>
      <c r="Q253" t="s">
        <v>614</v>
      </c>
      <c r="R253" t="s">
        <v>1107</v>
      </c>
      <c r="S253" t="s">
        <v>615</v>
      </c>
      <c r="T253">
        <v>3140</v>
      </c>
      <c r="U253">
        <v>29.2</v>
      </c>
      <c r="V253">
        <v>733</v>
      </c>
      <c r="W253">
        <v>35.4</v>
      </c>
      <c r="X253">
        <v>337</v>
      </c>
      <c r="Y253">
        <v>78.400000000000006</v>
      </c>
      <c r="Z253">
        <v>353</v>
      </c>
      <c r="AA253">
        <v>71</v>
      </c>
      <c r="AB253">
        <v>406</v>
      </c>
      <c r="AC253">
        <v>88.9</v>
      </c>
      <c r="AD253">
        <v>138</v>
      </c>
      <c r="AE253" t="s">
        <v>57</v>
      </c>
      <c r="AF253">
        <v>0</v>
      </c>
      <c r="AG253" t="s">
        <v>1108</v>
      </c>
      <c r="AH253">
        <v>823</v>
      </c>
      <c r="AI253" t="s">
        <v>88</v>
      </c>
      <c r="AJ253" s="1">
        <v>17422</v>
      </c>
      <c r="AK253">
        <v>29.4</v>
      </c>
      <c r="AL253" s="2">
        <v>0.33</v>
      </c>
      <c r="AM253" s="3">
        <v>2.7736111111111112</v>
      </c>
      <c r="AN253" t="s">
        <v>1107</v>
      </c>
      <c r="AO253" t="s">
        <v>1109</v>
      </c>
      <c r="AP253" t="b">
        <v>0</v>
      </c>
      <c r="AQ253" t="b">
        <v>0</v>
      </c>
      <c r="AR253" t="b">
        <v>0</v>
      </c>
    </row>
    <row r="254" spans="1:45" x14ac:dyDescent="0.3">
      <c r="A254">
        <v>336</v>
      </c>
      <c r="B254">
        <v>351</v>
      </c>
      <c r="C254" t="s">
        <v>1110</v>
      </c>
      <c r="D254" t="s">
        <v>452</v>
      </c>
      <c r="E254" t="s">
        <v>453</v>
      </c>
      <c r="F254" t="s">
        <v>47</v>
      </c>
      <c r="G254">
        <v>6.4</v>
      </c>
      <c r="H254">
        <v>9.4</v>
      </c>
      <c r="I254">
        <v>9.5</v>
      </c>
      <c r="J254">
        <v>97.6</v>
      </c>
      <c r="K254">
        <v>56.8</v>
      </c>
      <c r="L254">
        <v>28.5</v>
      </c>
      <c r="M254">
        <v>55.6</v>
      </c>
      <c r="N254">
        <v>7.9</v>
      </c>
      <c r="O254">
        <v>55.8</v>
      </c>
      <c r="P254">
        <v>33.299999999999997</v>
      </c>
      <c r="Q254" t="s">
        <v>486</v>
      </c>
      <c r="R254" t="s">
        <v>1110</v>
      </c>
      <c r="S254" t="s">
        <v>487</v>
      </c>
      <c r="T254">
        <v>2700</v>
      </c>
      <c r="U254">
        <v>33.4</v>
      </c>
      <c r="V254">
        <v>526</v>
      </c>
      <c r="W254">
        <v>36.700000000000003</v>
      </c>
      <c r="X254">
        <v>308</v>
      </c>
      <c r="Y254">
        <v>91.7</v>
      </c>
      <c r="Z254">
        <v>97</v>
      </c>
      <c r="AA254">
        <v>65.099999999999994</v>
      </c>
      <c r="AB254">
        <v>545</v>
      </c>
      <c r="AC254">
        <v>64.2</v>
      </c>
      <c r="AD254">
        <v>499</v>
      </c>
      <c r="AE254" t="s">
        <v>57</v>
      </c>
      <c r="AF254">
        <v>11</v>
      </c>
      <c r="AG254" t="s">
        <v>1111</v>
      </c>
      <c r="AH254">
        <v>1026</v>
      </c>
      <c r="AI254" t="s">
        <v>453</v>
      </c>
      <c r="AJ254" s="1">
        <v>5028</v>
      </c>
      <c r="AK254">
        <v>31.6</v>
      </c>
      <c r="AL254" s="2">
        <v>0.14000000000000001</v>
      </c>
      <c r="AM254" t="s">
        <v>318</v>
      </c>
      <c r="AN254" t="s">
        <v>1110</v>
      </c>
      <c r="AO254" t="s">
        <v>1112</v>
      </c>
      <c r="AP254" t="b">
        <v>0</v>
      </c>
      <c r="AQ254" t="b">
        <v>0</v>
      </c>
      <c r="AR254" t="b">
        <v>0</v>
      </c>
    </row>
    <row r="255" spans="1:45" x14ac:dyDescent="0.3">
      <c r="A255">
        <v>295</v>
      </c>
      <c r="B255">
        <v>291</v>
      </c>
      <c r="C255" t="s">
        <v>1113</v>
      </c>
      <c r="D255" t="s">
        <v>95</v>
      </c>
      <c r="E255" t="s">
        <v>96</v>
      </c>
      <c r="F255" t="s">
        <v>77</v>
      </c>
      <c r="G255">
        <v>19</v>
      </c>
      <c r="H255">
        <v>39.4</v>
      </c>
      <c r="I255">
        <v>14</v>
      </c>
      <c r="J255">
        <v>89.5</v>
      </c>
      <c r="K255">
        <v>3.9</v>
      </c>
      <c r="L255">
        <v>3.8</v>
      </c>
      <c r="M255">
        <v>80.5</v>
      </c>
      <c r="N255">
        <v>26.4</v>
      </c>
      <c r="O255">
        <v>18.2</v>
      </c>
      <c r="P255">
        <v>36.9</v>
      </c>
      <c r="Q255" t="s">
        <v>486</v>
      </c>
      <c r="R255" t="s">
        <v>1113</v>
      </c>
      <c r="S255" t="s">
        <v>487</v>
      </c>
      <c r="T255">
        <v>3020</v>
      </c>
      <c r="U255">
        <v>46.9</v>
      </c>
      <c r="V255">
        <v>176</v>
      </c>
      <c r="W255">
        <v>48</v>
      </c>
      <c r="X255">
        <v>159</v>
      </c>
      <c r="Y255">
        <v>70</v>
      </c>
      <c r="Z255">
        <v>558</v>
      </c>
      <c r="AA255">
        <v>98.3</v>
      </c>
      <c r="AB255">
        <v>86</v>
      </c>
      <c r="AC255">
        <v>37.799999999999997</v>
      </c>
      <c r="AD255">
        <v>1207</v>
      </c>
      <c r="AE255" t="s">
        <v>57</v>
      </c>
      <c r="AF255">
        <v>0</v>
      </c>
      <c r="AG255" t="s">
        <v>1114</v>
      </c>
      <c r="AH255">
        <v>948</v>
      </c>
      <c r="AI255" t="s">
        <v>98</v>
      </c>
      <c r="AJ255" s="1">
        <v>45764</v>
      </c>
      <c r="AK255">
        <v>14.7</v>
      </c>
      <c r="AL255" s="2">
        <v>7.0000000000000007E-2</v>
      </c>
      <c r="AM255" t="s">
        <v>445</v>
      </c>
      <c r="AN255" t="s">
        <v>1113</v>
      </c>
      <c r="AO255" t="s">
        <v>1115</v>
      </c>
      <c r="AP255" t="b">
        <v>0</v>
      </c>
      <c r="AQ255" t="b">
        <v>0</v>
      </c>
      <c r="AR255" t="b">
        <v>0</v>
      </c>
    </row>
    <row r="256" spans="1:45" x14ac:dyDescent="0.3">
      <c r="A256">
        <v>336</v>
      </c>
      <c r="B256">
        <v>404</v>
      </c>
      <c r="C256" t="s">
        <v>1116</v>
      </c>
      <c r="D256" t="s">
        <v>1117</v>
      </c>
      <c r="E256" t="s">
        <v>1118</v>
      </c>
      <c r="F256" t="s">
        <v>77</v>
      </c>
      <c r="G256">
        <v>36.299999999999997</v>
      </c>
      <c r="H256">
        <v>65.3</v>
      </c>
      <c r="I256">
        <v>31.1</v>
      </c>
      <c r="J256">
        <v>1.9</v>
      </c>
      <c r="K256">
        <v>1.6</v>
      </c>
      <c r="L256">
        <v>1.1000000000000001</v>
      </c>
      <c r="M256">
        <v>60.9</v>
      </c>
      <c r="N256">
        <v>65.599999999999994</v>
      </c>
      <c r="O256">
        <v>67.7</v>
      </c>
      <c r="P256">
        <v>33.299999999999997</v>
      </c>
      <c r="Q256" t="s">
        <v>621</v>
      </c>
      <c r="R256" t="s">
        <v>1116</v>
      </c>
      <c r="S256" t="s">
        <v>622</v>
      </c>
      <c r="T256">
        <v>13890</v>
      </c>
      <c r="U256">
        <v>25.4</v>
      </c>
      <c r="V256">
        <v>977</v>
      </c>
      <c r="W256">
        <v>15.3</v>
      </c>
      <c r="X256">
        <v>1098</v>
      </c>
      <c r="Y256">
        <v>38.700000000000003</v>
      </c>
      <c r="Z256">
        <v>1246</v>
      </c>
      <c r="AA256">
        <v>22.8</v>
      </c>
      <c r="AB256">
        <v>1409</v>
      </c>
      <c r="AC256">
        <v>38.4</v>
      </c>
      <c r="AD256">
        <v>1174</v>
      </c>
      <c r="AE256" t="s">
        <v>57</v>
      </c>
      <c r="AF256">
        <v>0</v>
      </c>
      <c r="AG256" t="s">
        <v>1119</v>
      </c>
      <c r="AH256">
        <v>131459</v>
      </c>
      <c r="AI256" t="s">
        <v>1118</v>
      </c>
      <c r="AJ256" s="1">
        <v>53676</v>
      </c>
      <c r="AK256">
        <v>11.1</v>
      </c>
      <c r="AL256" s="2">
        <v>0</v>
      </c>
      <c r="AM256" s="3">
        <v>2.4868055555555557</v>
      </c>
      <c r="AN256" t="s">
        <v>1116</v>
      </c>
      <c r="AO256" t="s">
        <v>1120</v>
      </c>
      <c r="AP256" t="b">
        <v>0</v>
      </c>
      <c r="AQ256" t="b">
        <v>0</v>
      </c>
      <c r="AR256" t="b">
        <v>0</v>
      </c>
    </row>
    <row r="257" spans="1:45" x14ac:dyDescent="0.3">
      <c r="A257">
        <v>340</v>
      </c>
      <c r="B257">
        <v>345</v>
      </c>
      <c r="C257" t="s">
        <v>1121</v>
      </c>
      <c r="D257" t="s">
        <v>139</v>
      </c>
      <c r="E257" t="s">
        <v>140</v>
      </c>
      <c r="F257" t="s">
        <v>56</v>
      </c>
      <c r="G257">
        <v>11.1</v>
      </c>
      <c r="H257">
        <v>5.3</v>
      </c>
      <c r="I257">
        <v>18.2</v>
      </c>
      <c r="J257">
        <v>57</v>
      </c>
      <c r="K257">
        <v>77.3</v>
      </c>
      <c r="L257">
        <v>49.5</v>
      </c>
      <c r="M257">
        <v>82.3</v>
      </c>
      <c r="N257">
        <v>32.1</v>
      </c>
      <c r="O257">
        <v>90.7</v>
      </c>
      <c r="P257">
        <v>33.200000000000003</v>
      </c>
      <c r="Q257" t="s">
        <v>659</v>
      </c>
      <c r="R257" t="s">
        <v>1121</v>
      </c>
      <c r="S257" t="s">
        <v>660</v>
      </c>
      <c r="T257">
        <v>3890</v>
      </c>
      <c r="U257">
        <v>39</v>
      </c>
      <c r="V257">
        <v>339</v>
      </c>
      <c r="W257">
        <v>35.1</v>
      </c>
      <c r="X257">
        <v>348</v>
      </c>
      <c r="Y257">
        <v>62.9</v>
      </c>
      <c r="Z257">
        <v>710</v>
      </c>
      <c r="AA257">
        <v>95.8</v>
      </c>
      <c r="AB257">
        <v>110</v>
      </c>
      <c r="AC257">
        <v>78.900000000000006</v>
      </c>
      <c r="AD257">
        <v>265</v>
      </c>
      <c r="AE257" t="s">
        <v>57</v>
      </c>
      <c r="AF257">
        <v>0</v>
      </c>
      <c r="AG257" t="s">
        <v>1122</v>
      </c>
      <c r="AH257">
        <v>131576</v>
      </c>
      <c r="AI257" t="s">
        <v>140</v>
      </c>
      <c r="AJ257" s="1">
        <v>17924</v>
      </c>
      <c r="AK257">
        <v>18.100000000000001</v>
      </c>
      <c r="AL257" s="2">
        <v>0.21</v>
      </c>
      <c r="AM257" s="3">
        <v>2.3638888888888889</v>
      </c>
      <c r="AN257" t="s">
        <v>1121</v>
      </c>
      <c r="AO257" t="s">
        <v>1123</v>
      </c>
      <c r="AP257" t="b">
        <v>0</v>
      </c>
      <c r="AQ257" t="b">
        <v>0</v>
      </c>
      <c r="AR257" t="b">
        <v>0</v>
      </c>
      <c r="AS257" t="s">
        <v>1124</v>
      </c>
    </row>
    <row r="258" spans="1:45" x14ac:dyDescent="0.3">
      <c r="A258">
        <v>340</v>
      </c>
      <c r="B258">
        <v>326</v>
      </c>
      <c r="C258" t="s">
        <v>1125</v>
      </c>
      <c r="D258" t="s">
        <v>87</v>
      </c>
      <c r="E258" t="s">
        <v>88</v>
      </c>
      <c r="F258" t="s">
        <v>56</v>
      </c>
      <c r="G258">
        <v>21.3</v>
      </c>
      <c r="H258">
        <v>12.7</v>
      </c>
      <c r="I258">
        <v>24.9</v>
      </c>
      <c r="J258">
        <v>31.9</v>
      </c>
      <c r="K258">
        <v>99.8</v>
      </c>
      <c r="L258">
        <v>50.9</v>
      </c>
      <c r="M258">
        <v>85.5</v>
      </c>
      <c r="N258">
        <v>15.5</v>
      </c>
      <c r="O258">
        <v>83.6</v>
      </c>
      <c r="P258">
        <v>33.200000000000003</v>
      </c>
      <c r="Q258" t="s">
        <v>614</v>
      </c>
      <c r="R258" t="s">
        <v>1125</v>
      </c>
      <c r="S258" t="s">
        <v>615</v>
      </c>
      <c r="T258">
        <v>3350</v>
      </c>
      <c r="U258">
        <v>25</v>
      </c>
      <c r="V258">
        <v>1007</v>
      </c>
      <c r="W258">
        <v>36.799999999999997</v>
      </c>
      <c r="X258">
        <v>307</v>
      </c>
      <c r="Y258">
        <v>82.5</v>
      </c>
      <c r="Z258">
        <v>273</v>
      </c>
      <c r="AA258">
        <v>98.3</v>
      </c>
      <c r="AB258">
        <v>85</v>
      </c>
      <c r="AC258">
        <v>83.5</v>
      </c>
      <c r="AD258">
        <v>203</v>
      </c>
      <c r="AE258" t="s">
        <v>57</v>
      </c>
      <c r="AF258">
        <v>11</v>
      </c>
      <c r="AG258" t="s">
        <v>1126</v>
      </c>
      <c r="AH258">
        <v>855</v>
      </c>
      <c r="AI258" t="s">
        <v>88</v>
      </c>
      <c r="AJ258" s="1">
        <v>22822</v>
      </c>
      <c r="AK258">
        <v>30.2</v>
      </c>
      <c r="AL258" s="2">
        <v>0.17</v>
      </c>
      <c r="AM258" s="3">
        <v>2.5277777777777777</v>
      </c>
      <c r="AN258" t="s">
        <v>1125</v>
      </c>
      <c r="AO258" t="s">
        <v>1127</v>
      </c>
      <c r="AP258" t="b">
        <v>0</v>
      </c>
      <c r="AQ258" t="b">
        <v>0</v>
      </c>
      <c r="AR258" t="b">
        <v>0</v>
      </c>
      <c r="AS258" t="s">
        <v>1128</v>
      </c>
    </row>
    <row r="259" spans="1:45" x14ac:dyDescent="0.3">
      <c r="A259">
        <v>342</v>
      </c>
      <c r="B259">
        <v>343</v>
      </c>
      <c r="C259" t="s">
        <v>1129</v>
      </c>
      <c r="D259" t="s">
        <v>54</v>
      </c>
      <c r="E259" t="s">
        <v>55</v>
      </c>
      <c r="F259" t="s">
        <v>56</v>
      </c>
      <c r="G259">
        <v>11.1</v>
      </c>
      <c r="H259">
        <v>13.3</v>
      </c>
      <c r="I259">
        <v>7.1</v>
      </c>
      <c r="J259">
        <v>46.5</v>
      </c>
      <c r="K259">
        <v>99.1</v>
      </c>
      <c r="L259">
        <v>99.8</v>
      </c>
      <c r="M259">
        <v>77.900000000000006</v>
      </c>
      <c r="N259">
        <v>19.899999999999999</v>
      </c>
      <c r="O259">
        <v>71.2</v>
      </c>
      <c r="P259">
        <v>33</v>
      </c>
      <c r="Q259" t="s">
        <v>659</v>
      </c>
      <c r="R259" t="s">
        <v>1129</v>
      </c>
      <c r="S259" t="s">
        <v>660</v>
      </c>
      <c r="T259">
        <v>3560</v>
      </c>
      <c r="U259">
        <v>25.2</v>
      </c>
      <c r="V259">
        <v>986</v>
      </c>
      <c r="W259">
        <v>26.5</v>
      </c>
      <c r="X259">
        <v>555</v>
      </c>
      <c r="Y259">
        <v>80.7</v>
      </c>
      <c r="Z259">
        <v>307</v>
      </c>
      <c r="AA259">
        <v>60.1</v>
      </c>
      <c r="AB259">
        <v>642</v>
      </c>
      <c r="AC259">
        <v>98.4</v>
      </c>
      <c r="AD259">
        <v>4</v>
      </c>
      <c r="AE259" t="s">
        <v>57</v>
      </c>
      <c r="AF259">
        <v>0</v>
      </c>
      <c r="AG259" t="s">
        <v>1130</v>
      </c>
      <c r="AH259">
        <v>719</v>
      </c>
      <c r="AI259" t="s">
        <v>55</v>
      </c>
      <c r="AJ259" s="1">
        <v>14130</v>
      </c>
      <c r="AK259">
        <v>17.899999999999999</v>
      </c>
      <c r="AL259" s="2">
        <v>0.4</v>
      </c>
      <c r="AM259" s="3">
        <v>1.9951388888888888</v>
      </c>
      <c r="AN259" t="s">
        <v>1129</v>
      </c>
      <c r="AO259" t="s">
        <v>1131</v>
      </c>
      <c r="AP259" t="b">
        <v>0</v>
      </c>
      <c r="AQ259" t="b">
        <v>0</v>
      </c>
      <c r="AR259" t="b">
        <v>0</v>
      </c>
      <c r="AS259" t="s">
        <v>1132</v>
      </c>
    </row>
    <row r="260" spans="1:45" x14ac:dyDescent="0.3">
      <c r="A260">
        <v>342</v>
      </c>
      <c r="B260">
        <v>334</v>
      </c>
      <c r="C260" t="s">
        <v>1133</v>
      </c>
      <c r="D260" t="s">
        <v>1134</v>
      </c>
      <c r="E260" t="s">
        <v>1135</v>
      </c>
      <c r="F260" t="s">
        <v>47</v>
      </c>
      <c r="G260">
        <v>11.5</v>
      </c>
      <c r="H260">
        <v>33.6</v>
      </c>
      <c r="I260">
        <v>5.0999999999999996</v>
      </c>
      <c r="J260">
        <v>99.9</v>
      </c>
      <c r="K260">
        <v>2.9</v>
      </c>
      <c r="L260">
        <v>1.2</v>
      </c>
      <c r="M260">
        <v>61.4</v>
      </c>
      <c r="N260">
        <v>28.2</v>
      </c>
      <c r="O260">
        <v>1.3</v>
      </c>
      <c r="P260">
        <v>33</v>
      </c>
      <c r="Q260" t="s">
        <v>614</v>
      </c>
      <c r="R260" t="s">
        <v>1133</v>
      </c>
      <c r="S260" t="s">
        <v>615</v>
      </c>
      <c r="T260">
        <v>3340</v>
      </c>
      <c r="U260">
        <v>39.1</v>
      </c>
      <c r="V260">
        <v>337</v>
      </c>
      <c r="W260">
        <v>37.4</v>
      </c>
      <c r="X260">
        <v>301</v>
      </c>
      <c r="Y260">
        <v>78.3</v>
      </c>
      <c r="Z260">
        <v>359</v>
      </c>
      <c r="AA260">
        <v>86.2</v>
      </c>
      <c r="AB260">
        <v>193</v>
      </c>
      <c r="AC260">
        <v>37</v>
      </c>
      <c r="AD260">
        <v>1241</v>
      </c>
      <c r="AE260" t="s">
        <v>57</v>
      </c>
      <c r="AF260">
        <v>0</v>
      </c>
      <c r="AG260" t="s">
        <v>1136</v>
      </c>
      <c r="AH260">
        <v>802</v>
      </c>
      <c r="AI260" t="s">
        <v>1137</v>
      </c>
      <c r="AJ260" s="1">
        <v>9389</v>
      </c>
      <c r="AK260">
        <v>21.8</v>
      </c>
      <c r="AL260" s="2">
        <v>0.02</v>
      </c>
      <c r="AM260" t="s">
        <v>738</v>
      </c>
      <c r="AN260" t="s">
        <v>1133</v>
      </c>
      <c r="AO260" t="s">
        <v>1138</v>
      </c>
      <c r="AP260" t="b">
        <v>0</v>
      </c>
      <c r="AQ260" t="b">
        <v>0</v>
      </c>
      <c r="AR260" t="b">
        <v>0</v>
      </c>
    </row>
    <row r="261" spans="1:45" x14ac:dyDescent="0.3">
      <c r="A261">
        <v>344</v>
      </c>
      <c r="B261">
        <v>364</v>
      </c>
      <c r="C261" t="s">
        <v>1139</v>
      </c>
      <c r="D261" t="s">
        <v>758</v>
      </c>
      <c r="E261" t="s">
        <v>759</v>
      </c>
      <c r="F261" t="s">
        <v>47</v>
      </c>
      <c r="G261">
        <v>18.8</v>
      </c>
      <c r="H261">
        <v>32</v>
      </c>
      <c r="I261">
        <v>6.4</v>
      </c>
      <c r="J261">
        <v>97.6</v>
      </c>
      <c r="K261">
        <v>2.2999999999999998</v>
      </c>
      <c r="L261">
        <v>1.2</v>
      </c>
      <c r="M261">
        <v>51.2</v>
      </c>
      <c r="N261">
        <v>4.9000000000000004</v>
      </c>
      <c r="O261">
        <v>2.2000000000000002</v>
      </c>
      <c r="P261">
        <v>32.9</v>
      </c>
      <c r="Q261" t="s">
        <v>696</v>
      </c>
      <c r="R261" t="s">
        <v>1140</v>
      </c>
      <c r="S261" t="s">
        <v>697</v>
      </c>
      <c r="T261">
        <v>6690</v>
      </c>
      <c r="U261">
        <v>35.5</v>
      </c>
      <c r="V261">
        <v>447</v>
      </c>
      <c r="W261">
        <v>24.1</v>
      </c>
      <c r="X261">
        <v>644</v>
      </c>
      <c r="Y261">
        <v>52</v>
      </c>
      <c r="Z261">
        <v>961</v>
      </c>
      <c r="AA261">
        <v>49.5</v>
      </c>
      <c r="AB261">
        <v>817</v>
      </c>
      <c r="AC261">
        <v>28.6</v>
      </c>
      <c r="AD261">
        <v>1556</v>
      </c>
      <c r="AE261" t="s">
        <v>57</v>
      </c>
      <c r="AF261">
        <v>0</v>
      </c>
      <c r="AG261" t="s">
        <v>1141</v>
      </c>
      <c r="AH261">
        <v>977</v>
      </c>
      <c r="AI261" t="s">
        <v>759</v>
      </c>
      <c r="AJ261" s="1">
        <v>8157</v>
      </c>
      <c r="AK261">
        <v>18</v>
      </c>
      <c r="AL261" s="2">
        <v>0.01</v>
      </c>
      <c r="AM261" t="s">
        <v>1142</v>
      </c>
      <c r="AN261" t="s">
        <v>1140</v>
      </c>
      <c r="AO261" t="s">
        <v>1143</v>
      </c>
      <c r="AP261" t="b">
        <v>0</v>
      </c>
      <c r="AQ261" t="b">
        <v>0</v>
      </c>
      <c r="AR261" t="b">
        <v>0</v>
      </c>
    </row>
    <row r="262" spans="1:45" x14ac:dyDescent="0.3">
      <c r="A262">
        <v>344</v>
      </c>
      <c r="B262">
        <v>379</v>
      </c>
      <c r="C262" t="s">
        <v>1144</v>
      </c>
      <c r="D262" t="s">
        <v>45</v>
      </c>
      <c r="E262" t="s">
        <v>46</v>
      </c>
      <c r="F262" t="s">
        <v>56</v>
      </c>
      <c r="G262">
        <v>16.899999999999999</v>
      </c>
      <c r="H262">
        <v>7.7</v>
      </c>
      <c r="I262">
        <v>53.5</v>
      </c>
      <c r="J262">
        <v>45.7</v>
      </c>
      <c r="K262">
        <v>23.5</v>
      </c>
      <c r="L262">
        <v>38.1</v>
      </c>
      <c r="M262">
        <v>60.2</v>
      </c>
      <c r="N262">
        <v>56.1</v>
      </c>
      <c r="O262">
        <v>81</v>
      </c>
      <c r="P262">
        <v>32.9</v>
      </c>
      <c r="Q262">
        <f>191</f>
        <v>191</v>
      </c>
      <c r="R262" t="s">
        <v>1144</v>
      </c>
      <c r="S262">
        <v>59.2</v>
      </c>
      <c r="T262">
        <v>1920</v>
      </c>
      <c r="U262">
        <v>51.5</v>
      </c>
      <c r="V262">
        <v>122</v>
      </c>
      <c r="W262">
        <v>35</v>
      </c>
      <c r="X262">
        <v>350</v>
      </c>
      <c r="Y262">
        <v>87.5</v>
      </c>
      <c r="Z262">
        <v>164</v>
      </c>
      <c r="AA262">
        <v>71.7</v>
      </c>
      <c r="AB262">
        <v>392</v>
      </c>
      <c r="AC262">
        <v>62.8</v>
      </c>
      <c r="AD262">
        <v>525</v>
      </c>
      <c r="AE262" t="s">
        <v>49</v>
      </c>
      <c r="AF262">
        <v>0</v>
      </c>
      <c r="AG262" t="s">
        <v>1145</v>
      </c>
      <c r="AH262">
        <v>542</v>
      </c>
      <c r="AI262" t="s">
        <v>46</v>
      </c>
      <c r="AJ262" s="1">
        <v>11611</v>
      </c>
      <c r="AK262">
        <v>10.5</v>
      </c>
      <c r="AL262" s="2">
        <v>0.16</v>
      </c>
      <c r="AM262" s="3">
        <v>2.4048611111111109</v>
      </c>
      <c r="AN262" t="s">
        <v>1144</v>
      </c>
      <c r="AO262" t="s">
        <v>1146</v>
      </c>
      <c r="AP262" t="b">
        <v>0</v>
      </c>
      <c r="AQ262" t="b">
        <v>0</v>
      </c>
      <c r="AR262" t="b">
        <v>0</v>
      </c>
      <c r="AS262" t="s">
        <v>1147</v>
      </c>
    </row>
    <row r="263" spans="1:45" x14ac:dyDescent="0.3">
      <c r="A263">
        <v>344</v>
      </c>
      <c r="B263">
        <v>313</v>
      </c>
      <c r="C263" t="s">
        <v>1148</v>
      </c>
      <c r="D263" t="s">
        <v>452</v>
      </c>
      <c r="E263" t="s">
        <v>453</v>
      </c>
      <c r="F263" t="s">
        <v>47</v>
      </c>
      <c r="G263">
        <v>15.1</v>
      </c>
      <c r="H263">
        <v>13.5</v>
      </c>
      <c r="I263">
        <v>25.3</v>
      </c>
      <c r="J263">
        <v>59.4</v>
      </c>
      <c r="K263">
        <v>65.3</v>
      </c>
      <c r="L263">
        <v>8.6</v>
      </c>
      <c r="M263">
        <v>89.4</v>
      </c>
      <c r="N263">
        <v>21.7</v>
      </c>
      <c r="O263">
        <v>68.599999999999994</v>
      </c>
      <c r="P263">
        <v>32.9</v>
      </c>
      <c r="Q263" t="s">
        <v>486</v>
      </c>
      <c r="R263" t="s">
        <v>1148</v>
      </c>
      <c r="S263" t="s">
        <v>487</v>
      </c>
      <c r="T263">
        <v>2800</v>
      </c>
      <c r="U263">
        <v>33.1</v>
      </c>
      <c r="V263">
        <v>541</v>
      </c>
      <c r="W263">
        <v>38.200000000000003</v>
      </c>
      <c r="X263">
        <v>281</v>
      </c>
      <c r="Y263">
        <v>84.1</v>
      </c>
      <c r="Z263">
        <v>230</v>
      </c>
      <c r="AA263">
        <v>66</v>
      </c>
      <c r="AB263">
        <v>528</v>
      </c>
      <c r="AC263">
        <v>59.5</v>
      </c>
      <c r="AD263">
        <v>594</v>
      </c>
      <c r="AE263" t="s">
        <v>57</v>
      </c>
      <c r="AF263">
        <v>6</v>
      </c>
      <c r="AG263" t="s">
        <v>1149</v>
      </c>
      <c r="AH263">
        <v>131756</v>
      </c>
      <c r="AI263" t="s">
        <v>453</v>
      </c>
      <c r="AJ263" s="1">
        <v>10719</v>
      </c>
      <c r="AK263">
        <v>20.8</v>
      </c>
      <c r="AL263" s="2">
        <v>0.08</v>
      </c>
      <c r="AM263" s="3">
        <v>2.3229166666666665</v>
      </c>
      <c r="AN263" t="s">
        <v>1148</v>
      </c>
      <c r="AO263" t="s">
        <v>1150</v>
      </c>
      <c r="AP263" t="b">
        <v>0</v>
      </c>
      <c r="AQ263" t="b">
        <v>0</v>
      </c>
      <c r="AR263" t="b">
        <v>0</v>
      </c>
    </row>
    <row r="264" spans="1:45" x14ac:dyDescent="0.3">
      <c r="A264">
        <v>347</v>
      </c>
      <c r="B264">
        <v>371</v>
      </c>
      <c r="C264" t="s">
        <v>1151</v>
      </c>
      <c r="D264" t="s">
        <v>231</v>
      </c>
      <c r="E264" t="s">
        <v>232</v>
      </c>
      <c r="F264" t="s">
        <v>56</v>
      </c>
      <c r="G264">
        <v>14.7</v>
      </c>
      <c r="H264">
        <v>32.5</v>
      </c>
      <c r="I264">
        <v>10.5</v>
      </c>
      <c r="J264">
        <v>55.1</v>
      </c>
      <c r="K264">
        <v>98.4</v>
      </c>
      <c r="L264">
        <v>60.6</v>
      </c>
      <c r="M264">
        <v>56.8</v>
      </c>
      <c r="N264">
        <v>14.3</v>
      </c>
      <c r="O264">
        <v>15.2</v>
      </c>
      <c r="P264">
        <v>32.799999999999997</v>
      </c>
      <c r="Q264" t="s">
        <v>292</v>
      </c>
      <c r="R264" t="s">
        <v>1151</v>
      </c>
      <c r="S264" t="s">
        <v>293</v>
      </c>
      <c r="T264">
        <v>2450</v>
      </c>
      <c r="U264">
        <v>32.799999999999997</v>
      </c>
      <c r="V264">
        <v>555</v>
      </c>
      <c r="W264">
        <v>44.9</v>
      </c>
      <c r="X264">
        <v>190</v>
      </c>
      <c r="Y264">
        <v>80.099999999999994</v>
      </c>
      <c r="Z264">
        <v>320</v>
      </c>
      <c r="AA264">
        <v>82.6</v>
      </c>
      <c r="AB264">
        <v>234</v>
      </c>
      <c r="AC264">
        <v>84.5</v>
      </c>
      <c r="AD264">
        <v>195</v>
      </c>
      <c r="AE264" t="s">
        <v>57</v>
      </c>
      <c r="AF264">
        <v>6</v>
      </c>
      <c r="AG264" t="s">
        <v>1152</v>
      </c>
      <c r="AH264">
        <v>734</v>
      </c>
      <c r="AI264" t="s">
        <v>232</v>
      </c>
      <c r="AJ264" s="1">
        <v>13225</v>
      </c>
      <c r="AK264">
        <v>32.200000000000003</v>
      </c>
      <c r="AL264" s="2">
        <v>0.21</v>
      </c>
      <c r="AM264" s="3">
        <v>2.1590277777777778</v>
      </c>
      <c r="AN264" t="s">
        <v>1151</v>
      </c>
      <c r="AO264" t="s">
        <v>1153</v>
      </c>
      <c r="AP264" t="b">
        <v>0</v>
      </c>
      <c r="AQ264" t="b">
        <v>0</v>
      </c>
      <c r="AR264" t="b">
        <v>0</v>
      </c>
    </row>
    <row r="265" spans="1:45" x14ac:dyDescent="0.3">
      <c r="A265">
        <v>347</v>
      </c>
      <c r="B265">
        <v>335</v>
      </c>
      <c r="C265" t="s">
        <v>1154</v>
      </c>
      <c r="D265" t="s">
        <v>442</v>
      </c>
      <c r="E265" t="s">
        <v>443</v>
      </c>
      <c r="F265" t="s">
        <v>77</v>
      </c>
      <c r="G265">
        <v>36.6</v>
      </c>
      <c r="H265">
        <v>19.7</v>
      </c>
      <c r="I265">
        <v>4.2</v>
      </c>
      <c r="J265">
        <v>65.099999999999994</v>
      </c>
      <c r="K265">
        <v>2.2000000000000002</v>
      </c>
      <c r="L265">
        <v>1.1000000000000001</v>
      </c>
      <c r="M265">
        <v>92.5</v>
      </c>
      <c r="N265">
        <v>7.3</v>
      </c>
      <c r="O265">
        <v>20.100000000000001</v>
      </c>
      <c r="P265">
        <v>32.799999999999997</v>
      </c>
      <c r="Q265" t="s">
        <v>659</v>
      </c>
      <c r="R265" t="s">
        <v>1155</v>
      </c>
      <c r="S265" t="s">
        <v>660</v>
      </c>
      <c r="T265">
        <v>3850</v>
      </c>
      <c r="U265">
        <v>36.700000000000003</v>
      </c>
      <c r="V265">
        <v>407</v>
      </c>
      <c r="W265">
        <v>28.3</v>
      </c>
      <c r="X265">
        <v>510</v>
      </c>
      <c r="Y265">
        <v>86.9</v>
      </c>
      <c r="Z265">
        <v>176</v>
      </c>
      <c r="AA265">
        <v>72</v>
      </c>
      <c r="AB265">
        <v>387</v>
      </c>
      <c r="AC265">
        <v>35.4</v>
      </c>
      <c r="AD265">
        <v>1305</v>
      </c>
      <c r="AE265" t="s">
        <v>57</v>
      </c>
      <c r="AF265">
        <v>0</v>
      </c>
      <c r="AG265" t="s">
        <v>1156</v>
      </c>
      <c r="AH265">
        <v>131807</v>
      </c>
      <c r="AI265" t="s">
        <v>443</v>
      </c>
      <c r="AJ265" s="1">
        <v>56127</v>
      </c>
      <c r="AK265">
        <v>19.5</v>
      </c>
      <c r="AL265" s="2">
        <v>0.02</v>
      </c>
      <c r="AM265" s="3">
        <v>2.3638888888888889</v>
      </c>
      <c r="AN265" t="s">
        <v>1155</v>
      </c>
      <c r="AO265" t="s">
        <v>1157</v>
      </c>
      <c r="AP265" t="b">
        <v>0</v>
      </c>
      <c r="AQ265" t="b">
        <v>0</v>
      </c>
      <c r="AR265" t="b">
        <v>0</v>
      </c>
    </row>
    <row r="266" spans="1:45" x14ac:dyDescent="0.3">
      <c r="A266">
        <v>350</v>
      </c>
      <c r="B266">
        <v>371</v>
      </c>
      <c r="C266" t="s">
        <v>1158</v>
      </c>
      <c r="D266" t="s">
        <v>1159</v>
      </c>
      <c r="E266" t="s">
        <v>1160</v>
      </c>
      <c r="F266" t="s">
        <v>77</v>
      </c>
      <c r="G266">
        <v>45.8</v>
      </c>
      <c r="H266">
        <v>41</v>
      </c>
      <c r="I266">
        <v>8.8000000000000007</v>
      </c>
      <c r="J266">
        <v>3</v>
      </c>
      <c r="K266">
        <v>2.9</v>
      </c>
      <c r="L266">
        <v>7.2</v>
      </c>
      <c r="M266">
        <v>86.4</v>
      </c>
      <c r="N266">
        <v>95.5</v>
      </c>
      <c r="O266">
        <v>47.2</v>
      </c>
      <c r="P266">
        <v>32.5</v>
      </c>
      <c r="Q266" t="s">
        <v>679</v>
      </c>
      <c r="R266" t="s">
        <v>1158</v>
      </c>
      <c r="S266" t="s">
        <v>680</v>
      </c>
      <c r="T266">
        <v>8290</v>
      </c>
      <c r="U266">
        <v>25</v>
      </c>
      <c r="V266">
        <v>1003</v>
      </c>
      <c r="W266">
        <v>18.5</v>
      </c>
      <c r="X266">
        <v>887</v>
      </c>
      <c r="Y266">
        <v>59.9</v>
      </c>
      <c r="Z266">
        <v>784</v>
      </c>
      <c r="AA266">
        <v>39.200000000000003</v>
      </c>
      <c r="AB266">
        <v>999</v>
      </c>
      <c r="AC266">
        <v>45.4</v>
      </c>
      <c r="AD266">
        <v>945</v>
      </c>
      <c r="AE266" t="s">
        <v>57</v>
      </c>
      <c r="AF266">
        <v>0</v>
      </c>
      <c r="AG266" t="s">
        <v>1161</v>
      </c>
      <c r="AH266">
        <v>1006</v>
      </c>
      <c r="AI266" t="s">
        <v>1160</v>
      </c>
      <c r="AJ266" s="1">
        <v>202915</v>
      </c>
      <c r="AK266">
        <v>30.9</v>
      </c>
      <c r="AL266" s="2">
        <v>0.05</v>
      </c>
      <c r="AM266" s="3">
        <v>2.5277777777777777</v>
      </c>
      <c r="AN266" t="s">
        <v>1158</v>
      </c>
      <c r="AO266" t="s">
        <v>1162</v>
      </c>
      <c r="AP266" t="b">
        <v>0</v>
      </c>
      <c r="AQ266" t="b">
        <v>0</v>
      </c>
      <c r="AR266" t="b">
        <v>0</v>
      </c>
    </row>
    <row r="267" spans="1:45" x14ac:dyDescent="0.3">
      <c r="A267">
        <v>350</v>
      </c>
      <c r="B267">
        <v>319</v>
      </c>
      <c r="C267" t="s">
        <v>1163</v>
      </c>
      <c r="D267" t="s">
        <v>217</v>
      </c>
      <c r="E267" t="s">
        <v>218</v>
      </c>
      <c r="F267" t="s">
        <v>56</v>
      </c>
      <c r="G267">
        <v>16.8</v>
      </c>
      <c r="H267">
        <v>34.799999999999997</v>
      </c>
      <c r="I267">
        <v>81.099999999999994</v>
      </c>
      <c r="J267">
        <v>2.8</v>
      </c>
      <c r="K267">
        <v>52.7</v>
      </c>
      <c r="L267">
        <v>97.2</v>
      </c>
      <c r="M267">
        <v>31.4</v>
      </c>
      <c r="N267">
        <v>97.7</v>
      </c>
      <c r="O267">
        <v>7.2</v>
      </c>
      <c r="P267">
        <v>32.5</v>
      </c>
      <c r="Q267" t="s">
        <v>572</v>
      </c>
      <c r="R267" t="s">
        <v>1164</v>
      </c>
      <c r="S267" t="s">
        <v>574</v>
      </c>
      <c r="T267">
        <v>5810</v>
      </c>
      <c r="U267">
        <v>32.4</v>
      </c>
      <c r="V267">
        <v>575</v>
      </c>
      <c r="W267">
        <v>25.6</v>
      </c>
      <c r="X267">
        <v>588</v>
      </c>
      <c r="Y267">
        <v>60.1</v>
      </c>
      <c r="Z267">
        <v>777</v>
      </c>
      <c r="AA267">
        <v>17.2</v>
      </c>
      <c r="AB267">
        <v>1739</v>
      </c>
      <c r="AC267">
        <v>84.6</v>
      </c>
      <c r="AD267">
        <v>194</v>
      </c>
      <c r="AE267" t="s">
        <v>57</v>
      </c>
      <c r="AF267">
        <v>0</v>
      </c>
      <c r="AG267" t="s">
        <v>1165</v>
      </c>
      <c r="AH267">
        <v>974</v>
      </c>
      <c r="AI267" t="s">
        <v>218</v>
      </c>
      <c r="AJ267" s="1">
        <v>12445</v>
      </c>
      <c r="AK267">
        <v>42.6</v>
      </c>
      <c r="AL267" s="2">
        <v>0.32</v>
      </c>
      <c r="AM267" s="3">
        <v>2.6506944444444445</v>
      </c>
      <c r="AN267" t="s">
        <v>1164</v>
      </c>
      <c r="AO267" t="s">
        <v>1166</v>
      </c>
      <c r="AP267" t="b">
        <v>0</v>
      </c>
      <c r="AQ267" t="b">
        <v>0</v>
      </c>
      <c r="AR267" t="b">
        <v>0</v>
      </c>
    </row>
    <row r="268" spans="1:45" x14ac:dyDescent="0.3">
      <c r="A268">
        <v>352</v>
      </c>
      <c r="B268">
        <v>328</v>
      </c>
      <c r="C268" t="s">
        <v>1167</v>
      </c>
      <c r="D268" t="s">
        <v>54</v>
      </c>
      <c r="E268" t="s">
        <v>55</v>
      </c>
      <c r="F268" t="s">
        <v>56</v>
      </c>
      <c r="G268">
        <v>20.8</v>
      </c>
      <c r="H268">
        <v>21.3</v>
      </c>
      <c r="I268">
        <v>5.6</v>
      </c>
      <c r="J268">
        <v>31.2</v>
      </c>
      <c r="K268">
        <v>95.8</v>
      </c>
      <c r="L268">
        <v>98.9</v>
      </c>
      <c r="M268">
        <v>66.400000000000006</v>
      </c>
      <c r="N268">
        <v>54.8</v>
      </c>
      <c r="O268">
        <v>23.2</v>
      </c>
      <c r="P268">
        <v>32.4</v>
      </c>
      <c r="Q268" t="s">
        <v>659</v>
      </c>
      <c r="R268" t="s">
        <v>1167</v>
      </c>
      <c r="S268" t="s">
        <v>660</v>
      </c>
      <c r="T268">
        <v>3600</v>
      </c>
      <c r="U268">
        <v>27.4</v>
      </c>
      <c r="V268">
        <v>848</v>
      </c>
      <c r="W268">
        <v>30.9</v>
      </c>
      <c r="X268">
        <v>446</v>
      </c>
      <c r="Y268">
        <v>78.599999999999994</v>
      </c>
      <c r="Z268">
        <v>351</v>
      </c>
      <c r="AA268">
        <v>61.8</v>
      </c>
      <c r="AB268">
        <v>616</v>
      </c>
      <c r="AC268">
        <v>95.5</v>
      </c>
      <c r="AD268">
        <v>38</v>
      </c>
      <c r="AE268" t="s">
        <v>57</v>
      </c>
      <c r="AF268">
        <v>0</v>
      </c>
      <c r="AG268" t="s">
        <v>1168</v>
      </c>
      <c r="AH268">
        <v>912</v>
      </c>
      <c r="AI268" t="s">
        <v>55</v>
      </c>
      <c r="AJ268" s="1">
        <v>16080</v>
      </c>
      <c r="AK268">
        <v>19.5</v>
      </c>
      <c r="AL268" s="2">
        <v>0.45</v>
      </c>
      <c r="AM268" s="3">
        <v>2.4458333333333333</v>
      </c>
      <c r="AN268" t="s">
        <v>1167</v>
      </c>
      <c r="AO268" t="s">
        <v>1169</v>
      </c>
      <c r="AP268" t="b">
        <v>0</v>
      </c>
      <c r="AQ268" t="b">
        <v>0</v>
      </c>
      <c r="AR268" t="b">
        <v>0</v>
      </c>
      <c r="AS268" t="s">
        <v>1170</v>
      </c>
    </row>
    <row r="269" spans="1:45" x14ac:dyDescent="0.3">
      <c r="A269">
        <v>354</v>
      </c>
      <c r="B269">
        <v>323</v>
      </c>
      <c r="C269" t="s">
        <v>1171</v>
      </c>
      <c r="D269" t="s">
        <v>649</v>
      </c>
      <c r="E269" t="s">
        <v>650</v>
      </c>
      <c r="F269" t="s">
        <v>77</v>
      </c>
      <c r="G269">
        <v>23.9</v>
      </c>
      <c r="H269">
        <v>48.8</v>
      </c>
      <c r="I269">
        <v>4</v>
      </c>
      <c r="J269">
        <v>15.5</v>
      </c>
      <c r="K269">
        <v>33.299999999999997</v>
      </c>
      <c r="L269">
        <v>8.1999999999999993</v>
      </c>
      <c r="M269">
        <v>98.1</v>
      </c>
      <c r="N269">
        <v>80.099999999999994</v>
      </c>
      <c r="O269">
        <v>79.599999999999994</v>
      </c>
      <c r="P269">
        <v>32.200000000000003</v>
      </c>
      <c r="Q269" t="s">
        <v>572</v>
      </c>
      <c r="R269" t="s">
        <v>1171</v>
      </c>
      <c r="S269" t="s">
        <v>574</v>
      </c>
      <c r="T269">
        <v>5750</v>
      </c>
      <c r="U269">
        <v>31.2</v>
      </c>
      <c r="V269">
        <v>633</v>
      </c>
      <c r="W269">
        <v>34.299999999999997</v>
      </c>
      <c r="X269">
        <v>370</v>
      </c>
      <c r="Y269">
        <v>56.7</v>
      </c>
      <c r="Z269">
        <v>853</v>
      </c>
      <c r="AA269">
        <v>69.900000000000006</v>
      </c>
      <c r="AB269">
        <v>434</v>
      </c>
      <c r="AC269">
        <v>61.4</v>
      </c>
      <c r="AD269">
        <v>553</v>
      </c>
      <c r="AE269" t="s">
        <v>57</v>
      </c>
      <c r="AF269">
        <v>0</v>
      </c>
      <c r="AG269" t="s">
        <v>1172</v>
      </c>
      <c r="AH269">
        <v>994</v>
      </c>
      <c r="AI269" t="s">
        <v>650</v>
      </c>
      <c r="AJ269" s="1">
        <v>37315</v>
      </c>
      <c r="AK269">
        <v>22.1</v>
      </c>
      <c r="AL269" s="2">
        <v>0.06</v>
      </c>
      <c r="AM269" s="3">
        <v>2.4868055555555557</v>
      </c>
      <c r="AN269" t="s">
        <v>1173</v>
      </c>
      <c r="AO269" t="s">
        <v>1174</v>
      </c>
      <c r="AP269" t="b">
        <v>0</v>
      </c>
      <c r="AQ269" t="b">
        <v>0</v>
      </c>
      <c r="AR269" t="b">
        <v>0</v>
      </c>
    </row>
    <row r="270" spans="1:45" x14ac:dyDescent="0.3">
      <c r="A270">
        <v>355</v>
      </c>
      <c r="B270">
        <v>351</v>
      </c>
      <c r="C270" t="s">
        <v>1175</v>
      </c>
      <c r="D270" t="s">
        <v>897</v>
      </c>
      <c r="E270" t="s">
        <v>898</v>
      </c>
      <c r="F270" t="s">
        <v>56</v>
      </c>
      <c r="G270">
        <v>29.4</v>
      </c>
      <c r="H270">
        <v>10.8</v>
      </c>
      <c r="I270">
        <v>10.3</v>
      </c>
      <c r="J270">
        <v>49.8</v>
      </c>
      <c r="K270">
        <v>8.1</v>
      </c>
      <c r="L270">
        <v>22.9</v>
      </c>
      <c r="M270">
        <v>91.2</v>
      </c>
      <c r="N270">
        <v>31.1</v>
      </c>
      <c r="O270">
        <v>75.8</v>
      </c>
      <c r="P270">
        <v>32.1</v>
      </c>
      <c r="Q270" t="s">
        <v>372</v>
      </c>
      <c r="R270" t="s">
        <v>1175</v>
      </c>
      <c r="S270" t="s">
        <v>374</v>
      </c>
      <c r="T270">
        <v>4200</v>
      </c>
      <c r="U270">
        <v>31.4</v>
      </c>
      <c r="V270">
        <v>619</v>
      </c>
      <c r="W270">
        <v>38.200000000000003</v>
      </c>
      <c r="X270">
        <v>279</v>
      </c>
      <c r="Y270">
        <v>59.9</v>
      </c>
      <c r="Z270">
        <v>785</v>
      </c>
      <c r="AA270">
        <v>78</v>
      </c>
      <c r="AB270">
        <v>290</v>
      </c>
      <c r="AC270">
        <v>54.3</v>
      </c>
      <c r="AD270">
        <v>687</v>
      </c>
      <c r="AE270" t="s">
        <v>57</v>
      </c>
      <c r="AF270">
        <v>0</v>
      </c>
      <c r="AG270" t="s">
        <v>1176</v>
      </c>
      <c r="AH270">
        <v>820</v>
      </c>
      <c r="AI270" t="s">
        <v>898</v>
      </c>
      <c r="AJ270" s="1">
        <v>21767</v>
      </c>
      <c r="AK270">
        <v>18.399999999999999</v>
      </c>
      <c r="AL270" s="2">
        <v>0.15</v>
      </c>
      <c r="AM270" s="3">
        <v>2.4048611111111109</v>
      </c>
      <c r="AN270" t="s">
        <v>1175</v>
      </c>
      <c r="AO270" t="s">
        <v>1177</v>
      </c>
      <c r="AP270" t="b">
        <v>0</v>
      </c>
      <c r="AQ270" t="b">
        <v>0</v>
      </c>
      <c r="AR270" t="b">
        <v>0</v>
      </c>
    </row>
    <row r="271" spans="1:45" x14ac:dyDescent="0.3">
      <c r="A271">
        <v>355</v>
      </c>
      <c r="B271">
        <v>381</v>
      </c>
      <c r="C271" t="s">
        <v>1178</v>
      </c>
      <c r="D271" t="s">
        <v>1179</v>
      </c>
      <c r="E271" t="s">
        <v>1180</v>
      </c>
      <c r="F271" t="s">
        <v>47</v>
      </c>
      <c r="G271">
        <v>9.1999999999999993</v>
      </c>
      <c r="H271">
        <v>4.5</v>
      </c>
      <c r="I271">
        <v>80.8</v>
      </c>
      <c r="J271">
        <v>25.2</v>
      </c>
      <c r="K271">
        <v>100</v>
      </c>
      <c r="L271">
        <v>100</v>
      </c>
      <c r="M271">
        <v>70.099999999999994</v>
      </c>
      <c r="N271">
        <v>52.8</v>
      </c>
      <c r="O271">
        <v>3.1</v>
      </c>
      <c r="P271">
        <v>32.1</v>
      </c>
      <c r="Q271" t="s">
        <v>292</v>
      </c>
      <c r="R271" t="s">
        <v>1178</v>
      </c>
      <c r="S271" t="s">
        <v>293</v>
      </c>
      <c r="T271">
        <v>2220</v>
      </c>
      <c r="U271">
        <v>39.6</v>
      </c>
      <c r="V271">
        <v>319</v>
      </c>
      <c r="W271">
        <v>39.4</v>
      </c>
      <c r="X271">
        <v>256</v>
      </c>
      <c r="Y271">
        <v>78.099999999999994</v>
      </c>
      <c r="Z271">
        <v>363</v>
      </c>
      <c r="AA271">
        <v>63</v>
      </c>
      <c r="AB271">
        <v>588</v>
      </c>
      <c r="AC271">
        <v>93.2</v>
      </c>
      <c r="AD271">
        <v>81</v>
      </c>
      <c r="AE271" t="s">
        <v>57</v>
      </c>
      <c r="AF271">
        <v>1</v>
      </c>
      <c r="AG271" t="s">
        <v>1181</v>
      </c>
      <c r="AH271">
        <v>131698</v>
      </c>
      <c r="AI271" t="s">
        <v>1180</v>
      </c>
      <c r="AJ271" s="1">
        <v>5599</v>
      </c>
      <c r="AK271">
        <v>21.3</v>
      </c>
      <c r="AL271" s="2">
        <v>0.49</v>
      </c>
      <c r="AM271" s="3">
        <v>2.2409722222222221</v>
      </c>
      <c r="AN271" t="s">
        <v>1178</v>
      </c>
      <c r="AO271" t="s">
        <v>1182</v>
      </c>
      <c r="AP271" t="b">
        <v>0</v>
      </c>
      <c r="AQ271" t="b">
        <v>0</v>
      </c>
      <c r="AR271" t="b">
        <v>0</v>
      </c>
    </row>
    <row r="272" spans="1:45" x14ac:dyDescent="0.3">
      <c r="A272">
        <v>358</v>
      </c>
      <c r="B272">
        <v>358</v>
      </c>
      <c r="C272" t="s">
        <v>1183</v>
      </c>
      <c r="D272" t="s">
        <v>1184</v>
      </c>
      <c r="E272" t="s">
        <v>1185</v>
      </c>
      <c r="F272" t="s">
        <v>47</v>
      </c>
      <c r="G272">
        <v>22.9</v>
      </c>
      <c r="H272">
        <v>10.5</v>
      </c>
      <c r="I272">
        <v>93.7</v>
      </c>
      <c r="J272">
        <v>10.8</v>
      </c>
      <c r="K272">
        <v>48.6</v>
      </c>
      <c r="L272">
        <v>15.1</v>
      </c>
      <c r="M272">
        <v>88.8</v>
      </c>
      <c r="N272">
        <v>85.7</v>
      </c>
      <c r="O272">
        <v>18</v>
      </c>
      <c r="P272">
        <v>32</v>
      </c>
      <c r="Q272" t="s">
        <v>614</v>
      </c>
      <c r="R272" t="s">
        <v>1183</v>
      </c>
      <c r="S272" t="s">
        <v>615</v>
      </c>
      <c r="T272">
        <v>3410</v>
      </c>
      <c r="U272">
        <v>32.799999999999997</v>
      </c>
      <c r="V272">
        <v>554</v>
      </c>
      <c r="W272">
        <v>31.8</v>
      </c>
      <c r="X272">
        <v>422</v>
      </c>
      <c r="Y272">
        <v>86.5</v>
      </c>
      <c r="Z272">
        <v>184</v>
      </c>
      <c r="AA272">
        <v>64.099999999999994</v>
      </c>
      <c r="AB272">
        <v>566</v>
      </c>
      <c r="AC272">
        <v>60.7</v>
      </c>
      <c r="AD272">
        <v>571</v>
      </c>
      <c r="AE272" t="s">
        <v>57</v>
      </c>
      <c r="AF272">
        <v>6</v>
      </c>
      <c r="AG272" t="s">
        <v>1186</v>
      </c>
      <c r="AH272">
        <v>859</v>
      </c>
      <c r="AI272" t="s">
        <v>1185</v>
      </c>
      <c r="AJ272" s="1">
        <v>9694</v>
      </c>
      <c r="AK272">
        <v>9</v>
      </c>
      <c r="AL272" s="2">
        <v>0.12</v>
      </c>
      <c r="AM272" s="3">
        <v>2.8555555555555556</v>
      </c>
      <c r="AN272" t="s">
        <v>1183</v>
      </c>
      <c r="AO272" t="s">
        <v>1187</v>
      </c>
      <c r="AP272" t="b">
        <v>0</v>
      </c>
      <c r="AQ272" t="b">
        <v>0</v>
      </c>
      <c r="AR272" t="b">
        <v>0</v>
      </c>
    </row>
    <row r="273" spans="1:45" x14ac:dyDescent="0.3">
      <c r="A273">
        <v>359</v>
      </c>
      <c r="B273">
        <v>328</v>
      </c>
      <c r="C273" t="s">
        <v>1188</v>
      </c>
      <c r="D273" t="s">
        <v>166</v>
      </c>
      <c r="E273" t="s">
        <v>167</v>
      </c>
      <c r="F273" t="s">
        <v>388</v>
      </c>
      <c r="G273">
        <v>13.8</v>
      </c>
      <c r="H273">
        <v>9</v>
      </c>
      <c r="I273">
        <v>38.6</v>
      </c>
      <c r="J273">
        <v>100</v>
      </c>
      <c r="K273">
        <v>18.600000000000001</v>
      </c>
      <c r="L273">
        <v>8.8000000000000007</v>
      </c>
      <c r="M273">
        <v>27</v>
      </c>
      <c r="N273">
        <v>2.2000000000000002</v>
      </c>
      <c r="O273">
        <v>9.9</v>
      </c>
      <c r="P273">
        <v>31.9</v>
      </c>
      <c r="Q273" t="s">
        <v>372</v>
      </c>
      <c r="R273" t="s">
        <v>1188</v>
      </c>
      <c r="S273" t="s">
        <v>374</v>
      </c>
      <c r="T273">
        <v>4360</v>
      </c>
      <c r="U273">
        <v>48.5</v>
      </c>
      <c r="V273">
        <v>152</v>
      </c>
      <c r="W273">
        <v>39.6</v>
      </c>
      <c r="X273">
        <v>253</v>
      </c>
      <c r="Y273">
        <v>50.3</v>
      </c>
      <c r="Z273">
        <v>1016</v>
      </c>
      <c r="AA273">
        <v>99.9</v>
      </c>
      <c r="AB273">
        <v>31</v>
      </c>
      <c r="AC273">
        <v>43.9</v>
      </c>
      <c r="AD273">
        <v>992</v>
      </c>
      <c r="AE273" t="s">
        <v>57</v>
      </c>
      <c r="AF273">
        <v>0</v>
      </c>
      <c r="AG273" t="s">
        <v>1189</v>
      </c>
      <c r="AH273">
        <v>1034</v>
      </c>
      <c r="AI273" t="s">
        <v>167</v>
      </c>
      <c r="AJ273" s="1">
        <v>1795</v>
      </c>
      <c r="AK273">
        <v>9.5</v>
      </c>
      <c r="AL273" s="2">
        <v>7.0000000000000007E-2</v>
      </c>
      <c r="AM273" t="s">
        <v>738</v>
      </c>
      <c r="AN273" t="s">
        <v>1188</v>
      </c>
      <c r="AO273" t="s">
        <v>1190</v>
      </c>
      <c r="AP273" t="b">
        <v>0</v>
      </c>
      <c r="AQ273" t="b">
        <v>0</v>
      </c>
      <c r="AR273" t="b">
        <v>0</v>
      </c>
    </row>
    <row r="274" spans="1:45" x14ac:dyDescent="0.3">
      <c r="A274">
        <v>359</v>
      </c>
      <c r="B274">
        <v>336</v>
      </c>
      <c r="C274" t="s">
        <v>1191</v>
      </c>
      <c r="D274" t="s">
        <v>1192</v>
      </c>
      <c r="E274" t="s">
        <v>1193</v>
      </c>
      <c r="F274" t="s">
        <v>56</v>
      </c>
      <c r="G274">
        <v>48.4</v>
      </c>
      <c r="H274">
        <v>61.6</v>
      </c>
      <c r="I274">
        <v>33.200000000000003</v>
      </c>
      <c r="J274">
        <v>1.6</v>
      </c>
      <c r="K274">
        <v>4</v>
      </c>
      <c r="L274">
        <v>1.3</v>
      </c>
      <c r="M274">
        <v>38.1</v>
      </c>
      <c r="N274">
        <v>33</v>
      </c>
      <c r="O274">
        <v>29.6</v>
      </c>
      <c r="P274">
        <v>31.9</v>
      </c>
      <c r="Q274" t="s">
        <v>1068</v>
      </c>
      <c r="R274" t="s">
        <v>1194</v>
      </c>
      <c r="S274" t="s">
        <v>1070</v>
      </c>
      <c r="T274">
        <v>18050</v>
      </c>
      <c r="U274">
        <v>12.2</v>
      </c>
      <c r="V274">
        <v>1871</v>
      </c>
      <c r="W274">
        <v>8.6999999999999993</v>
      </c>
      <c r="X274">
        <v>1835</v>
      </c>
      <c r="Y274">
        <v>15.3</v>
      </c>
      <c r="Z274">
        <v>1760</v>
      </c>
      <c r="AA274">
        <v>15.9</v>
      </c>
      <c r="AB274">
        <v>1879</v>
      </c>
      <c r="AC274">
        <v>63.9</v>
      </c>
      <c r="AD274">
        <v>504</v>
      </c>
      <c r="AE274" t="s">
        <v>57</v>
      </c>
      <c r="AF274">
        <v>0</v>
      </c>
      <c r="AG274" t="s">
        <v>1195</v>
      </c>
      <c r="AH274">
        <v>623952</v>
      </c>
      <c r="AI274" t="s">
        <v>1196</v>
      </c>
      <c r="AJ274" s="1">
        <v>21237</v>
      </c>
      <c r="AK274">
        <v>25.4</v>
      </c>
      <c r="AL274" s="2">
        <v>0.01</v>
      </c>
      <c r="AM274" s="3">
        <v>2.3638888888888889</v>
      </c>
      <c r="AN274" t="s">
        <v>1194</v>
      </c>
      <c r="AO274" t="s">
        <v>1197</v>
      </c>
      <c r="AP274" t="b">
        <v>0</v>
      </c>
      <c r="AQ274" t="b">
        <v>0</v>
      </c>
      <c r="AR274" t="b">
        <v>0</v>
      </c>
    </row>
    <row r="275" spans="1:45" x14ac:dyDescent="0.3">
      <c r="A275">
        <v>359</v>
      </c>
      <c r="B275">
        <v>344</v>
      </c>
      <c r="C275" t="s">
        <v>1198</v>
      </c>
      <c r="D275" t="s">
        <v>897</v>
      </c>
      <c r="E275" t="s">
        <v>898</v>
      </c>
      <c r="F275" t="s">
        <v>56</v>
      </c>
      <c r="G275">
        <v>13.9</v>
      </c>
      <c r="H275">
        <v>5.6</v>
      </c>
      <c r="I275">
        <v>11.1</v>
      </c>
      <c r="J275">
        <v>90.6</v>
      </c>
      <c r="K275">
        <v>4.2</v>
      </c>
      <c r="L275">
        <v>15.3</v>
      </c>
      <c r="M275">
        <v>89</v>
      </c>
      <c r="N275">
        <v>2.7</v>
      </c>
      <c r="O275">
        <v>57.7</v>
      </c>
      <c r="P275">
        <v>31.9</v>
      </c>
      <c r="Q275" t="s">
        <v>696</v>
      </c>
      <c r="R275" t="s">
        <v>1198</v>
      </c>
      <c r="S275" t="s">
        <v>697</v>
      </c>
      <c r="T275">
        <v>6150</v>
      </c>
      <c r="U275">
        <v>27.1</v>
      </c>
      <c r="V275">
        <v>866</v>
      </c>
      <c r="W275">
        <v>30.2</v>
      </c>
      <c r="X275">
        <v>464</v>
      </c>
      <c r="Y275">
        <v>57.3</v>
      </c>
      <c r="Z275">
        <v>835</v>
      </c>
      <c r="AA275">
        <v>48.1</v>
      </c>
      <c r="AB275">
        <v>836</v>
      </c>
      <c r="AC275">
        <v>48.6</v>
      </c>
      <c r="AD275">
        <v>844</v>
      </c>
      <c r="AE275" t="s">
        <v>57</v>
      </c>
      <c r="AF275">
        <v>0</v>
      </c>
      <c r="AG275" t="s">
        <v>1199</v>
      </c>
      <c r="AH275">
        <v>769</v>
      </c>
      <c r="AI275" t="s">
        <v>898</v>
      </c>
      <c r="AJ275" s="1">
        <v>13563</v>
      </c>
      <c r="AK275">
        <v>16.3</v>
      </c>
      <c r="AL275" s="2">
        <v>0.11</v>
      </c>
      <c r="AM275" s="3">
        <v>2.2819444444444446</v>
      </c>
      <c r="AN275" t="s">
        <v>1198</v>
      </c>
      <c r="AO275" t="s">
        <v>1200</v>
      </c>
      <c r="AP275" t="b">
        <v>0</v>
      </c>
      <c r="AQ275" t="b">
        <v>0</v>
      </c>
      <c r="AR275" t="b">
        <v>0</v>
      </c>
    </row>
    <row r="276" spans="1:45" x14ac:dyDescent="0.3">
      <c r="A276">
        <v>362</v>
      </c>
      <c r="B276">
        <v>454</v>
      </c>
      <c r="C276" t="s">
        <v>1201</v>
      </c>
      <c r="D276" t="s">
        <v>1202</v>
      </c>
      <c r="E276" t="s">
        <v>1203</v>
      </c>
      <c r="F276" t="s">
        <v>47</v>
      </c>
      <c r="G276">
        <v>18.600000000000001</v>
      </c>
      <c r="H276">
        <v>17.100000000000001</v>
      </c>
      <c r="I276">
        <v>55.6</v>
      </c>
      <c r="J276">
        <v>21.9</v>
      </c>
      <c r="K276">
        <v>100</v>
      </c>
      <c r="L276">
        <v>3.2</v>
      </c>
      <c r="M276">
        <v>78.8</v>
      </c>
      <c r="N276">
        <v>51.5</v>
      </c>
      <c r="O276">
        <v>55.4</v>
      </c>
      <c r="P276">
        <v>31.7</v>
      </c>
      <c r="Q276" t="s">
        <v>696</v>
      </c>
      <c r="R276" t="s">
        <v>1201</v>
      </c>
      <c r="S276" t="s">
        <v>697</v>
      </c>
      <c r="T276">
        <v>7720</v>
      </c>
      <c r="U276">
        <v>28.1</v>
      </c>
      <c r="V276">
        <v>805</v>
      </c>
      <c r="W276">
        <v>22.2</v>
      </c>
      <c r="X276">
        <v>721</v>
      </c>
      <c r="Y276">
        <v>62.3</v>
      </c>
      <c r="Z276">
        <v>726</v>
      </c>
      <c r="AA276">
        <v>35.700000000000003</v>
      </c>
      <c r="AB276">
        <v>1082</v>
      </c>
      <c r="AC276">
        <v>74</v>
      </c>
      <c r="AD276">
        <v>350</v>
      </c>
      <c r="AE276" t="s">
        <v>57</v>
      </c>
      <c r="AF276">
        <v>0</v>
      </c>
      <c r="AG276" t="s">
        <v>1204</v>
      </c>
      <c r="AH276">
        <v>131572</v>
      </c>
      <c r="AI276" t="s">
        <v>1203</v>
      </c>
      <c r="AJ276" s="1">
        <v>7512</v>
      </c>
      <c r="AK276">
        <v>9.1999999999999993</v>
      </c>
      <c r="AL276" s="2">
        <v>0.04</v>
      </c>
      <c r="AM276" s="3">
        <v>2.1180555555555554</v>
      </c>
      <c r="AN276" t="s">
        <v>1201</v>
      </c>
      <c r="AO276" t="s">
        <v>1205</v>
      </c>
      <c r="AP276" t="b">
        <v>0</v>
      </c>
      <c r="AQ276" t="b">
        <v>0</v>
      </c>
      <c r="AR276" t="b">
        <v>0</v>
      </c>
    </row>
    <row r="277" spans="1:45" x14ac:dyDescent="0.3">
      <c r="A277">
        <v>377</v>
      </c>
      <c r="B277">
        <v>384</v>
      </c>
      <c r="C277" t="s">
        <v>1206</v>
      </c>
      <c r="D277" t="s">
        <v>95</v>
      </c>
      <c r="E277" t="s">
        <v>96</v>
      </c>
      <c r="F277" t="s">
        <v>77</v>
      </c>
      <c r="G277">
        <v>18.5</v>
      </c>
      <c r="H277">
        <v>9.8000000000000007</v>
      </c>
      <c r="I277">
        <v>25.4</v>
      </c>
      <c r="J277">
        <v>82.9</v>
      </c>
      <c r="K277">
        <v>12.3</v>
      </c>
      <c r="L277">
        <v>2.7</v>
      </c>
      <c r="M277">
        <v>51.1</v>
      </c>
      <c r="N277">
        <v>37.9</v>
      </c>
      <c r="O277">
        <v>11.5</v>
      </c>
      <c r="P277">
        <v>31.1</v>
      </c>
      <c r="Q277" t="s">
        <v>486</v>
      </c>
      <c r="R277" t="s">
        <v>1206</v>
      </c>
      <c r="S277" t="s">
        <v>487</v>
      </c>
      <c r="T277">
        <v>2780</v>
      </c>
      <c r="U277">
        <v>48.8</v>
      </c>
      <c r="V277">
        <v>146</v>
      </c>
      <c r="W277">
        <v>31.4</v>
      </c>
      <c r="X277">
        <v>433</v>
      </c>
      <c r="Y277">
        <v>85.3</v>
      </c>
      <c r="Z277">
        <v>204</v>
      </c>
      <c r="AA277">
        <v>66.5</v>
      </c>
      <c r="AB277">
        <v>516</v>
      </c>
      <c r="AC277">
        <v>49.3</v>
      </c>
      <c r="AD277">
        <v>820</v>
      </c>
      <c r="AE277" t="s">
        <v>57</v>
      </c>
      <c r="AF277">
        <v>0</v>
      </c>
      <c r="AG277" t="s">
        <v>1207</v>
      </c>
      <c r="AH277">
        <v>623277</v>
      </c>
      <c r="AI277" t="s">
        <v>98</v>
      </c>
      <c r="AJ277" s="1">
        <v>31416</v>
      </c>
      <c r="AK277">
        <v>11.7</v>
      </c>
      <c r="AL277" s="2">
        <v>7.0000000000000007E-2</v>
      </c>
      <c r="AN277" t="s">
        <v>1208</v>
      </c>
      <c r="AO277" t="s">
        <v>1209</v>
      </c>
      <c r="AP277" t="b">
        <v>0</v>
      </c>
      <c r="AQ277" t="b">
        <v>0</v>
      </c>
      <c r="AR277" t="b">
        <v>0</v>
      </c>
    </row>
    <row r="278" spans="1:45" x14ac:dyDescent="0.3">
      <c r="A278">
        <v>362</v>
      </c>
      <c r="B278">
        <v>353</v>
      </c>
      <c r="C278" t="s">
        <v>685</v>
      </c>
      <c r="D278" t="s">
        <v>139</v>
      </c>
      <c r="E278" t="s">
        <v>140</v>
      </c>
      <c r="F278" t="s">
        <v>77</v>
      </c>
      <c r="G278">
        <v>22.7</v>
      </c>
      <c r="H278">
        <v>18.600000000000001</v>
      </c>
      <c r="I278">
        <v>3.9</v>
      </c>
      <c r="J278">
        <v>22.6</v>
      </c>
      <c r="K278">
        <v>53.1</v>
      </c>
      <c r="L278">
        <v>78.7</v>
      </c>
      <c r="M278">
        <v>65.5</v>
      </c>
      <c r="N278">
        <v>76.3</v>
      </c>
      <c r="O278">
        <v>86.5</v>
      </c>
      <c r="P278">
        <v>31.7</v>
      </c>
      <c r="Q278" t="s">
        <v>659</v>
      </c>
      <c r="R278" t="s">
        <v>685</v>
      </c>
      <c r="S278" t="s">
        <v>660</v>
      </c>
      <c r="T278">
        <v>4000</v>
      </c>
      <c r="U278">
        <v>28.2</v>
      </c>
      <c r="V278">
        <v>800</v>
      </c>
      <c r="W278">
        <v>32.4</v>
      </c>
      <c r="X278">
        <v>410</v>
      </c>
      <c r="Y278">
        <v>78.3</v>
      </c>
      <c r="Z278">
        <v>360</v>
      </c>
      <c r="AA278">
        <v>69.599999999999994</v>
      </c>
      <c r="AB278">
        <v>442</v>
      </c>
      <c r="AC278">
        <v>79.5</v>
      </c>
      <c r="AD278">
        <v>261</v>
      </c>
      <c r="AE278" t="s">
        <v>57</v>
      </c>
      <c r="AF278">
        <v>6</v>
      </c>
      <c r="AG278" t="s">
        <v>686</v>
      </c>
      <c r="AH278">
        <v>765</v>
      </c>
      <c r="AI278" t="s">
        <v>140</v>
      </c>
      <c r="AJ278" s="1">
        <v>44038</v>
      </c>
      <c r="AK278">
        <v>29.1</v>
      </c>
      <c r="AL278" s="2">
        <v>0.28000000000000003</v>
      </c>
      <c r="AM278" s="3">
        <v>2.3229166666666665</v>
      </c>
      <c r="AN278" t="s">
        <v>685</v>
      </c>
      <c r="AO278" t="s">
        <v>687</v>
      </c>
      <c r="AP278" t="b">
        <v>0</v>
      </c>
      <c r="AQ278" t="b">
        <v>0</v>
      </c>
      <c r="AR278" t="b">
        <v>0</v>
      </c>
    </row>
    <row r="279" spans="1:45" x14ac:dyDescent="0.3">
      <c r="A279">
        <v>368</v>
      </c>
      <c r="B279">
        <v>382</v>
      </c>
      <c r="C279" t="s">
        <v>1210</v>
      </c>
      <c r="D279" t="s">
        <v>796</v>
      </c>
      <c r="E279" t="s">
        <v>797</v>
      </c>
      <c r="F279" t="s">
        <v>56</v>
      </c>
      <c r="G279">
        <v>44.1</v>
      </c>
      <c r="H279">
        <v>21.8</v>
      </c>
      <c r="I279">
        <v>81.099999999999994</v>
      </c>
      <c r="J279">
        <v>4.7</v>
      </c>
      <c r="K279">
        <v>4.9000000000000004</v>
      </c>
      <c r="L279">
        <v>4.2</v>
      </c>
      <c r="M279">
        <v>57.2</v>
      </c>
      <c r="N279">
        <v>9.8000000000000007</v>
      </c>
      <c r="O279">
        <v>57.7</v>
      </c>
      <c r="P279">
        <v>31.4</v>
      </c>
      <c r="Q279" t="s">
        <v>696</v>
      </c>
      <c r="R279" t="s">
        <v>1210</v>
      </c>
      <c r="S279" t="s">
        <v>697</v>
      </c>
      <c r="T279">
        <v>7020</v>
      </c>
      <c r="U279">
        <v>39.299999999999997</v>
      </c>
      <c r="V279">
        <v>327</v>
      </c>
      <c r="W279">
        <v>25</v>
      </c>
      <c r="X279">
        <v>610</v>
      </c>
      <c r="Y279">
        <v>46.3</v>
      </c>
      <c r="Z279">
        <v>1087</v>
      </c>
      <c r="AA279">
        <v>78.599999999999994</v>
      </c>
      <c r="AB279">
        <v>281</v>
      </c>
      <c r="AC279">
        <v>48.7</v>
      </c>
      <c r="AD279">
        <v>841</v>
      </c>
      <c r="AE279" t="s">
        <v>57</v>
      </c>
      <c r="AF279">
        <v>0</v>
      </c>
      <c r="AG279" t="s">
        <v>1211</v>
      </c>
      <c r="AH279">
        <v>838</v>
      </c>
      <c r="AI279" t="s">
        <v>797</v>
      </c>
      <c r="AJ279" s="1">
        <v>28790</v>
      </c>
      <c r="AK279">
        <v>8.9</v>
      </c>
      <c r="AL279" s="2">
        <v>0.05</v>
      </c>
      <c r="AM279" s="3">
        <v>2.6916666666666669</v>
      </c>
      <c r="AN279" t="s">
        <v>1210</v>
      </c>
      <c r="AO279" t="s">
        <v>1212</v>
      </c>
      <c r="AP279" t="b">
        <v>0</v>
      </c>
      <c r="AQ279" t="b">
        <v>0</v>
      </c>
      <c r="AR279" t="b">
        <v>0</v>
      </c>
    </row>
    <row r="280" spans="1:45" x14ac:dyDescent="0.3">
      <c r="A280">
        <v>368</v>
      </c>
      <c r="B280">
        <v>498</v>
      </c>
      <c r="C280" t="s">
        <v>1213</v>
      </c>
      <c r="D280" t="s">
        <v>1214</v>
      </c>
      <c r="E280" t="s">
        <v>1215</v>
      </c>
      <c r="F280" t="s">
        <v>77</v>
      </c>
      <c r="G280">
        <v>32.9</v>
      </c>
      <c r="H280">
        <v>46.7</v>
      </c>
      <c r="I280">
        <v>19.5</v>
      </c>
      <c r="J280">
        <v>3.5</v>
      </c>
      <c r="K280">
        <v>21.2</v>
      </c>
      <c r="L280">
        <v>43.5</v>
      </c>
      <c r="M280">
        <v>67</v>
      </c>
      <c r="N280">
        <v>82.1</v>
      </c>
      <c r="O280">
        <v>39.5</v>
      </c>
      <c r="P280">
        <v>31.4</v>
      </c>
      <c r="Q280" t="s">
        <v>696</v>
      </c>
      <c r="R280" t="s">
        <v>1216</v>
      </c>
      <c r="S280" t="s">
        <v>697</v>
      </c>
      <c r="T280">
        <v>6830</v>
      </c>
      <c r="U280">
        <v>27.8</v>
      </c>
      <c r="V280">
        <v>816</v>
      </c>
      <c r="W280">
        <v>13.4</v>
      </c>
      <c r="X280">
        <v>1265</v>
      </c>
      <c r="Y280">
        <v>62.7</v>
      </c>
      <c r="Z280">
        <v>711</v>
      </c>
      <c r="AA280">
        <v>30.8</v>
      </c>
      <c r="AB280">
        <v>1162</v>
      </c>
      <c r="AC280">
        <v>67.099999999999994</v>
      </c>
      <c r="AD280">
        <v>444</v>
      </c>
      <c r="AE280" t="s">
        <v>57</v>
      </c>
      <c r="AF280">
        <v>0</v>
      </c>
      <c r="AG280" t="s">
        <v>1217</v>
      </c>
      <c r="AH280">
        <v>131487</v>
      </c>
      <c r="AI280" t="s">
        <v>1215</v>
      </c>
      <c r="AJ280" s="1">
        <v>25631</v>
      </c>
      <c r="AK280">
        <v>10.3</v>
      </c>
      <c r="AL280" s="2">
        <v>0.2</v>
      </c>
      <c r="AM280" s="3">
        <v>2.8965277777777776</v>
      </c>
      <c r="AN280" t="s">
        <v>1216</v>
      </c>
      <c r="AO280" t="s">
        <v>1218</v>
      </c>
      <c r="AP280" t="b">
        <v>0</v>
      </c>
      <c r="AQ280" t="b">
        <v>0</v>
      </c>
      <c r="AR280" t="b">
        <v>0</v>
      </c>
    </row>
    <row r="281" spans="1:45" x14ac:dyDescent="0.3">
      <c r="A281">
        <v>368</v>
      </c>
      <c r="B281">
        <v>360</v>
      </c>
      <c r="C281" t="s">
        <v>1219</v>
      </c>
      <c r="D281" t="s">
        <v>1134</v>
      </c>
      <c r="E281" t="s">
        <v>1135</v>
      </c>
      <c r="F281" t="s">
        <v>77</v>
      </c>
      <c r="G281">
        <v>20.6</v>
      </c>
      <c r="H281">
        <v>26.8</v>
      </c>
      <c r="I281">
        <v>3</v>
      </c>
      <c r="J281">
        <v>79.099999999999994</v>
      </c>
      <c r="K281">
        <v>2</v>
      </c>
      <c r="L281">
        <v>2</v>
      </c>
      <c r="M281">
        <v>86.2</v>
      </c>
      <c r="N281">
        <v>23.1</v>
      </c>
      <c r="O281">
        <v>4.7</v>
      </c>
      <c r="P281">
        <v>31.4</v>
      </c>
      <c r="Q281" t="s">
        <v>372</v>
      </c>
      <c r="R281" t="s">
        <v>1219</v>
      </c>
      <c r="S281" t="s">
        <v>374</v>
      </c>
      <c r="T281">
        <v>4870</v>
      </c>
      <c r="U281">
        <v>37.700000000000003</v>
      </c>
      <c r="V281">
        <v>367</v>
      </c>
      <c r="W281">
        <v>28.4</v>
      </c>
      <c r="X281">
        <v>506</v>
      </c>
      <c r="Y281">
        <v>71.900000000000006</v>
      </c>
      <c r="Z281">
        <v>512</v>
      </c>
      <c r="AA281">
        <v>60.5</v>
      </c>
      <c r="AB281">
        <v>636</v>
      </c>
      <c r="AC281">
        <v>33.6</v>
      </c>
      <c r="AD281">
        <v>1370</v>
      </c>
      <c r="AE281" t="s">
        <v>57</v>
      </c>
      <c r="AF281">
        <v>0</v>
      </c>
      <c r="AG281" t="s">
        <v>1220</v>
      </c>
      <c r="AH281">
        <v>131551</v>
      </c>
      <c r="AI281" t="s">
        <v>1137</v>
      </c>
      <c r="AJ281" s="1">
        <v>54890</v>
      </c>
      <c r="AK281">
        <v>26.6</v>
      </c>
      <c r="AL281" s="2">
        <v>0.02</v>
      </c>
      <c r="AM281">
        <v>0.27430555555555558</v>
      </c>
      <c r="AN281" t="s">
        <v>1219</v>
      </c>
      <c r="AO281" t="s">
        <v>1221</v>
      </c>
      <c r="AP281" t="b">
        <v>0</v>
      </c>
      <c r="AQ281" t="b">
        <v>0</v>
      </c>
      <c r="AR281" t="b">
        <v>0</v>
      </c>
    </row>
    <row r="282" spans="1:45" x14ac:dyDescent="0.3">
      <c r="A282">
        <v>371</v>
      </c>
      <c r="B282">
        <v>340</v>
      </c>
      <c r="C282" t="s">
        <v>1222</v>
      </c>
      <c r="D282" t="s">
        <v>45</v>
      </c>
      <c r="E282" t="s">
        <v>46</v>
      </c>
      <c r="F282" t="s">
        <v>56</v>
      </c>
      <c r="G282">
        <v>25.2</v>
      </c>
      <c r="H282">
        <v>28.8</v>
      </c>
      <c r="I282">
        <v>27.3</v>
      </c>
      <c r="J282">
        <v>27.5</v>
      </c>
      <c r="K282">
        <v>24.6</v>
      </c>
      <c r="L282">
        <v>34.4</v>
      </c>
      <c r="M282">
        <v>79.5</v>
      </c>
      <c r="N282">
        <v>74.5</v>
      </c>
      <c r="O282">
        <v>27.3</v>
      </c>
      <c r="P282">
        <v>31.3</v>
      </c>
      <c r="Q282" t="s">
        <v>292</v>
      </c>
      <c r="R282" t="s">
        <v>1222</v>
      </c>
      <c r="S282" t="s">
        <v>293</v>
      </c>
      <c r="T282">
        <v>2110</v>
      </c>
      <c r="U282">
        <v>48.2</v>
      </c>
      <c r="V282">
        <v>155</v>
      </c>
      <c r="W282">
        <v>35.700000000000003</v>
      </c>
      <c r="X282">
        <v>329</v>
      </c>
      <c r="Y282">
        <v>86</v>
      </c>
      <c r="Z282">
        <v>191</v>
      </c>
      <c r="AA282">
        <v>67.3</v>
      </c>
      <c r="AB282">
        <v>492</v>
      </c>
      <c r="AC282">
        <v>66.099999999999994</v>
      </c>
      <c r="AD282">
        <v>462</v>
      </c>
      <c r="AE282" t="s">
        <v>49</v>
      </c>
      <c r="AF282">
        <v>0</v>
      </c>
      <c r="AG282" t="s">
        <v>1223</v>
      </c>
      <c r="AH282">
        <v>600</v>
      </c>
      <c r="AI282" t="s">
        <v>46</v>
      </c>
      <c r="AJ282" s="1">
        <v>22211</v>
      </c>
      <c r="AK282">
        <v>13</v>
      </c>
      <c r="AL282" s="2">
        <v>0.14000000000000001</v>
      </c>
      <c r="AM282" s="3">
        <v>2.6097222222222221</v>
      </c>
      <c r="AN282" t="s">
        <v>1222</v>
      </c>
      <c r="AO282" t="s">
        <v>1224</v>
      </c>
      <c r="AP282" t="b">
        <v>0</v>
      </c>
      <c r="AQ282" t="b">
        <v>0</v>
      </c>
      <c r="AR282" t="b">
        <v>0</v>
      </c>
      <c r="AS282" t="s">
        <v>1225</v>
      </c>
    </row>
    <row r="283" spans="1:45" x14ac:dyDescent="0.3">
      <c r="A283">
        <v>371</v>
      </c>
      <c r="B283">
        <v>362</v>
      </c>
      <c r="C283" t="s">
        <v>1226</v>
      </c>
      <c r="D283" t="s">
        <v>281</v>
      </c>
      <c r="E283" t="s">
        <v>282</v>
      </c>
      <c r="F283" t="s">
        <v>388</v>
      </c>
      <c r="G283">
        <v>8.1999999999999993</v>
      </c>
      <c r="H283">
        <v>5</v>
      </c>
      <c r="I283">
        <v>31.8</v>
      </c>
      <c r="J283">
        <v>52.1</v>
      </c>
      <c r="K283">
        <v>100</v>
      </c>
      <c r="L283">
        <v>96.3</v>
      </c>
      <c r="M283">
        <v>20.2</v>
      </c>
      <c r="N283">
        <v>40</v>
      </c>
      <c r="O283">
        <v>48.9</v>
      </c>
      <c r="P283">
        <v>31.3</v>
      </c>
      <c r="Q283" t="s">
        <v>572</v>
      </c>
      <c r="R283" t="s">
        <v>1227</v>
      </c>
      <c r="S283" t="s">
        <v>574</v>
      </c>
      <c r="T283">
        <v>5540</v>
      </c>
      <c r="U283">
        <v>19.899999999999999</v>
      </c>
      <c r="V283">
        <v>1381</v>
      </c>
      <c r="W283">
        <v>18.7</v>
      </c>
      <c r="X283">
        <v>882</v>
      </c>
      <c r="Y283">
        <v>82.2</v>
      </c>
      <c r="Z283">
        <v>283</v>
      </c>
      <c r="AA283">
        <v>24.7</v>
      </c>
      <c r="AB283">
        <v>1343</v>
      </c>
      <c r="AC283">
        <v>80.2</v>
      </c>
      <c r="AD283">
        <v>253</v>
      </c>
      <c r="AE283" t="s">
        <v>57</v>
      </c>
      <c r="AF283">
        <v>0</v>
      </c>
      <c r="AG283" t="s">
        <v>1228</v>
      </c>
      <c r="AH283">
        <v>131741</v>
      </c>
      <c r="AI283" t="s">
        <v>55</v>
      </c>
      <c r="AJ283" s="1">
        <v>15020</v>
      </c>
      <c r="AK283">
        <v>16.100000000000001</v>
      </c>
      <c r="AL283" s="2">
        <v>0.13</v>
      </c>
      <c r="AM283" s="3">
        <v>2.3229166666666665</v>
      </c>
      <c r="AN283" t="s">
        <v>1227</v>
      </c>
      <c r="AO283" t="s">
        <v>1229</v>
      </c>
      <c r="AP283" t="b">
        <v>0</v>
      </c>
      <c r="AQ283" t="b">
        <v>0</v>
      </c>
      <c r="AR283" t="b">
        <v>0</v>
      </c>
    </row>
    <row r="284" spans="1:45" x14ac:dyDescent="0.3">
      <c r="A284">
        <v>371</v>
      </c>
      <c r="B284">
        <v>364</v>
      </c>
      <c r="C284" t="s">
        <v>1230</v>
      </c>
      <c r="D284" t="s">
        <v>442</v>
      </c>
      <c r="E284" t="s">
        <v>443</v>
      </c>
      <c r="F284" t="s">
        <v>77</v>
      </c>
      <c r="G284">
        <v>41.5</v>
      </c>
      <c r="H284">
        <v>7.2</v>
      </c>
      <c r="I284">
        <v>3.2</v>
      </c>
      <c r="J284">
        <v>33.299999999999997</v>
      </c>
      <c r="K284">
        <v>4.0999999999999996</v>
      </c>
      <c r="L284">
        <v>5.3</v>
      </c>
      <c r="M284">
        <v>87.5</v>
      </c>
      <c r="N284">
        <v>51.7</v>
      </c>
      <c r="O284">
        <v>83.6</v>
      </c>
      <c r="P284">
        <v>31.3</v>
      </c>
      <c r="Q284" t="s">
        <v>372</v>
      </c>
      <c r="R284" t="s">
        <v>1230</v>
      </c>
      <c r="S284" t="s">
        <v>374</v>
      </c>
      <c r="T284">
        <v>4920</v>
      </c>
      <c r="U284">
        <v>23</v>
      </c>
      <c r="V284">
        <v>1154</v>
      </c>
      <c r="W284">
        <v>30.1</v>
      </c>
      <c r="X284">
        <v>470</v>
      </c>
      <c r="Y284">
        <v>84.5</v>
      </c>
      <c r="Z284">
        <v>225</v>
      </c>
      <c r="AA284">
        <v>74.400000000000006</v>
      </c>
      <c r="AB284">
        <v>346</v>
      </c>
      <c r="AC284">
        <v>45.5</v>
      </c>
      <c r="AD284">
        <v>944</v>
      </c>
      <c r="AE284" t="s">
        <v>57</v>
      </c>
      <c r="AF284">
        <v>0</v>
      </c>
      <c r="AG284" t="s">
        <v>1231</v>
      </c>
      <c r="AH284">
        <v>884</v>
      </c>
      <c r="AI284" t="s">
        <v>443</v>
      </c>
      <c r="AJ284" s="1">
        <v>63232</v>
      </c>
      <c r="AK284">
        <v>29.5</v>
      </c>
      <c r="AL284" s="2">
        <v>0.06</v>
      </c>
      <c r="AM284" s="3">
        <v>2.5687500000000001</v>
      </c>
      <c r="AN284" t="s">
        <v>1230</v>
      </c>
      <c r="AO284" t="s">
        <v>1232</v>
      </c>
      <c r="AP284" t="b">
        <v>0</v>
      </c>
      <c r="AQ284" t="b">
        <v>0</v>
      </c>
      <c r="AR284" t="b">
        <v>0</v>
      </c>
    </row>
    <row r="285" spans="1:45" x14ac:dyDescent="0.3">
      <c r="A285">
        <v>375</v>
      </c>
      <c r="B285">
        <v>358</v>
      </c>
      <c r="C285" t="s">
        <v>1233</v>
      </c>
      <c r="D285" t="s">
        <v>442</v>
      </c>
      <c r="E285" t="s">
        <v>443</v>
      </c>
      <c r="F285" t="s">
        <v>77</v>
      </c>
      <c r="G285">
        <v>34.6</v>
      </c>
      <c r="H285">
        <v>8.4</v>
      </c>
      <c r="I285">
        <v>4.4000000000000004</v>
      </c>
      <c r="J285">
        <v>46.6</v>
      </c>
      <c r="K285">
        <v>7.3</v>
      </c>
      <c r="L285">
        <v>12.3</v>
      </c>
      <c r="M285">
        <v>88.5</v>
      </c>
      <c r="N285">
        <v>30.3</v>
      </c>
      <c r="O285">
        <v>74.5</v>
      </c>
      <c r="P285">
        <v>31.2</v>
      </c>
      <c r="Q285" t="s">
        <v>659</v>
      </c>
      <c r="R285" t="s">
        <v>1233</v>
      </c>
      <c r="S285" t="s">
        <v>660</v>
      </c>
      <c r="T285">
        <v>3660</v>
      </c>
      <c r="U285">
        <v>35.5</v>
      </c>
      <c r="V285">
        <v>445</v>
      </c>
      <c r="W285">
        <v>34.4</v>
      </c>
      <c r="X285">
        <v>367</v>
      </c>
      <c r="Y285">
        <v>78.599999999999994</v>
      </c>
      <c r="Z285">
        <v>352</v>
      </c>
      <c r="AA285">
        <v>72.900000000000006</v>
      </c>
      <c r="AB285">
        <v>370</v>
      </c>
      <c r="AC285">
        <v>51.9</v>
      </c>
      <c r="AD285">
        <v>740</v>
      </c>
      <c r="AE285" t="s">
        <v>57</v>
      </c>
      <c r="AF285">
        <v>0</v>
      </c>
      <c r="AG285" t="s">
        <v>1234</v>
      </c>
      <c r="AH285">
        <v>964</v>
      </c>
      <c r="AI285" t="s">
        <v>443</v>
      </c>
      <c r="AJ285" s="1">
        <v>40535</v>
      </c>
      <c r="AK285">
        <v>24</v>
      </c>
      <c r="AL285" s="2">
        <v>0.1</v>
      </c>
      <c r="AM285" s="3">
        <v>2.3638888888888889</v>
      </c>
      <c r="AN285" t="s">
        <v>1233</v>
      </c>
      <c r="AO285" t="s">
        <v>1235</v>
      </c>
      <c r="AP285" t="b">
        <v>0</v>
      </c>
      <c r="AQ285" t="b">
        <v>0</v>
      </c>
      <c r="AR285" t="b">
        <v>0</v>
      </c>
    </row>
    <row r="286" spans="1:45" x14ac:dyDescent="0.3">
      <c r="A286">
        <v>375</v>
      </c>
      <c r="B286">
        <v>315</v>
      </c>
      <c r="C286" t="s">
        <v>1236</v>
      </c>
      <c r="D286" t="s">
        <v>452</v>
      </c>
      <c r="E286" t="s">
        <v>453</v>
      </c>
      <c r="F286" t="s">
        <v>56</v>
      </c>
      <c r="G286">
        <v>27.8</v>
      </c>
      <c r="H286">
        <v>12.1</v>
      </c>
      <c r="I286">
        <v>52.3</v>
      </c>
      <c r="J286">
        <v>29.3</v>
      </c>
      <c r="K286">
        <v>33.200000000000003</v>
      </c>
      <c r="L286">
        <v>4.4000000000000004</v>
      </c>
      <c r="M286">
        <v>86.3</v>
      </c>
      <c r="N286">
        <v>39.9</v>
      </c>
      <c r="O286">
        <v>52.5</v>
      </c>
      <c r="P286">
        <v>31.2</v>
      </c>
      <c r="Q286" t="s">
        <v>614</v>
      </c>
      <c r="R286" t="s">
        <v>1236</v>
      </c>
      <c r="S286" t="s">
        <v>615</v>
      </c>
      <c r="T286">
        <v>3440</v>
      </c>
      <c r="U286">
        <v>31.6</v>
      </c>
      <c r="V286">
        <v>610</v>
      </c>
      <c r="W286">
        <v>34.9</v>
      </c>
      <c r="X286">
        <v>353</v>
      </c>
      <c r="Y286">
        <v>83.3</v>
      </c>
      <c r="Z286">
        <v>251</v>
      </c>
      <c r="AA286">
        <v>67</v>
      </c>
      <c r="AB286">
        <v>499</v>
      </c>
      <c r="AC286">
        <v>52.5</v>
      </c>
      <c r="AD286">
        <v>726</v>
      </c>
      <c r="AE286" t="s">
        <v>57</v>
      </c>
      <c r="AF286">
        <v>6</v>
      </c>
      <c r="AG286" t="s">
        <v>1237</v>
      </c>
      <c r="AH286">
        <v>861</v>
      </c>
      <c r="AI286" t="s">
        <v>453</v>
      </c>
      <c r="AJ286" s="1">
        <v>13528</v>
      </c>
      <c r="AK286">
        <v>15.7</v>
      </c>
      <c r="AL286" s="2">
        <v>0.06</v>
      </c>
      <c r="AM286" s="3">
        <v>2.6506944444444445</v>
      </c>
      <c r="AN286" t="s">
        <v>1236</v>
      </c>
      <c r="AO286" t="s">
        <v>1238</v>
      </c>
      <c r="AP286" t="b">
        <v>0</v>
      </c>
      <c r="AQ286" t="b">
        <v>0</v>
      </c>
      <c r="AR286" t="b">
        <v>0</v>
      </c>
    </row>
    <row r="287" spans="1:45" x14ac:dyDescent="0.3">
      <c r="A287">
        <v>269</v>
      </c>
      <c r="B287">
        <v>285</v>
      </c>
      <c r="C287" t="s">
        <v>1239</v>
      </c>
      <c r="D287" t="s">
        <v>95</v>
      </c>
      <c r="E287" t="s">
        <v>96</v>
      </c>
      <c r="F287" t="s">
        <v>56</v>
      </c>
      <c r="G287">
        <v>17.2</v>
      </c>
      <c r="H287">
        <v>13.5</v>
      </c>
      <c r="I287">
        <v>38.799999999999997</v>
      </c>
      <c r="J287">
        <v>99.5</v>
      </c>
      <c r="K287">
        <v>24.8</v>
      </c>
      <c r="L287">
        <v>25.4</v>
      </c>
      <c r="M287">
        <v>65.2</v>
      </c>
      <c r="N287">
        <v>32.4</v>
      </c>
      <c r="O287">
        <v>16.899999999999999</v>
      </c>
      <c r="P287">
        <v>38.6</v>
      </c>
      <c r="Q287" t="s">
        <v>292</v>
      </c>
      <c r="R287" t="s">
        <v>1239</v>
      </c>
      <c r="S287" t="s">
        <v>293</v>
      </c>
      <c r="T287">
        <v>2440</v>
      </c>
      <c r="U287">
        <v>46.1</v>
      </c>
      <c r="V287">
        <v>189</v>
      </c>
      <c r="W287">
        <v>47.6</v>
      </c>
      <c r="X287">
        <v>160</v>
      </c>
      <c r="Y287">
        <v>71.400000000000006</v>
      </c>
      <c r="Z287">
        <v>525</v>
      </c>
      <c r="AA287">
        <v>93.5</v>
      </c>
      <c r="AB287">
        <v>133</v>
      </c>
      <c r="AC287">
        <v>55.3</v>
      </c>
      <c r="AD287">
        <v>669</v>
      </c>
      <c r="AE287" t="s">
        <v>57</v>
      </c>
      <c r="AF287">
        <v>0</v>
      </c>
      <c r="AG287" t="s">
        <v>1240</v>
      </c>
      <c r="AH287">
        <v>975</v>
      </c>
      <c r="AI287" t="s">
        <v>98</v>
      </c>
      <c r="AJ287" s="1">
        <v>26486</v>
      </c>
      <c r="AK287">
        <v>8.9</v>
      </c>
      <c r="AL287" s="2">
        <v>0.13</v>
      </c>
      <c r="AN287" t="s">
        <v>1239</v>
      </c>
      <c r="AO287" t="s">
        <v>1241</v>
      </c>
      <c r="AP287" t="b">
        <v>0</v>
      </c>
      <c r="AQ287" t="b">
        <v>0</v>
      </c>
      <c r="AR287" t="b">
        <v>0</v>
      </c>
    </row>
    <row r="288" spans="1:45" x14ac:dyDescent="0.3">
      <c r="A288">
        <v>377</v>
      </c>
      <c r="B288">
        <v>355</v>
      </c>
      <c r="C288" t="s">
        <v>1242</v>
      </c>
      <c r="D288" t="s">
        <v>175</v>
      </c>
      <c r="E288" t="s">
        <v>176</v>
      </c>
      <c r="F288" t="s">
        <v>56</v>
      </c>
      <c r="G288">
        <v>36.6</v>
      </c>
      <c r="H288">
        <v>22.5</v>
      </c>
      <c r="I288">
        <v>54.7</v>
      </c>
      <c r="J288">
        <v>17.3</v>
      </c>
      <c r="K288">
        <v>12.4</v>
      </c>
      <c r="L288">
        <v>19.3</v>
      </c>
      <c r="M288">
        <v>66.900000000000006</v>
      </c>
      <c r="N288">
        <v>9.8000000000000007</v>
      </c>
      <c r="O288">
        <v>63.4</v>
      </c>
      <c r="P288">
        <v>31.1</v>
      </c>
      <c r="Q288" t="s">
        <v>659</v>
      </c>
      <c r="R288" t="s">
        <v>1242</v>
      </c>
      <c r="S288" t="s">
        <v>660</v>
      </c>
      <c r="T288">
        <v>3980</v>
      </c>
      <c r="U288">
        <v>51.8</v>
      </c>
      <c r="V288">
        <v>119</v>
      </c>
      <c r="W288">
        <v>42.6</v>
      </c>
      <c r="X288">
        <v>219</v>
      </c>
      <c r="Y288">
        <v>52.3</v>
      </c>
      <c r="Z288">
        <v>956</v>
      </c>
      <c r="AA288">
        <v>72.900000000000006</v>
      </c>
      <c r="AB288">
        <v>374</v>
      </c>
      <c r="AC288">
        <v>51.3</v>
      </c>
      <c r="AD288">
        <v>764</v>
      </c>
      <c r="AE288" t="s">
        <v>57</v>
      </c>
      <c r="AF288">
        <v>0</v>
      </c>
      <c r="AG288" t="s">
        <v>1243</v>
      </c>
      <c r="AH288">
        <v>735</v>
      </c>
      <c r="AI288" t="s">
        <v>176</v>
      </c>
      <c r="AJ288" s="1">
        <v>15506</v>
      </c>
      <c r="AK288">
        <v>12.1</v>
      </c>
      <c r="AL288" s="2">
        <v>0.16</v>
      </c>
      <c r="AM288" t="s">
        <v>1244</v>
      </c>
      <c r="AN288" t="s">
        <v>1242</v>
      </c>
      <c r="AO288" t="s">
        <v>1245</v>
      </c>
      <c r="AP288" t="b">
        <v>0</v>
      </c>
      <c r="AQ288" t="b">
        <v>0</v>
      </c>
      <c r="AR288" t="b">
        <v>0</v>
      </c>
    </row>
    <row r="289" spans="1:45" x14ac:dyDescent="0.3">
      <c r="A289">
        <v>380</v>
      </c>
      <c r="B289">
        <v>336</v>
      </c>
      <c r="C289" t="s">
        <v>1246</v>
      </c>
      <c r="D289" t="s">
        <v>54</v>
      </c>
      <c r="E289" t="s">
        <v>55</v>
      </c>
      <c r="F289" t="s">
        <v>56</v>
      </c>
      <c r="G289">
        <v>15.4</v>
      </c>
      <c r="H289">
        <v>10</v>
      </c>
      <c r="I289">
        <v>14.6</v>
      </c>
      <c r="J289">
        <v>45.7</v>
      </c>
      <c r="K289">
        <v>95.1</v>
      </c>
      <c r="L289">
        <v>49.8</v>
      </c>
      <c r="M289">
        <v>78.8</v>
      </c>
      <c r="N289">
        <v>34</v>
      </c>
      <c r="O289">
        <v>40.4</v>
      </c>
      <c r="P289">
        <v>30.8</v>
      </c>
      <c r="Q289" t="s">
        <v>372</v>
      </c>
      <c r="R289" t="s">
        <v>1246</v>
      </c>
      <c r="S289" t="s">
        <v>374</v>
      </c>
      <c r="T289">
        <v>4470</v>
      </c>
      <c r="U289">
        <v>27.6</v>
      </c>
      <c r="V289">
        <v>833</v>
      </c>
      <c r="W289">
        <v>29</v>
      </c>
      <c r="X289">
        <v>496</v>
      </c>
      <c r="Y289">
        <v>77.599999999999994</v>
      </c>
      <c r="Z289">
        <v>379</v>
      </c>
      <c r="AA289">
        <v>51.9</v>
      </c>
      <c r="AB289">
        <v>775</v>
      </c>
      <c r="AC289">
        <v>93.5</v>
      </c>
      <c r="AD289">
        <v>73</v>
      </c>
      <c r="AE289" t="s">
        <v>57</v>
      </c>
      <c r="AF289">
        <v>0</v>
      </c>
      <c r="AG289" t="s">
        <v>1247</v>
      </c>
      <c r="AH289">
        <v>832</v>
      </c>
      <c r="AI289" t="s">
        <v>55</v>
      </c>
      <c r="AJ289" s="1">
        <v>16515</v>
      </c>
      <c r="AK289">
        <v>18</v>
      </c>
      <c r="AL289" s="2">
        <v>0.27</v>
      </c>
      <c r="AM289" s="3">
        <v>2.2409722222222221</v>
      </c>
      <c r="AN289" t="s">
        <v>1246</v>
      </c>
      <c r="AO289" t="s">
        <v>1248</v>
      </c>
      <c r="AP289" t="b">
        <v>0</v>
      </c>
      <c r="AQ289" t="b">
        <v>0</v>
      </c>
      <c r="AR289" t="b">
        <v>0</v>
      </c>
    </row>
    <row r="290" spans="1:45" x14ac:dyDescent="0.3">
      <c r="A290">
        <v>382</v>
      </c>
      <c r="B290">
        <v>349</v>
      </c>
      <c r="C290" t="s">
        <v>1249</v>
      </c>
      <c r="D290" t="s">
        <v>442</v>
      </c>
      <c r="E290" t="s">
        <v>443</v>
      </c>
      <c r="F290" t="s">
        <v>56</v>
      </c>
      <c r="G290">
        <v>40.4</v>
      </c>
      <c r="H290">
        <v>15.1</v>
      </c>
      <c r="I290">
        <v>8.6</v>
      </c>
      <c r="J290">
        <v>38.799999999999997</v>
      </c>
      <c r="K290">
        <v>5.9</v>
      </c>
      <c r="L290">
        <v>4.2</v>
      </c>
      <c r="M290">
        <v>88.3</v>
      </c>
      <c r="N290">
        <v>15</v>
      </c>
      <c r="O290">
        <v>56.7</v>
      </c>
      <c r="P290">
        <v>30.7</v>
      </c>
      <c r="Q290" t="s">
        <v>372</v>
      </c>
      <c r="R290" t="s">
        <v>1249</v>
      </c>
      <c r="S290" t="s">
        <v>374</v>
      </c>
      <c r="T290">
        <v>4670</v>
      </c>
      <c r="U290">
        <v>31.1</v>
      </c>
      <c r="V290">
        <v>638</v>
      </c>
      <c r="W290">
        <v>31.2</v>
      </c>
      <c r="X290">
        <v>438</v>
      </c>
      <c r="Y290">
        <v>80.5</v>
      </c>
      <c r="Z290">
        <v>311</v>
      </c>
      <c r="AA290">
        <v>68.7</v>
      </c>
      <c r="AB290">
        <v>463</v>
      </c>
      <c r="AC290">
        <v>43.2</v>
      </c>
      <c r="AD290">
        <v>1013</v>
      </c>
      <c r="AE290" t="s">
        <v>57</v>
      </c>
      <c r="AF290">
        <v>0</v>
      </c>
      <c r="AG290" t="s">
        <v>1250</v>
      </c>
      <c r="AH290">
        <v>795</v>
      </c>
      <c r="AI290" t="s">
        <v>443</v>
      </c>
      <c r="AJ290" s="1">
        <v>31567</v>
      </c>
      <c r="AK290">
        <v>20.9</v>
      </c>
      <c r="AL290" s="2">
        <v>0.05</v>
      </c>
      <c r="AM290" s="3">
        <v>2.2000000000000002</v>
      </c>
      <c r="AN290" t="s">
        <v>1249</v>
      </c>
      <c r="AO290" t="s">
        <v>1251</v>
      </c>
      <c r="AP290" t="b">
        <v>0</v>
      </c>
      <c r="AQ290" t="b">
        <v>0</v>
      </c>
      <c r="AR290" t="b">
        <v>0</v>
      </c>
    </row>
    <row r="291" spans="1:45" x14ac:dyDescent="0.3">
      <c r="A291">
        <v>383</v>
      </c>
      <c r="B291">
        <v>427</v>
      </c>
      <c r="C291" t="s">
        <v>1252</v>
      </c>
      <c r="D291" t="s">
        <v>758</v>
      </c>
      <c r="E291" t="s">
        <v>759</v>
      </c>
      <c r="F291" t="s">
        <v>56</v>
      </c>
      <c r="G291">
        <v>10</v>
      </c>
      <c r="H291">
        <v>12</v>
      </c>
      <c r="I291">
        <v>5.5</v>
      </c>
      <c r="J291">
        <v>100</v>
      </c>
      <c r="L291">
        <v>1.3</v>
      </c>
      <c r="M291">
        <v>89.2</v>
      </c>
      <c r="N291">
        <v>5.9</v>
      </c>
      <c r="O291">
        <v>24.7</v>
      </c>
      <c r="P291">
        <v>30.6</v>
      </c>
      <c r="Q291" t="s">
        <v>572</v>
      </c>
      <c r="R291" t="s">
        <v>1252</v>
      </c>
      <c r="S291" t="s">
        <v>574</v>
      </c>
      <c r="T291">
        <v>5100</v>
      </c>
      <c r="U291">
        <v>32</v>
      </c>
      <c r="V291">
        <v>589</v>
      </c>
      <c r="W291">
        <v>26.3</v>
      </c>
      <c r="X291">
        <v>561</v>
      </c>
      <c r="Y291">
        <v>72.400000000000006</v>
      </c>
      <c r="Z291">
        <v>499</v>
      </c>
      <c r="AA291">
        <v>51</v>
      </c>
      <c r="AB291">
        <v>791</v>
      </c>
      <c r="AC291">
        <v>20.399999999999999</v>
      </c>
      <c r="AD291">
        <v>1852</v>
      </c>
      <c r="AE291" t="s">
        <v>57</v>
      </c>
      <c r="AF291">
        <v>0</v>
      </c>
      <c r="AG291" t="s">
        <v>1253</v>
      </c>
      <c r="AH291">
        <v>624381</v>
      </c>
      <c r="AI291" t="s">
        <v>759</v>
      </c>
      <c r="AJ291" s="1">
        <v>12824</v>
      </c>
      <c r="AK291">
        <v>13.1</v>
      </c>
      <c r="AL291" s="2">
        <v>0.01</v>
      </c>
      <c r="AM291" s="3">
        <v>1.7493055555555554</v>
      </c>
      <c r="AN291" t="s">
        <v>1252</v>
      </c>
      <c r="AO291" t="s">
        <v>1254</v>
      </c>
      <c r="AP291" t="b">
        <v>0</v>
      </c>
      <c r="AQ291" t="b">
        <v>0</v>
      </c>
      <c r="AR291" t="b">
        <v>0</v>
      </c>
    </row>
    <row r="292" spans="1:45" x14ac:dyDescent="0.3">
      <c r="A292">
        <v>384</v>
      </c>
      <c r="B292">
        <v>375</v>
      </c>
      <c r="C292" t="s">
        <v>1255</v>
      </c>
      <c r="D292" t="s">
        <v>87</v>
      </c>
      <c r="E292" t="s">
        <v>88</v>
      </c>
      <c r="F292" t="s">
        <v>77</v>
      </c>
      <c r="G292">
        <v>19.899999999999999</v>
      </c>
      <c r="H292">
        <v>14.2</v>
      </c>
      <c r="I292">
        <v>4.8</v>
      </c>
      <c r="J292">
        <v>31</v>
      </c>
      <c r="K292">
        <v>100</v>
      </c>
      <c r="L292">
        <v>45.5</v>
      </c>
      <c r="M292">
        <v>87.4</v>
      </c>
      <c r="N292">
        <v>8.9</v>
      </c>
      <c r="O292">
        <v>89.2</v>
      </c>
      <c r="P292">
        <v>30.5</v>
      </c>
      <c r="Q292" t="s">
        <v>614</v>
      </c>
      <c r="R292" t="s">
        <v>1256</v>
      </c>
      <c r="S292" t="s">
        <v>615</v>
      </c>
      <c r="T292">
        <v>3480</v>
      </c>
      <c r="U292">
        <v>29.5</v>
      </c>
      <c r="V292">
        <v>724</v>
      </c>
      <c r="W292">
        <v>31.7</v>
      </c>
      <c r="X292">
        <v>424</v>
      </c>
      <c r="Y292">
        <v>87.7</v>
      </c>
      <c r="Z292">
        <v>158</v>
      </c>
      <c r="AA292">
        <v>51.5</v>
      </c>
      <c r="AB292">
        <v>784</v>
      </c>
      <c r="AC292">
        <v>87.2</v>
      </c>
      <c r="AD292">
        <v>163</v>
      </c>
      <c r="AE292" t="s">
        <v>57</v>
      </c>
      <c r="AF292">
        <v>0</v>
      </c>
      <c r="AG292" t="s">
        <v>1257</v>
      </c>
      <c r="AH292">
        <v>1014</v>
      </c>
      <c r="AI292" t="s">
        <v>88</v>
      </c>
      <c r="AJ292" s="1">
        <v>35590</v>
      </c>
      <c r="AK292">
        <v>41.8</v>
      </c>
      <c r="AL292" s="2">
        <v>0.21</v>
      </c>
      <c r="AM292" s="3">
        <v>2.4868055555555557</v>
      </c>
      <c r="AN292" t="s">
        <v>1258</v>
      </c>
      <c r="AO292" t="s">
        <v>1259</v>
      </c>
      <c r="AP292" t="b">
        <v>0</v>
      </c>
      <c r="AQ292" t="b">
        <v>0</v>
      </c>
      <c r="AR292" t="b">
        <v>0</v>
      </c>
    </row>
    <row r="293" spans="1:45" x14ac:dyDescent="0.3">
      <c r="A293">
        <v>385</v>
      </c>
      <c r="B293">
        <v>387</v>
      </c>
      <c r="C293" t="s">
        <v>1260</v>
      </c>
      <c r="D293" t="s">
        <v>1261</v>
      </c>
      <c r="E293" t="s">
        <v>1262</v>
      </c>
      <c r="F293" t="s">
        <v>388</v>
      </c>
      <c r="G293">
        <v>20.2</v>
      </c>
      <c r="H293">
        <v>8.8000000000000007</v>
      </c>
      <c r="I293">
        <v>92.9</v>
      </c>
      <c r="J293">
        <v>9.9</v>
      </c>
      <c r="K293">
        <v>100</v>
      </c>
      <c r="L293">
        <v>46.5</v>
      </c>
      <c r="M293">
        <v>35.4</v>
      </c>
      <c r="N293">
        <v>56.5</v>
      </c>
      <c r="O293">
        <v>12.7</v>
      </c>
      <c r="P293">
        <v>30.4</v>
      </c>
      <c r="Q293" t="s">
        <v>372</v>
      </c>
      <c r="R293" t="s">
        <v>1263</v>
      </c>
      <c r="S293" t="s">
        <v>374</v>
      </c>
      <c r="T293">
        <v>4100</v>
      </c>
      <c r="U293">
        <v>28.5</v>
      </c>
      <c r="V293">
        <v>770</v>
      </c>
      <c r="W293">
        <v>28.9</v>
      </c>
      <c r="X293">
        <v>497</v>
      </c>
      <c r="Y293">
        <v>76</v>
      </c>
      <c r="Z293">
        <v>416</v>
      </c>
      <c r="AA293">
        <v>22.9</v>
      </c>
      <c r="AB293">
        <v>1403</v>
      </c>
      <c r="AC293">
        <v>75.7</v>
      </c>
      <c r="AD293">
        <v>317</v>
      </c>
      <c r="AE293" t="s">
        <v>57</v>
      </c>
      <c r="AF293">
        <v>0</v>
      </c>
      <c r="AG293" t="s">
        <v>1264</v>
      </c>
      <c r="AH293">
        <v>625257</v>
      </c>
      <c r="AI293" t="s">
        <v>1265</v>
      </c>
      <c r="AJ293" s="1">
        <v>3503</v>
      </c>
      <c r="AK293">
        <v>11.3</v>
      </c>
      <c r="AL293" s="2">
        <v>0.14000000000000001</v>
      </c>
      <c r="AM293" s="3">
        <v>2.7736111111111112</v>
      </c>
      <c r="AN293" t="s">
        <v>1263</v>
      </c>
      <c r="AO293" t="s">
        <v>1266</v>
      </c>
      <c r="AP293" t="b">
        <v>0</v>
      </c>
      <c r="AQ293" t="b">
        <v>0</v>
      </c>
      <c r="AR293" t="b">
        <v>0</v>
      </c>
    </row>
    <row r="294" spans="1:45" x14ac:dyDescent="0.3">
      <c r="A294">
        <v>387</v>
      </c>
      <c r="B294">
        <v>387</v>
      </c>
      <c r="C294" t="s">
        <v>1267</v>
      </c>
      <c r="D294" t="s">
        <v>1268</v>
      </c>
      <c r="E294" t="s">
        <v>1269</v>
      </c>
      <c r="F294" t="s">
        <v>56</v>
      </c>
      <c r="G294">
        <v>28.4</v>
      </c>
      <c r="H294">
        <v>40.700000000000003</v>
      </c>
      <c r="I294">
        <v>93</v>
      </c>
      <c r="J294">
        <v>1.3</v>
      </c>
      <c r="K294">
        <v>3.8</v>
      </c>
      <c r="L294">
        <v>59.3</v>
      </c>
      <c r="M294">
        <v>36.4</v>
      </c>
      <c r="N294">
        <v>38.200000000000003</v>
      </c>
      <c r="O294">
        <v>1</v>
      </c>
      <c r="P294">
        <v>30.3</v>
      </c>
      <c r="Q294" t="s">
        <v>621</v>
      </c>
      <c r="R294" t="s">
        <v>1267</v>
      </c>
      <c r="S294" t="s">
        <v>622</v>
      </c>
      <c r="T294">
        <v>12260</v>
      </c>
      <c r="U294">
        <v>25.5</v>
      </c>
      <c r="V294">
        <v>969</v>
      </c>
      <c r="W294">
        <v>11.5</v>
      </c>
      <c r="X294">
        <v>1458</v>
      </c>
      <c r="Y294">
        <v>17</v>
      </c>
      <c r="Z294">
        <v>1731</v>
      </c>
      <c r="AA294">
        <v>55.4</v>
      </c>
      <c r="AB294">
        <v>718</v>
      </c>
      <c r="AC294">
        <v>66.8</v>
      </c>
      <c r="AD294">
        <v>449</v>
      </c>
      <c r="AE294" t="s">
        <v>57</v>
      </c>
      <c r="AF294">
        <v>0</v>
      </c>
      <c r="AG294" t="s">
        <v>1270</v>
      </c>
      <c r="AH294">
        <v>131559</v>
      </c>
      <c r="AI294" t="s">
        <v>1269</v>
      </c>
      <c r="AJ294" s="1">
        <v>23030</v>
      </c>
      <c r="AK294">
        <v>7.6</v>
      </c>
      <c r="AL294" s="2">
        <v>0.19</v>
      </c>
      <c r="AM294" s="3">
        <v>2.6097222222222221</v>
      </c>
      <c r="AN294" t="s">
        <v>1267</v>
      </c>
      <c r="AO294" t="s">
        <v>1271</v>
      </c>
      <c r="AP294" t="b">
        <v>0</v>
      </c>
      <c r="AQ294" t="b">
        <v>0</v>
      </c>
      <c r="AR294" t="b">
        <v>1</v>
      </c>
    </row>
    <row r="295" spans="1:45" x14ac:dyDescent="0.3">
      <c r="A295">
        <v>389</v>
      </c>
      <c r="B295">
        <v>302</v>
      </c>
      <c r="C295" t="s">
        <v>1272</v>
      </c>
      <c r="D295" t="s">
        <v>45</v>
      </c>
      <c r="E295" t="s">
        <v>46</v>
      </c>
      <c r="F295" t="s">
        <v>77</v>
      </c>
      <c r="G295">
        <v>26.4</v>
      </c>
      <c r="H295">
        <v>26.2</v>
      </c>
      <c r="I295">
        <v>18.899999999999999</v>
      </c>
      <c r="J295">
        <v>28.4</v>
      </c>
      <c r="K295">
        <v>71.8</v>
      </c>
      <c r="L295">
        <v>16.5</v>
      </c>
      <c r="M295">
        <v>82.6</v>
      </c>
      <c r="N295">
        <v>24</v>
      </c>
      <c r="O295">
        <v>34.799999999999997</v>
      </c>
      <c r="P295">
        <v>30.1</v>
      </c>
      <c r="Q295" t="s">
        <v>486</v>
      </c>
      <c r="R295" t="s">
        <v>1272</v>
      </c>
      <c r="S295" t="s">
        <v>487</v>
      </c>
      <c r="T295">
        <v>3000</v>
      </c>
      <c r="U295">
        <v>42.5</v>
      </c>
      <c r="V295">
        <v>253</v>
      </c>
      <c r="W295">
        <v>39.4</v>
      </c>
      <c r="X295">
        <v>257</v>
      </c>
      <c r="Y295">
        <v>78.8</v>
      </c>
      <c r="Z295">
        <v>349</v>
      </c>
      <c r="AA295">
        <v>76.7</v>
      </c>
      <c r="AB295">
        <v>306</v>
      </c>
      <c r="AC295">
        <v>65.400000000000006</v>
      </c>
      <c r="AD295">
        <v>477</v>
      </c>
      <c r="AE295" t="s">
        <v>208</v>
      </c>
      <c r="AF295">
        <v>11</v>
      </c>
      <c r="AG295" t="s">
        <v>1273</v>
      </c>
      <c r="AH295">
        <v>737</v>
      </c>
      <c r="AI295" t="s">
        <v>46</v>
      </c>
      <c r="AJ295" s="1">
        <v>37225</v>
      </c>
      <c r="AK295">
        <v>18.600000000000001</v>
      </c>
      <c r="AL295" s="2">
        <v>0.13</v>
      </c>
      <c r="AM295" s="3">
        <v>1.8722222222222222</v>
      </c>
      <c r="AN295" t="s">
        <v>1274</v>
      </c>
      <c r="AO295" t="s">
        <v>1275</v>
      </c>
      <c r="AP295" t="b">
        <v>0</v>
      </c>
      <c r="AQ295" t="b">
        <v>0</v>
      </c>
      <c r="AR295" t="b">
        <v>0</v>
      </c>
    </row>
    <row r="296" spans="1:45" x14ac:dyDescent="0.3">
      <c r="A296">
        <v>392</v>
      </c>
      <c r="B296">
        <v>387</v>
      </c>
      <c r="C296" t="s">
        <v>1276</v>
      </c>
      <c r="D296" t="s">
        <v>297</v>
      </c>
      <c r="E296" t="s">
        <v>298</v>
      </c>
      <c r="F296" t="s">
        <v>47</v>
      </c>
      <c r="G296">
        <v>27.6</v>
      </c>
      <c r="H296">
        <v>37.9</v>
      </c>
      <c r="I296">
        <v>43.5</v>
      </c>
      <c r="J296">
        <v>29.4</v>
      </c>
      <c r="K296">
        <v>19.7</v>
      </c>
      <c r="L296">
        <v>25.5</v>
      </c>
      <c r="M296">
        <v>29.8</v>
      </c>
      <c r="N296">
        <v>19.899999999999999</v>
      </c>
      <c r="O296">
        <v>38.799999999999997</v>
      </c>
      <c r="P296">
        <v>30</v>
      </c>
      <c r="Q296" t="s">
        <v>372</v>
      </c>
      <c r="R296" t="s">
        <v>1276</v>
      </c>
      <c r="S296" t="s">
        <v>374</v>
      </c>
      <c r="T296">
        <v>4590</v>
      </c>
      <c r="U296">
        <v>33.200000000000003</v>
      </c>
      <c r="V296">
        <v>538</v>
      </c>
      <c r="W296">
        <v>36.9</v>
      </c>
      <c r="X296">
        <v>306</v>
      </c>
      <c r="Y296">
        <v>63.8</v>
      </c>
      <c r="Z296">
        <v>695</v>
      </c>
      <c r="AA296">
        <v>93.2</v>
      </c>
      <c r="AB296">
        <v>134</v>
      </c>
      <c r="AC296">
        <v>56.4</v>
      </c>
      <c r="AD296">
        <v>656</v>
      </c>
      <c r="AE296" t="s">
        <v>57</v>
      </c>
      <c r="AF296">
        <v>0</v>
      </c>
      <c r="AG296" t="s">
        <v>1277</v>
      </c>
      <c r="AH296">
        <v>793</v>
      </c>
      <c r="AI296" t="s">
        <v>298</v>
      </c>
      <c r="AJ296" s="1">
        <v>9221</v>
      </c>
      <c r="AK296">
        <v>18.5</v>
      </c>
      <c r="AL296" s="2">
        <v>0.19</v>
      </c>
      <c r="AM296" t="s">
        <v>587</v>
      </c>
      <c r="AN296" t="s">
        <v>1276</v>
      </c>
      <c r="AO296" t="s">
        <v>1278</v>
      </c>
      <c r="AP296" t="b">
        <v>0</v>
      </c>
      <c r="AQ296" t="b">
        <v>0</v>
      </c>
      <c r="AR296" t="b">
        <v>0</v>
      </c>
    </row>
    <row r="297" spans="1:45" x14ac:dyDescent="0.3">
      <c r="A297">
        <v>393</v>
      </c>
      <c r="B297">
        <v>444</v>
      </c>
      <c r="C297" t="s">
        <v>1279</v>
      </c>
      <c r="D297" t="s">
        <v>1075</v>
      </c>
      <c r="E297" t="s">
        <v>1076</v>
      </c>
      <c r="F297" t="s">
        <v>77</v>
      </c>
      <c r="G297">
        <v>26.7</v>
      </c>
      <c r="H297">
        <v>33.200000000000003</v>
      </c>
      <c r="I297">
        <v>2.1</v>
      </c>
      <c r="J297">
        <v>31</v>
      </c>
      <c r="K297">
        <v>9.9</v>
      </c>
      <c r="L297">
        <v>15.9</v>
      </c>
      <c r="M297">
        <v>86.6</v>
      </c>
      <c r="N297">
        <v>85.8</v>
      </c>
      <c r="O297">
        <v>29.3</v>
      </c>
      <c r="P297">
        <v>29.9</v>
      </c>
      <c r="Q297" t="s">
        <v>572</v>
      </c>
      <c r="R297" t="s">
        <v>1279</v>
      </c>
      <c r="S297" t="s">
        <v>574</v>
      </c>
      <c r="T297">
        <v>5650</v>
      </c>
      <c r="U297">
        <v>22.6</v>
      </c>
      <c r="V297">
        <v>1179</v>
      </c>
      <c r="W297">
        <v>23.9</v>
      </c>
      <c r="X297">
        <v>659</v>
      </c>
      <c r="Y297">
        <v>77.3</v>
      </c>
      <c r="Z297">
        <v>387</v>
      </c>
      <c r="AA297">
        <v>89.8</v>
      </c>
      <c r="AB297">
        <v>168</v>
      </c>
      <c r="AC297">
        <v>56.6</v>
      </c>
      <c r="AD297">
        <v>651</v>
      </c>
      <c r="AE297" t="s">
        <v>57</v>
      </c>
      <c r="AF297">
        <v>0</v>
      </c>
      <c r="AG297" t="s">
        <v>1280</v>
      </c>
      <c r="AH297">
        <v>131656</v>
      </c>
      <c r="AI297" t="s">
        <v>1076</v>
      </c>
      <c r="AJ297" s="1">
        <v>67934</v>
      </c>
      <c r="AK297">
        <v>34</v>
      </c>
      <c r="AL297" s="2">
        <v>0.11</v>
      </c>
      <c r="AM297" s="3">
        <v>2.4868055555555557</v>
      </c>
      <c r="AN297" t="s">
        <v>1279</v>
      </c>
      <c r="AO297" t="s">
        <v>1281</v>
      </c>
      <c r="AP297" t="b">
        <v>0</v>
      </c>
      <c r="AQ297" t="b">
        <v>0</v>
      </c>
      <c r="AR297" t="b">
        <v>0</v>
      </c>
    </row>
    <row r="298" spans="1:45" x14ac:dyDescent="0.3">
      <c r="A298">
        <v>393</v>
      </c>
      <c r="B298">
        <v>332</v>
      </c>
      <c r="C298" t="s">
        <v>1282</v>
      </c>
      <c r="D298" t="s">
        <v>45</v>
      </c>
      <c r="E298" t="s">
        <v>46</v>
      </c>
      <c r="F298" t="s">
        <v>56</v>
      </c>
      <c r="G298">
        <v>17.7</v>
      </c>
      <c r="H298">
        <v>5.9</v>
      </c>
      <c r="I298">
        <v>7.4</v>
      </c>
      <c r="J298">
        <v>65.3</v>
      </c>
      <c r="K298">
        <v>53.4</v>
      </c>
      <c r="L298">
        <v>7</v>
      </c>
      <c r="M298">
        <v>64.5</v>
      </c>
      <c r="N298">
        <v>6.1</v>
      </c>
      <c r="O298">
        <v>83.6</v>
      </c>
      <c r="P298">
        <v>29.9</v>
      </c>
      <c r="Q298" t="s">
        <v>292</v>
      </c>
      <c r="R298" t="s">
        <v>1282</v>
      </c>
      <c r="S298" t="s">
        <v>293</v>
      </c>
      <c r="T298">
        <v>2080</v>
      </c>
      <c r="U298">
        <v>34.9</v>
      </c>
      <c r="V298">
        <v>465</v>
      </c>
      <c r="W298">
        <v>39.799999999999997</v>
      </c>
      <c r="X298">
        <v>251</v>
      </c>
      <c r="Y298">
        <v>93.3</v>
      </c>
      <c r="Z298">
        <v>70</v>
      </c>
      <c r="AA298">
        <v>73.2</v>
      </c>
      <c r="AB298">
        <v>363</v>
      </c>
      <c r="AC298">
        <v>77.900000000000006</v>
      </c>
      <c r="AD298">
        <v>280</v>
      </c>
      <c r="AE298" t="s">
        <v>208</v>
      </c>
      <c r="AF298">
        <v>0</v>
      </c>
      <c r="AG298" t="s">
        <v>1283</v>
      </c>
      <c r="AH298">
        <v>574</v>
      </c>
      <c r="AI298" t="s">
        <v>46</v>
      </c>
      <c r="AJ298" s="1">
        <v>19154</v>
      </c>
      <c r="AK298">
        <v>24.2</v>
      </c>
      <c r="AL298" s="2">
        <v>0.12</v>
      </c>
      <c r="AM298" s="3">
        <v>1.9951388888888888</v>
      </c>
      <c r="AN298" t="s">
        <v>1282</v>
      </c>
      <c r="AO298" t="s">
        <v>1284</v>
      </c>
      <c r="AP298" t="b">
        <v>0</v>
      </c>
      <c r="AQ298" t="b">
        <v>0</v>
      </c>
      <c r="AR298" t="b">
        <v>0</v>
      </c>
      <c r="AS298" t="s">
        <v>1285</v>
      </c>
    </row>
    <row r="299" spans="1:45" x14ac:dyDescent="0.3">
      <c r="A299">
        <v>396</v>
      </c>
      <c r="B299">
        <v>436</v>
      </c>
      <c r="C299" t="s">
        <v>1286</v>
      </c>
      <c r="D299" t="s">
        <v>166</v>
      </c>
      <c r="E299" t="s">
        <v>167</v>
      </c>
      <c r="F299" t="s">
        <v>56</v>
      </c>
      <c r="G299">
        <v>10.8</v>
      </c>
      <c r="H299">
        <v>16.100000000000001</v>
      </c>
      <c r="I299">
        <v>11.9</v>
      </c>
      <c r="J299">
        <v>76.900000000000006</v>
      </c>
      <c r="K299">
        <v>23.8</v>
      </c>
      <c r="L299">
        <v>31.2</v>
      </c>
      <c r="M299">
        <v>64.099999999999994</v>
      </c>
      <c r="N299">
        <v>1.8</v>
      </c>
      <c r="O299">
        <v>45.9</v>
      </c>
      <c r="P299">
        <v>29.7</v>
      </c>
      <c r="Q299" t="s">
        <v>486</v>
      </c>
      <c r="R299" t="s">
        <v>1287</v>
      </c>
      <c r="S299" t="s">
        <v>487</v>
      </c>
      <c r="T299">
        <v>2860</v>
      </c>
      <c r="U299">
        <v>31.4</v>
      </c>
      <c r="V299">
        <v>622</v>
      </c>
      <c r="W299">
        <v>34.5</v>
      </c>
      <c r="X299">
        <v>362</v>
      </c>
      <c r="Y299">
        <v>94</v>
      </c>
      <c r="Z299">
        <v>58</v>
      </c>
      <c r="AA299">
        <v>73.8</v>
      </c>
      <c r="AB299">
        <v>353</v>
      </c>
      <c r="AC299">
        <v>68.599999999999994</v>
      </c>
      <c r="AD299">
        <v>425</v>
      </c>
      <c r="AE299" t="s">
        <v>57</v>
      </c>
      <c r="AF299">
        <v>0</v>
      </c>
      <c r="AG299" t="s">
        <v>1288</v>
      </c>
      <c r="AH299">
        <v>131620</v>
      </c>
      <c r="AI299" t="s">
        <v>167</v>
      </c>
      <c r="AJ299" s="1">
        <v>11678</v>
      </c>
      <c r="AK299">
        <v>18.899999999999999</v>
      </c>
      <c r="AL299" s="2">
        <v>0.15</v>
      </c>
      <c r="AM299" s="3">
        <v>2.1590277777777778</v>
      </c>
      <c r="AN299" t="s">
        <v>1287</v>
      </c>
      <c r="AO299" t="s">
        <v>1289</v>
      </c>
      <c r="AP299" t="b">
        <v>0</v>
      </c>
      <c r="AQ299" t="b">
        <v>0</v>
      </c>
      <c r="AR299" t="b">
        <v>0</v>
      </c>
    </row>
    <row r="300" spans="1:45" x14ac:dyDescent="0.3">
      <c r="A300">
        <v>396</v>
      </c>
      <c r="B300">
        <v>410</v>
      </c>
      <c r="C300" t="s">
        <v>1290</v>
      </c>
      <c r="D300" t="s">
        <v>87</v>
      </c>
      <c r="E300" t="s">
        <v>88</v>
      </c>
      <c r="F300" t="s">
        <v>47</v>
      </c>
      <c r="G300">
        <v>8.8000000000000007</v>
      </c>
      <c r="H300">
        <v>5.7</v>
      </c>
      <c r="I300">
        <v>4.8</v>
      </c>
      <c r="J300">
        <v>73.099999999999994</v>
      </c>
      <c r="K300">
        <v>84.1</v>
      </c>
      <c r="L300">
        <v>23</v>
      </c>
      <c r="M300">
        <v>81</v>
      </c>
      <c r="N300">
        <v>8.6</v>
      </c>
      <c r="O300">
        <v>43</v>
      </c>
      <c r="P300">
        <v>29.7</v>
      </c>
      <c r="Q300" t="s">
        <v>659</v>
      </c>
      <c r="R300" t="s">
        <v>1291</v>
      </c>
      <c r="S300" t="s">
        <v>660</v>
      </c>
      <c r="T300">
        <v>3930</v>
      </c>
      <c r="U300">
        <v>28.4</v>
      </c>
      <c r="V300">
        <v>783</v>
      </c>
      <c r="W300">
        <v>25.9</v>
      </c>
      <c r="X300">
        <v>575</v>
      </c>
      <c r="Y300">
        <v>88</v>
      </c>
      <c r="Z300">
        <v>154</v>
      </c>
      <c r="AA300">
        <v>46.9</v>
      </c>
      <c r="AB300">
        <v>866</v>
      </c>
      <c r="AC300">
        <v>81.8</v>
      </c>
      <c r="AD300">
        <v>227</v>
      </c>
      <c r="AE300" t="s">
        <v>57</v>
      </c>
      <c r="AF300">
        <v>1</v>
      </c>
      <c r="AG300" t="s">
        <v>1292</v>
      </c>
      <c r="AH300">
        <v>131305</v>
      </c>
      <c r="AI300" t="s">
        <v>88</v>
      </c>
      <c r="AJ300" s="1">
        <v>11650</v>
      </c>
      <c r="AK300">
        <v>24.8</v>
      </c>
      <c r="AL300" s="2">
        <v>0.15</v>
      </c>
      <c r="AM300" s="3">
        <v>2.6506944444444445</v>
      </c>
      <c r="AN300" t="s">
        <v>1293</v>
      </c>
      <c r="AO300" t="s">
        <v>1294</v>
      </c>
      <c r="AP300" t="b">
        <v>0</v>
      </c>
      <c r="AQ300" t="b">
        <v>0</v>
      </c>
      <c r="AR300" t="b">
        <v>0</v>
      </c>
    </row>
    <row r="301" spans="1:45" x14ac:dyDescent="0.3">
      <c r="A301">
        <v>401</v>
      </c>
      <c r="B301">
        <v>431</v>
      </c>
      <c r="C301" t="s">
        <v>1295</v>
      </c>
      <c r="D301" t="s">
        <v>962</v>
      </c>
      <c r="E301" t="s">
        <v>963</v>
      </c>
      <c r="F301" t="s">
        <v>47</v>
      </c>
      <c r="G301">
        <v>24.3</v>
      </c>
      <c r="H301">
        <v>54.6</v>
      </c>
      <c r="I301">
        <v>19.100000000000001</v>
      </c>
      <c r="J301">
        <v>32.4</v>
      </c>
      <c r="K301">
        <v>24.7</v>
      </c>
      <c r="L301">
        <v>13</v>
      </c>
      <c r="M301">
        <v>51.6</v>
      </c>
      <c r="N301">
        <v>6.8</v>
      </c>
      <c r="O301">
        <v>34.799999999999997</v>
      </c>
      <c r="P301">
        <v>29.6</v>
      </c>
      <c r="Q301" t="s">
        <v>659</v>
      </c>
      <c r="R301" t="s">
        <v>1295</v>
      </c>
      <c r="S301" t="s">
        <v>660</v>
      </c>
      <c r="T301">
        <v>3780</v>
      </c>
      <c r="U301">
        <v>31.8</v>
      </c>
      <c r="V301">
        <v>596</v>
      </c>
      <c r="W301">
        <v>40.5</v>
      </c>
      <c r="X301">
        <v>244</v>
      </c>
      <c r="Y301">
        <v>68.900000000000006</v>
      </c>
      <c r="Z301">
        <v>582</v>
      </c>
      <c r="AA301">
        <v>91.9</v>
      </c>
      <c r="AB301">
        <v>146</v>
      </c>
      <c r="AC301">
        <v>57.4</v>
      </c>
      <c r="AD301">
        <v>635</v>
      </c>
      <c r="AE301" t="s">
        <v>57</v>
      </c>
      <c r="AF301">
        <v>0</v>
      </c>
      <c r="AG301" t="s">
        <v>1296</v>
      </c>
      <c r="AH301">
        <v>875</v>
      </c>
      <c r="AI301" t="s">
        <v>963</v>
      </c>
      <c r="AJ301" s="1">
        <v>6427</v>
      </c>
      <c r="AK301">
        <v>19.5</v>
      </c>
      <c r="AL301" s="2">
        <v>0.09</v>
      </c>
      <c r="AM301" s="3">
        <v>2.0770833333333334</v>
      </c>
      <c r="AN301" t="s">
        <v>1297</v>
      </c>
      <c r="AO301" t="s">
        <v>1298</v>
      </c>
      <c r="AP301" t="b">
        <v>0</v>
      </c>
      <c r="AQ301" t="b">
        <v>0</v>
      </c>
      <c r="AR301" t="b">
        <v>0</v>
      </c>
    </row>
    <row r="302" spans="1:45" x14ac:dyDescent="0.3">
      <c r="A302">
        <v>403</v>
      </c>
      <c r="B302">
        <v>375</v>
      </c>
      <c r="C302" t="s">
        <v>1299</v>
      </c>
      <c r="D302" t="s">
        <v>1134</v>
      </c>
      <c r="E302" t="s">
        <v>1135</v>
      </c>
      <c r="F302" t="s">
        <v>47</v>
      </c>
      <c r="G302">
        <v>5.2</v>
      </c>
      <c r="H302">
        <v>20.5</v>
      </c>
      <c r="I302">
        <v>4.5999999999999996</v>
      </c>
      <c r="J302">
        <v>100</v>
      </c>
      <c r="K302">
        <v>24.6</v>
      </c>
      <c r="L302">
        <v>2.8</v>
      </c>
      <c r="M302">
        <v>70.2</v>
      </c>
      <c r="N302">
        <v>5.8</v>
      </c>
      <c r="O302">
        <v>1.6</v>
      </c>
      <c r="P302">
        <v>29.5</v>
      </c>
      <c r="Q302" t="s">
        <v>659</v>
      </c>
      <c r="R302" t="s">
        <v>1299</v>
      </c>
      <c r="S302" t="s">
        <v>660</v>
      </c>
      <c r="T302">
        <v>3520</v>
      </c>
      <c r="U302">
        <v>34.799999999999997</v>
      </c>
      <c r="V302">
        <v>468</v>
      </c>
      <c r="W302">
        <v>33.700000000000003</v>
      </c>
      <c r="X302">
        <v>385</v>
      </c>
      <c r="Y302">
        <v>77</v>
      </c>
      <c r="Z302">
        <v>394</v>
      </c>
      <c r="AA302">
        <v>85.1</v>
      </c>
      <c r="AB302">
        <v>207</v>
      </c>
      <c r="AC302">
        <v>38.799999999999997</v>
      </c>
      <c r="AD302">
        <v>1157</v>
      </c>
      <c r="AE302" t="s">
        <v>57</v>
      </c>
      <c r="AF302">
        <v>0</v>
      </c>
      <c r="AG302" t="s">
        <v>1300</v>
      </c>
      <c r="AH302">
        <v>131497</v>
      </c>
      <c r="AI302" t="s">
        <v>1137</v>
      </c>
      <c r="AJ302" s="1">
        <v>9859</v>
      </c>
      <c r="AK302">
        <v>20.2</v>
      </c>
      <c r="AL302" s="2">
        <v>0.03</v>
      </c>
      <c r="AM302" t="s">
        <v>445</v>
      </c>
      <c r="AN302" t="s">
        <v>1299</v>
      </c>
      <c r="AO302" t="s">
        <v>1301</v>
      </c>
      <c r="AP302" t="b">
        <v>0</v>
      </c>
      <c r="AQ302" t="b">
        <v>0</v>
      </c>
      <c r="AR302" t="b">
        <v>0</v>
      </c>
    </row>
    <row r="303" spans="1:45" x14ac:dyDescent="0.3">
      <c r="A303">
        <v>403</v>
      </c>
      <c r="B303">
        <v>421</v>
      </c>
      <c r="C303" t="s">
        <v>1302</v>
      </c>
      <c r="D303" t="s">
        <v>87</v>
      </c>
      <c r="E303" t="s">
        <v>88</v>
      </c>
      <c r="F303" t="s">
        <v>47</v>
      </c>
      <c r="G303">
        <v>14.3</v>
      </c>
      <c r="H303">
        <v>7.7</v>
      </c>
      <c r="I303">
        <v>2.4</v>
      </c>
      <c r="J303">
        <v>51.2</v>
      </c>
      <c r="K303">
        <v>79.599999999999994</v>
      </c>
      <c r="L303">
        <v>69.400000000000006</v>
      </c>
      <c r="M303">
        <v>63.1</v>
      </c>
      <c r="N303">
        <v>5.6</v>
      </c>
      <c r="O303">
        <v>70.900000000000006</v>
      </c>
      <c r="P303">
        <v>29.5</v>
      </c>
      <c r="Q303" t="s">
        <v>659</v>
      </c>
      <c r="R303" t="s">
        <v>1303</v>
      </c>
      <c r="S303" t="s">
        <v>660</v>
      </c>
      <c r="T303">
        <v>3580</v>
      </c>
      <c r="U303">
        <v>24.1</v>
      </c>
      <c r="V303">
        <v>1073</v>
      </c>
      <c r="W303">
        <v>31.6</v>
      </c>
      <c r="X303">
        <v>426</v>
      </c>
      <c r="Y303">
        <v>82.4</v>
      </c>
      <c r="Z303">
        <v>275</v>
      </c>
      <c r="AA303">
        <v>40.799999999999997</v>
      </c>
      <c r="AB303">
        <v>959</v>
      </c>
      <c r="AC303">
        <v>88.3</v>
      </c>
      <c r="AD303">
        <v>145</v>
      </c>
      <c r="AE303" t="s">
        <v>57</v>
      </c>
      <c r="AF303">
        <v>0</v>
      </c>
      <c r="AG303" t="s">
        <v>1304</v>
      </c>
      <c r="AH303">
        <v>131399</v>
      </c>
      <c r="AI303" t="s">
        <v>88</v>
      </c>
      <c r="AJ303" s="1">
        <v>11299</v>
      </c>
      <c r="AK303">
        <v>34.4</v>
      </c>
      <c r="AL303" s="2">
        <v>0.23</v>
      </c>
      <c r="AM303" s="3">
        <v>2.3638888888888889</v>
      </c>
      <c r="AN303" t="s">
        <v>1303</v>
      </c>
      <c r="AO303" t="s">
        <v>1305</v>
      </c>
      <c r="AP303" t="b">
        <v>0</v>
      </c>
      <c r="AQ303" t="b">
        <v>0</v>
      </c>
      <c r="AR303" t="b">
        <v>0</v>
      </c>
    </row>
    <row r="304" spans="1:45" x14ac:dyDescent="0.3">
      <c r="A304">
        <v>405</v>
      </c>
      <c r="B304">
        <v>481</v>
      </c>
      <c r="C304" t="s">
        <v>1306</v>
      </c>
      <c r="D304" t="s">
        <v>619</v>
      </c>
      <c r="E304" t="s">
        <v>620</v>
      </c>
      <c r="F304" t="s">
        <v>47</v>
      </c>
      <c r="G304">
        <v>27.8</v>
      </c>
      <c r="H304">
        <v>43.4</v>
      </c>
      <c r="I304">
        <v>88.1</v>
      </c>
      <c r="J304">
        <v>1.2</v>
      </c>
      <c r="K304">
        <v>66.7</v>
      </c>
      <c r="L304">
        <v>16.899999999999999</v>
      </c>
      <c r="M304">
        <v>15</v>
      </c>
      <c r="N304">
        <v>23.6</v>
      </c>
      <c r="O304">
        <v>3.8</v>
      </c>
      <c r="P304">
        <v>29.3</v>
      </c>
      <c r="Q304" t="s">
        <v>1068</v>
      </c>
      <c r="R304" t="s">
        <v>1306</v>
      </c>
      <c r="S304" t="s">
        <v>1070</v>
      </c>
      <c r="T304">
        <v>18310</v>
      </c>
      <c r="U304">
        <v>22.7</v>
      </c>
      <c r="V304">
        <v>1172</v>
      </c>
      <c r="W304">
        <v>10.8</v>
      </c>
      <c r="X304">
        <v>1553</v>
      </c>
      <c r="Y304">
        <v>8.5</v>
      </c>
      <c r="Z304">
        <v>1875</v>
      </c>
      <c r="AA304">
        <v>23.2</v>
      </c>
      <c r="AB304">
        <v>1395</v>
      </c>
      <c r="AC304">
        <v>68.7</v>
      </c>
      <c r="AD304">
        <v>424</v>
      </c>
      <c r="AE304" t="s">
        <v>57</v>
      </c>
      <c r="AF304">
        <v>0</v>
      </c>
      <c r="AG304" t="s">
        <v>1307</v>
      </c>
      <c r="AH304">
        <v>679062</v>
      </c>
      <c r="AI304" t="s">
        <v>620</v>
      </c>
      <c r="AJ304" s="1">
        <v>8114</v>
      </c>
      <c r="AK304">
        <v>12.4</v>
      </c>
      <c r="AL304" s="2">
        <v>0.05</v>
      </c>
      <c r="AM304" s="3">
        <v>1.8722222222222222</v>
      </c>
      <c r="AN304" t="s">
        <v>1306</v>
      </c>
      <c r="AO304" t="s">
        <v>1308</v>
      </c>
      <c r="AP304" t="b">
        <v>0</v>
      </c>
      <c r="AQ304" t="b">
        <v>0</v>
      </c>
      <c r="AR304" t="b">
        <v>0</v>
      </c>
    </row>
    <row r="305" spans="1:45" x14ac:dyDescent="0.3">
      <c r="A305">
        <v>405</v>
      </c>
      <c r="B305">
        <v>328</v>
      </c>
      <c r="C305" t="s">
        <v>1309</v>
      </c>
      <c r="D305" t="s">
        <v>437</v>
      </c>
      <c r="E305" t="s">
        <v>438</v>
      </c>
      <c r="F305" t="s">
        <v>388</v>
      </c>
      <c r="G305">
        <v>6.1</v>
      </c>
      <c r="H305">
        <v>4.5999999999999996</v>
      </c>
      <c r="I305">
        <v>73.5</v>
      </c>
      <c r="J305">
        <v>40.700000000000003</v>
      </c>
      <c r="K305">
        <v>100</v>
      </c>
      <c r="L305">
        <v>100</v>
      </c>
      <c r="M305">
        <v>39.299999999999997</v>
      </c>
      <c r="N305">
        <v>2.1</v>
      </c>
      <c r="O305">
        <v>1.1000000000000001</v>
      </c>
      <c r="P305">
        <v>29.3</v>
      </c>
      <c r="Q305" t="s">
        <v>486</v>
      </c>
      <c r="R305" t="s">
        <v>1310</v>
      </c>
      <c r="S305" t="s">
        <v>487</v>
      </c>
      <c r="T305">
        <v>2950</v>
      </c>
      <c r="U305">
        <v>34.799999999999997</v>
      </c>
      <c r="V305">
        <v>470</v>
      </c>
      <c r="W305">
        <v>26.4</v>
      </c>
      <c r="X305">
        <v>559</v>
      </c>
      <c r="Y305">
        <v>84</v>
      </c>
      <c r="Z305">
        <v>237</v>
      </c>
      <c r="AA305">
        <v>88.3</v>
      </c>
      <c r="AB305">
        <v>178</v>
      </c>
      <c r="AC305">
        <v>98.5</v>
      </c>
      <c r="AD305">
        <v>3</v>
      </c>
      <c r="AE305" t="s">
        <v>57</v>
      </c>
      <c r="AF305">
        <v>1</v>
      </c>
      <c r="AG305" t="s">
        <v>1311</v>
      </c>
      <c r="AH305">
        <v>623415</v>
      </c>
      <c r="AI305" t="s">
        <v>438</v>
      </c>
      <c r="AJ305" s="1">
        <v>3714</v>
      </c>
      <c r="AK305">
        <v>14</v>
      </c>
      <c r="AL305" s="2">
        <v>0.67</v>
      </c>
      <c r="AM305" s="3">
        <v>1.9541666666666666</v>
      </c>
      <c r="AN305" t="s">
        <v>1310</v>
      </c>
      <c r="AO305" t="s">
        <v>1312</v>
      </c>
      <c r="AP305" t="b">
        <v>0</v>
      </c>
      <c r="AQ305" t="b">
        <v>0</v>
      </c>
      <c r="AR305" t="b">
        <v>0</v>
      </c>
    </row>
    <row r="306" spans="1:45" x14ac:dyDescent="0.3">
      <c r="A306">
        <v>408</v>
      </c>
      <c r="B306">
        <v>400</v>
      </c>
      <c r="C306" t="s">
        <v>1313</v>
      </c>
      <c r="D306" t="s">
        <v>849</v>
      </c>
      <c r="E306" t="s">
        <v>850</v>
      </c>
      <c r="F306" t="s">
        <v>77</v>
      </c>
      <c r="G306">
        <v>23.5</v>
      </c>
      <c r="H306">
        <v>31.7</v>
      </c>
      <c r="I306">
        <v>9.5</v>
      </c>
      <c r="J306">
        <v>13.8</v>
      </c>
      <c r="K306">
        <v>27.6</v>
      </c>
      <c r="L306">
        <v>66.7</v>
      </c>
      <c r="M306">
        <v>80.2</v>
      </c>
      <c r="N306">
        <v>36</v>
      </c>
      <c r="O306">
        <v>79.099999999999994</v>
      </c>
      <c r="P306">
        <v>29.1</v>
      </c>
      <c r="Q306" t="s">
        <v>696</v>
      </c>
      <c r="R306" t="s">
        <v>1313</v>
      </c>
      <c r="S306" t="s">
        <v>697</v>
      </c>
      <c r="T306">
        <v>7080</v>
      </c>
      <c r="U306">
        <v>25.9</v>
      </c>
      <c r="V306">
        <v>944</v>
      </c>
      <c r="W306">
        <v>31</v>
      </c>
      <c r="X306">
        <v>443</v>
      </c>
      <c r="Y306">
        <v>50.1</v>
      </c>
      <c r="Z306">
        <v>1018</v>
      </c>
      <c r="AA306">
        <v>41.7</v>
      </c>
      <c r="AB306">
        <v>944</v>
      </c>
      <c r="AC306">
        <v>66.3</v>
      </c>
      <c r="AD306">
        <v>460</v>
      </c>
      <c r="AE306" t="s">
        <v>57</v>
      </c>
      <c r="AF306">
        <v>0</v>
      </c>
      <c r="AG306" t="s">
        <v>1314</v>
      </c>
      <c r="AH306">
        <v>983</v>
      </c>
      <c r="AI306" t="s">
        <v>850</v>
      </c>
      <c r="AJ306" s="1">
        <v>32789</v>
      </c>
      <c r="AK306">
        <v>18.399999999999999</v>
      </c>
      <c r="AL306" s="2">
        <v>0.23</v>
      </c>
      <c r="AM306" s="3">
        <v>2.6097222222222221</v>
      </c>
      <c r="AN306" t="s">
        <v>1313</v>
      </c>
      <c r="AO306" t="s">
        <v>1315</v>
      </c>
      <c r="AP306" t="b">
        <v>0</v>
      </c>
      <c r="AQ306" t="b">
        <v>0</v>
      </c>
      <c r="AR306" t="b">
        <v>0</v>
      </c>
    </row>
    <row r="307" spans="1:45" x14ac:dyDescent="0.3">
      <c r="A307">
        <v>410</v>
      </c>
      <c r="B307">
        <v>399</v>
      </c>
      <c r="C307" t="s">
        <v>1316</v>
      </c>
      <c r="D307" t="s">
        <v>378</v>
      </c>
      <c r="E307" t="s">
        <v>379</v>
      </c>
      <c r="F307" t="s">
        <v>77</v>
      </c>
      <c r="G307">
        <v>24</v>
      </c>
      <c r="H307">
        <v>38.4</v>
      </c>
      <c r="I307">
        <v>84.8</v>
      </c>
      <c r="J307">
        <v>1.8</v>
      </c>
      <c r="K307">
        <v>6.6</v>
      </c>
      <c r="L307">
        <v>13.5</v>
      </c>
      <c r="M307">
        <v>83.6</v>
      </c>
      <c r="N307">
        <v>13</v>
      </c>
      <c r="O307">
        <v>44.6</v>
      </c>
      <c r="P307">
        <v>29</v>
      </c>
      <c r="Q307" t="s">
        <v>372</v>
      </c>
      <c r="R307" t="s">
        <v>1316</v>
      </c>
      <c r="S307" t="s">
        <v>374</v>
      </c>
      <c r="T307">
        <v>4370</v>
      </c>
      <c r="U307">
        <v>34.4</v>
      </c>
      <c r="V307">
        <v>479</v>
      </c>
      <c r="W307">
        <v>44</v>
      </c>
      <c r="X307">
        <v>202</v>
      </c>
      <c r="Y307">
        <v>57.3</v>
      </c>
      <c r="Z307">
        <v>838</v>
      </c>
      <c r="AA307">
        <v>56.5</v>
      </c>
      <c r="AB307">
        <v>708</v>
      </c>
      <c r="AC307">
        <v>51.4</v>
      </c>
      <c r="AD307">
        <v>758</v>
      </c>
      <c r="AE307" t="s">
        <v>57</v>
      </c>
      <c r="AF307">
        <v>0</v>
      </c>
      <c r="AG307" t="s">
        <v>1317</v>
      </c>
      <c r="AH307">
        <v>131492</v>
      </c>
      <c r="AI307" t="s">
        <v>381</v>
      </c>
      <c r="AJ307" s="1">
        <v>34656</v>
      </c>
      <c r="AK307">
        <v>18.600000000000001</v>
      </c>
      <c r="AL307" s="2">
        <v>0.12</v>
      </c>
      <c r="AN307" t="s">
        <v>1316</v>
      </c>
      <c r="AO307" t="s">
        <v>1318</v>
      </c>
      <c r="AP307" t="b">
        <v>0</v>
      </c>
      <c r="AQ307" t="b">
        <v>0</v>
      </c>
      <c r="AR307" t="b">
        <v>1</v>
      </c>
    </row>
    <row r="308" spans="1:45" x14ac:dyDescent="0.3">
      <c r="A308">
        <v>410</v>
      </c>
      <c r="B308">
        <v>415</v>
      </c>
      <c r="C308" t="s">
        <v>1319</v>
      </c>
      <c r="D308" t="s">
        <v>1159</v>
      </c>
      <c r="E308" t="s">
        <v>1160</v>
      </c>
      <c r="F308" t="s">
        <v>47</v>
      </c>
      <c r="G308">
        <v>32.1</v>
      </c>
      <c r="H308">
        <v>31.1</v>
      </c>
      <c r="I308">
        <v>35.5</v>
      </c>
      <c r="J308">
        <v>5.2</v>
      </c>
      <c r="K308">
        <v>97</v>
      </c>
      <c r="L308">
        <v>3.8</v>
      </c>
      <c r="M308">
        <v>29.4</v>
      </c>
      <c r="N308">
        <v>75.599999999999994</v>
      </c>
      <c r="O308">
        <v>14.6</v>
      </c>
      <c r="P308">
        <v>29</v>
      </c>
      <c r="Q308" t="s">
        <v>679</v>
      </c>
      <c r="R308" t="s">
        <v>1320</v>
      </c>
      <c r="S308" t="s">
        <v>680</v>
      </c>
      <c r="T308">
        <v>8100</v>
      </c>
      <c r="U308">
        <v>26.7</v>
      </c>
      <c r="V308">
        <v>888</v>
      </c>
      <c r="W308">
        <v>24</v>
      </c>
      <c r="X308">
        <v>650</v>
      </c>
      <c r="Y308">
        <v>51.1</v>
      </c>
      <c r="Z308">
        <v>993</v>
      </c>
      <c r="AA308">
        <v>23</v>
      </c>
      <c r="AB308">
        <v>1400</v>
      </c>
      <c r="AC308">
        <v>70.3</v>
      </c>
      <c r="AD308">
        <v>402</v>
      </c>
      <c r="AE308" t="s">
        <v>57</v>
      </c>
      <c r="AF308">
        <v>1</v>
      </c>
      <c r="AG308" t="s">
        <v>1321</v>
      </c>
      <c r="AH308">
        <v>131347</v>
      </c>
      <c r="AI308" t="s">
        <v>1160</v>
      </c>
      <c r="AJ308" s="1">
        <v>6034</v>
      </c>
      <c r="AK308">
        <v>14.2</v>
      </c>
      <c r="AL308" s="2">
        <v>0.04</v>
      </c>
      <c r="AM308" s="3">
        <v>2.4458333333333333</v>
      </c>
      <c r="AN308" t="s">
        <v>1320</v>
      </c>
      <c r="AO308" t="s">
        <v>1322</v>
      </c>
      <c r="AP308" t="b">
        <v>0</v>
      </c>
      <c r="AQ308" t="b">
        <v>0</v>
      </c>
      <c r="AR308" t="b">
        <v>0</v>
      </c>
    </row>
    <row r="309" spans="1:45" x14ac:dyDescent="0.3">
      <c r="A309">
        <v>413</v>
      </c>
      <c r="B309">
        <v>421</v>
      </c>
      <c r="C309" t="s">
        <v>1323</v>
      </c>
      <c r="D309" t="s">
        <v>536</v>
      </c>
      <c r="E309" t="s">
        <v>537</v>
      </c>
      <c r="F309" t="s">
        <v>47</v>
      </c>
      <c r="G309">
        <v>14.7</v>
      </c>
      <c r="H309">
        <v>15.7</v>
      </c>
      <c r="I309">
        <v>98.9</v>
      </c>
      <c r="J309">
        <v>11.1</v>
      </c>
      <c r="K309">
        <v>81.8</v>
      </c>
      <c r="L309">
        <v>59.7</v>
      </c>
      <c r="M309">
        <v>59.9</v>
      </c>
      <c r="N309">
        <v>11.9</v>
      </c>
      <c r="O309">
        <v>2.8</v>
      </c>
      <c r="P309">
        <v>28.8</v>
      </c>
      <c r="Q309" t="s">
        <v>572</v>
      </c>
      <c r="R309" t="s">
        <v>1323</v>
      </c>
      <c r="S309" t="s">
        <v>574</v>
      </c>
      <c r="T309">
        <v>5380</v>
      </c>
      <c r="U309">
        <v>40.4</v>
      </c>
      <c r="V309">
        <v>296</v>
      </c>
      <c r="W309">
        <v>21.4</v>
      </c>
      <c r="X309">
        <v>750</v>
      </c>
      <c r="Y309">
        <v>51.5</v>
      </c>
      <c r="Z309">
        <v>977</v>
      </c>
      <c r="AA309">
        <v>91.5</v>
      </c>
      <c r="AB309">
        <v>148</v>
      </c>
      <c r="AC309">
        <v>81.5</v>
      </c>
      <c r="AD309">
        <v>232</v>
      </c>
      <c r="AE309" t="s">
        <v>57</v>
      </c>
      <c r="AF309">
        <v>0</v>
      </c>
      <c r="AG309" t="s">
        <v>1324</v>
      </c>
      <c r="AH309">
        <v>131362</v>
      </c>
      <c r="AI309" t="s">
        <v>537</v>
      </c>
      <c r="AJ309" s="1">
        <v>6660</v>
      </c>
      <c r="AK309">
        <v>8.1999999999999993</v>
      </c>
      <c r="AL309" s="2">
        <v>0.24</v>
      </c>
      <c r="AM309" t="s">
        <v>738</v>
      </c>
      <c r="AN309" t="s">
        <v>1323</v>
      </c>
      <c r="AO309" t="s">
        <v>1325</v>
      </c>
      <c r="AP309" t="b">
        <v>0</v>
      </c>
      <c r="AQ309" t="b">
        <v>0</v>
      </c>
      <c r="AR309" t="b">
        <v>0</v>
      </c>
    </row>
    <row r="310" spans="1:45" x14ac:dyDescent="0.3">
      <c r="A310">
        <v>415</v>
      </c>
      <c r="B310">
        <v>387</v>
      </c>
      <c r="C310" t="s">
        <v>1326</v>
      </c>
      <c r="D310" t="s">
        <v>139</v>
      </c>
      <c r="E310" t="s">
        <v>140</v>
      </c>
      <c r="F310" t="s">
        <v>77</v>
      </c>
      <c r="G310">
        <v>15.8</v>
      </c>
      <c r="H310">
        <v>11.4</v>
      </c>
      <c r="I310">
        <v>3.3</v>
      </c>
      <c r="J310">
        <v>17.5</v>
      </c>
      <c r="K310">
        <v>87.4</v>
      </c>
      <c r="L310">
        <v>92.3</v>
      </c>
      <c r="M310">
        <v>73.8</v>
      </c>
      <c r="N310">
        <v>43.6</v>
      </c>
      <c r="O310">
        <v>89.8</v>
      </c>
      <c r="P310">
        <v>28.7</v>
      </c>
      <c r="Q310" t="s">
        <v>572</v>
      </c>
      <c r="R310" t="s">
        <v>1326</v>
      </c>
      <c r="S310" t="s">
        <v>574</v>
      </c>
      <c r="T310">
        <v>5260</v>
      </c>
      <c r="U310">
        <v>25.7</v>
      </c>
      <c r="V310">
        <v>956</v>
      </c>
      <c r="W310">
        <v>29.3</v>
      </c>
      <c r="X310">
        <v>486</v>
      </c>
      <c r="Y310">
        <v>66.2</v>
      </c>
      <c r="Z310">
        <v>644</v>
      </c>
      <c r="AA310">
        <v>66.3</v>
      </c>
      <c r="AB310">
        <v>519</v>
      </c>
      <c r="AC310">
        <v>86.6</v>
      </c>
      <c r="AD310">
        <v>174</v>
      </c>
      <c r="AE310" t="s">
        <v>57</v>
      </c>
      <c r="AF310">
        <v>0</v>
      </c>
      <c r="AG310" t="s">
        <v>1327</v>
      </c>
      <c r="AH310">
        <v>913</v>
      </c>
      <c r="AI310" t="s">
        <v>140</v>
      </c>
      <c r="AJ310" s="1">
        <v>36749</v>
      </c>
      <c r="AK310">
        <v>34.6</v>
      </c>
      <c r="AL310" s="2">
        <v>0.34</v>
      </c>
      <c r="AM310" s="3">
        <v>2.1180555555555554</v>
      </c>
      <c r="AN310" t="s">
        <v>1326</v>
      </c>
      <c r="AO310" t="s">
        <v>1328</v>
      </c>
      <c r="AP310" t="b">
        <v>0</v>
      </c>
      <c r="AQ310" t="b">
        <v>0</v>
      </c>
      <c r="AR310" t="b">
        <v>0</v>
      </c>
      <c r="AS310" t="s">
        <v>1329</v>
      </c>
    </row>
    <row r="311" spans="1:45" x14ac:dyDescent="0.3">
      <c r="A311">
        <v>416</v>
      </c>
      <c r="B311">
        <v>413</v>
      </c>
      <c r="C311" t="s">
        <v>1330</v>
      </c>
      <c r="D311" t="s">
        <v>54</v>
      </c>
      <c r="E311" t="s">
        <v>55</v>
      </c>
      <c r="F311" t="s">
        <v>56</v>
      </c>
      <c r="G311">
        <v>30.7</v>
      </c>
      <c r="H311">
        <v>37.6</v>
      </c>
      <c r="I311">
        <v>13.7</v>
      </c>
      <c r="J311">
        <v>7</v>
      </c>
      <c r="K311">
        <v>67.5</v>
      </c>
      <c r="L311">
        <v>67.400000000000006</v>
      </c>
      <c r="M311">
        <v>68.400000000000006</v>
      </c>
      <c r="N311">
        <v>20.5</v>
      </c>
      <c r="O311">
        <v>13.2</v>
      </c>
      <c r="P311">
        <v>28.6</v>
      </c>
      <c r="Q311" t="s">
        <v>696</v>
      </c>
      <c r="R311" t="s">
        <v>1330</v>
      </c>
      <c r="S311" t="s">
        <v>697</v>
      </c>
      <c r="T311">
        <v>7420</v>
      </c>
      <c r="U311">
        <v>25.1</v>
      </c>
      <c r="V311">
        <v>996</v>
      </c>
      <c r="W311">
        <v>21.1</v>
      </c>
      <c r="X311">
        <v>765</v>
      </c>
      <c r="Y311">
        <v>62.5</v>
      </c>
      <c r="Z311">
        <v>719</v>
      </c>
      <c r="AA311">
        <v>29.1</v>
      </c>
      <c r="AB311">
        <v>1199</v>
      </c>
      <c r="AC311">
        <v>87.9</v>
      </c>
      <c r="AD311">
        <v>151</v>
      </c>
      <c r="AE311" t="s">
        <v>57</v>
      </c>
      <c r="AF311">
        <v>0</v>
      </c>
      <c r="AG311" t="s">
        <v>1331</v>
      </c>
      <c r="AH311">
        <v>131653</v>
      </c>
      <c r="AI311" t="s">
        <v>55</v>
      </c>
      <c r="AJ311" s="1">
        <v>13860</v>
      </c>
      <c r="AK311">
        <v>14</v>
      </c>
      <c r="AL311" s="2">
        <v>0.25</v>
      </c>
      <c r="AM311" s="3">
        <v>2.4458333333333333</v>
      </c>
      <c r="AN311" t="s">
        <v>1330</v>
      </c>
      <c r="AO311" t="s">
        <v>1332</v>
      </c>
      <c r="AP311" t="b">
        <v>0</v>
      </c>
      <c r="AQ311" t="b">
        <v>0</v>
      </c>
      <c r="AR311" t="b">
        <v>0</v>
      </c>
      <c r="AS311" t="s">
        <v>1333</v>
      </c>
    </row>
    <row r="312" spans="1:45" x14ac:dyDescent="0.3">
      <c r="A312">
        <v>416</v>
      </c>
      <c r="B312">
        <v>392</v>
      </c>
      <c r="C312" t="s">
        <v>1334</v>
      </c>
      <c r="D312" t="s">
        <v>750</v>
      </c>
      <c r="E312" t="s">
        <v>751</v>
      </c>
      <c r="F312" t="s">
        <v>56</v>
      </c>
      <c r="G312">
        <v>23.9</v>
      </c>
      <c r="H312">
        <v>24.8</v>
      </c>
      <c r="I312">
        <v>52</v>
      </c>
      <c r="J312">
        <v>20.100000000000001</v>
      </c>
      <c r="K312">
        <v>74.2</v>
      </c>
      <c r="L312">
        <v>4.3</v>
      </c>
      <c r="M312">
        <v>59.1</v>
      </c>
      <c r="N312">
        <v>35.299999999999997</v>
      </c>
      <c r="O312">
        <v>15</v>
      </c>
      <c r="P312">
        <v>28.6</v>
      </c>
      <c r="Q312" t="s">
        <v>659</v>
      </c>
      <c r="R312" t="s">
        <v>1335</v>
      </c>
      <c r="S312" t="s">
        <v>660</v>
      </c>
      <c r="T312">
        <v>3940</v>
      </c>
      <c r="U312">
        <v>37.5</v>
      </c>
      <c r="V312">
        <v>380</v>
      </c>
      <c r="W312">
        <v>34</v>
      </c>
      <c r="X312">
        <v>380</v>
      </c>
      <c r="Y312">
        <v>66.900000000000006</v>
      </c>
      <c r="Z312">
        <v>625</v>
      </c>
      <c r="AA312">
        <v>68.099999999999994</v>
      </c>
      <c r="AB312">
        <v>481</v>
      </c>
      <c r="AC312">
        <v>71.8</v>
      </c>
      <c r="AD312">
        <v>377</v>
      </c>
      <c r="AE312" t="s">
        <v>57</v>
      </c>
      <c r="AF312">
        <v>0</v>
      </c>
      <c r="AG312" t="s">
        <v>1336</v>
      </c>
      <c r="AH312">
        <v>685</v>
      </c>
      <c r="AI312" t="s">
        <v>751</v>
      </c>
      <c r="AJ312" s="1">
        <v>15934</v>
      </c>
      <c r="AK312">
        <v>22.7</v>
      </c>
      <c r="AL312" s="2">
        <v>0.13</v>
      </c>
      <c r="AM312" t="s">
        <v>789</v>
      </c>
      <c r="AN312" t="s">
        <v>1335</v>
      </c>
      <c r="AO312" t="s">
        <v>1337</v>
      </c>
      <c r="AP312" t="b">
        <v>0</v>
      </c>
      <c r="AQ312" t="b">
        <v>0</v>
      </c>
      <c r="AR312" t="b">
        <v>0</v>
      </c>
    </row>
    <row r="313" spans="1:45" x14ac:dyDescent="0.3">
      <c r="A313">
        <v>418</v>
      </c>
      <c r="B313">
        <v>441</v>
      </c>
      <c r="C313" t="s">
        <v>1338</v>
      </c>
      <c r="D313" t="s">
        <v>54</v>
      </c>
      <c r="E313" t="s">
        <v>55</v>
      </c>
      <c r="F313" t="s">
        <v>56</v>
      </c>
      <c r="G313">
        <v>18.399999999999999</v>
      </c>
      <c r="H313">
        <v>13.7</v>
      </c>
      <c r="I313">
        <v>30.8</v>
      </c>
      <c r="J313">
        <v>14</v>
      </c>
      <c r="K313">
        <v>91.1</v>
      </c>
      <c r="L313">
        <v>89.4</v>
      </c>
      <c r="M313">
        <v>75.2</v>
      </c>
      <c r="N313">
        <v>7.4</v>
      </c>
      <c r="O313">
        <v>55.4</v>
      </c>
      <c r="P313">
        <v>28.5</v>
      </c>
      <c r="Q313" t="s">
        <v>614</v>
      </c>
      <c r="R313" t="s">
        <v>1339</v>
      </c>
      <c r="S313" t="s">
        <v>615</v>
      </c>
      <c r="T313">
        <v>3110</v>
      </c>
      <c r="U313">
        <v>26.7</v>
      </c>
      <c r="V313">
        <v>890</v>
      </c>
      <c r="W313">
        <v>32.1</v>
      </c>
      <c r="X313">
        <v>415</v>
      </c>
      <c r="Y313">
        <v>84.9</v>
      </c>
      <c r="Z313">
        <v>211</v>
      </c>
      <c r="AA313">
        <v>83</v>
      </c>
      <c r="AB313">
        <v>226</v>
      </c>
      <c r="AC313">
        <v>91.1</v>
      </c>
      <c r="AD313">
        <v>114</v>
      </c>
      <c r="AE313" t="s">
        <v>57</v>
      </c>
      <c r="AF313">
        <v>0</v>
      </c>
      <c r="AG313" t="s">
        <v>1340</v>
      </c>
      <c r="AH313">
        <v>640</v>
      </c>
      <c r="AI313" t="s">
        <v>55</v>
      </c>
      <c r="AJ313" s="1">
        <v>14145</v>
      </c>
      <c r="AK313">
        <v>18.100000000000001</v>
      </c>
      <c r="AL313" s="2">
        <v>0.25</v>
      </c>
      <c r="AM313" s="3">
        <v>2.7326388888888888</v>
      </c>
      <c r="AN313" t="s">
        <v>1339</v>
      </c>
      <c r="AO313" t="s">
        <v>1341</v>
      </c>
      <c r="AP313" t="b">
        <v>0</v>
      </c>
      <c r="AQ313" t="b">
        <v>0</v>
      </c>
      <c r="AR313" t="b">
        <v>0</v>
      </c>
    </row>
    <row r="314" spans="1:45" x14ac:dyDescent="0.3">
      <c r="A314">
        <v>420</v>
      </c>
      <c r="B314">
        <v>454</v>
      </c>
      <c r="C314" t="s">
        <v>1342</v>
      </c>
      <c r="D314" t="s">
        <v>849</v>
      </c>
      <c r="E314" t="s">
        <v>850</v>
      </c>
      <c r="F314" t="s">
        <v>56</v>
      </c>
      <c r="G314">
        <v>22</v>
      </c>
      <c r="H314">
        <v>42.4</v>
      </c>
      <c r="I314">
        <v>80.599999999999994</v>
      </c>
      <c r="J314">
        <v>3.6</v>
      </c>
      <c r="K314">
        <v>19.899999999999999</v>
      </c>
      <c r="L314">
        <v>50.2</v>
      </c>
      <c r="M314">
        <v>59.4</v>
      </c>
      <c r="N314">
        <v>15.6</v>
      </c>
      <c r="O314">
        <v>5.8</v>
      </c>
      <c r="P314">
        <v>28.4</v>
      </c>
      <c r="Q314" t="s">
        <v>733</v>
      </c>
      <c r="R314" t="s">
        <v>1342</v>
      </c>
      <c r="S314" t="s">
        <v>735</v>
      </c>
      <c r="T314">
        <v>10370</v>
      </c>
      <c r="U314">
        <v>30.9</v>
      </c>
      <c r="V314">
        <v>642</v>
      </c>
      <c r="W314">
        <v>18.8</v>
      </c>
      <c r="X314">
        <v>873</v>
      </c>
      <c r="Y314">
        <v>32.200000000000003</v>
      </c>
      <c r="Z314">
        <v>1396</v>
      </c>
      <c r="AA314">
        <v>51.9</v>
      </c>
      <c r="AB314">
        <v>773</v>
      </c>
      <c r="AC314">
        <v>60.2</v>
      </c>
      <c r="AD314">
        <v>579</v>
      </c>
      <c r="AE314" t="s">
        <v>57</v>
      </c>
      <c r="AF314">
        <v>0</v>
      </c>
      <c r="AG314" t="s">
        <v>1343</v>
      </c>
      <c r="AH314">
        <v>131322</v>
      </c>
      <c r="AI314" t="s">
        <v>850</v>
      </c>
      <c r="AJ314" s="1">
        <v>15663</v>
      </c>
      <c r="AK314">
        <v>8.6999999999999993</v>
      </c>
      <c r="AL314" s="2">
        <v>0.21</v>
      </c>
      <c r="AM314" t="s">
        <v>587</v>
      </c>
      <c r="AN314" t="s">
        <v>1342</v>
      </c>
      <c r="AO314" t="s">
        <v>1344</v>
      </c>
      <c r="AP314" t="b">
        <v>0</v>
      </c>
      <c r="AQ314" t="b">
        <v>0</v>
      </c>
      <c r="AR314" t="b">
        <v>0</v>
      </c>
    </row>
    <row r="315" spans="1:45" x14ac:dyDescent="0.3">
      <c r="A315">
        <v>421</v>
      </c>
      <c r="B315">
        <v>436</v>
      </c>
      <c r="C315" t="s">
        <v>1345</v>
      </c>
      <c r="D315" t="s">
        <v>504</v>
      </c>
      <c r="E315" t="s">
        <v>505</v>
      </c>
      <c r="F315" t="s">
        <v>56</v>
      </c>
      <c r="G315">
        <v>20.100000000000001</v>
      </c>
      <c r="H315">
        <v>26</v>
      </c>
      <c r="I315">
        <v>25.8</v>
      </c>
      <c r="J315">
        <v>10.7</v>
      </c>
      <c r="K315">
        <v>75</v>
      </c>
      <c r="L315">
        <v>22.6</v>
      </c>
      <c r="M315">
        <v>75.400000000000006</v>
      </c>
      <c r="N315">
        <v>35.299999999999997</v>
      </c>
      <c r="O315">
        <v>82.5</v>
      </c>
      <c r="P315">
        <v>28.3</v>
      </c>
      <c r="Q315" t="s">
        <v>372</v>
      </c>
      <c r="R315" t="s">
        <v>1345</v>
      </c>
      <c r="S315" t="s">
        <v>374</v>
      </c>
      <c r="T315">
        <v>4250</v>
      </c>
      <c r="U315">
        <v>24.5</v>
      </c>
      <c r="V315">
        <v>1041</v>
      </c>
      <c r="W315">
        <v>35.200000000000003</v>
      </c>
      <c r="X315">
        <v>343</v>
      </c>
      <c r="Y315">
        <v>77.099999999999994</v>
      </c>
      <c r="Z315">
        <v>392</v>
      </c>
      <c r="AA315">
        <v>62.8</v>
      </c>
      <c r="AB315">
        <v>595</v>
      </c>
      <c r="AC315">
        <v>73.900000000000006</v>
      </c>
      <c r="AD315">
        <v>351</v>
      </c>
      <c r="AE315" t="s">
        <v>57</v>
      </c>
      <c r="AF315">
        <v>0</v>
      </c>
      <c r="AG315" t="s">
        <v>1346</v>
      </c>
      <c r="AH315">
        <v>910</v>
      </c>
      <c r="AI315" t="s">
        <v>505</v>
      </c>
      <c r="AJ315" s="1">
        <v>14325</v>
      </c>
      <c r="AK315">
        <v>26.1</v>
      </c>
      <c r="AL315" s="2">
        <v>0.12</v>
      </c>
      <c r="AM315" s="3">
        <v>2.4458333333333333</v>
      </c>
      <c r="AN315" t="s">
        <v>1345</v>
      </c>
      <c r="AO315" t="s">
        <v>1347</v>
      </c>
      <c r="AP315" t="b">
        <v>0</v>
      </c>
      <c r="AQ315" t="b">
        <v>0</v>
      </c>
      <c r="AR315" t="b">
        <v>0</v>
      </c>
    </row>
    <row r="316" spans="1:45" x14ac:dyDescent="0.3">
      <c r="A316">
        <v>421</v>
      </c>
      <c r="B316">
        <v>426</v>
      </c>
      <c r="C316" t="s">
        <v>1348</v>
      </c>
      <c r="D316" t="s">
        <v>504</v>
      </c>
      <c r="E316" t="s">
        <v>505</v>
      </c>
      <c r="F316" t="s">
        <v>56</v>
      </c>
      <c r="G316">
        <v>18.3</v>
      </c>
      <c r="H316">
        <v>25.5</v>
      </c>
      <c r="I316">
        <v>15.7</v>
      </c>
      <c r="J316">
        <v>23</v>
      </c>
      <c r="K316">
        <v>87.1</v>
      </c>
      <c r="L316">
        <v>30.8</v>
      </c>
      <c r="M316">
        <v>72.5</v>
      </c>
      <c r="N316">
        <v>8</v>
      </c>
      <c r="O316">
        <v>76.400000000000006</v>
      </c>
      <c r="P316">
        <v>28.3</v>
      </c>
      <c r="Q316" t="s">
        <v>372</v>
      </c>
      <c r="R316" t="s">
        <v>1348</v>
      </c>
      <c r="S316" t="s">
        <v>374</v>
      </c>
      <c r="T316">
        <v>4500</v>
      </c>
      <c r="U316">
        <v>27.1</v>
      </c>
      <c r="V316">
        <v>870</v>
      </c>
      <c r="W316">
        <v>32.6</v>
      </c>
      <c r="X316">
        <v>406</v>
      </c>
      <c r="Y316">
        <v>64.099999999999994</v>
      </c>
      <c r="Z316">
        <v>689</v>
      </c>
      <c r="AA316">
        <v>75.900000000000006</v>
      </c>
      <c r="AB316">
        <v>318</v>
      </c>
      <c r="AC316">
        <v>76.099999999999994</v>
      </c>
      <c r="AD316">
        <v>311</v>
      </c>
      <c r="AE316" t="s">
        <v>57</v>
      </c>
      <c r="AF316">
        <v>11</v>
      </c>
      <c r="AG316" t="s">
        <v>1349</v>
      </c>
      <c r="AH316">
        <v>919</v>
      </c>
      <c r="AI316" t="s">
        <v>505</v>
      </c>
      <c r="AJ316" s="1">
        <v>14640</v>
      </c>
      <c r="AK316">
        <v>27.1</v>
      </c>
      <c r="AL316" s="2">
        <v>0.15</v>
      </c>
      <c r="AM316" s="3">
        <v>2.1180555555555554</v>
      </c>
      <c r="AN316" t="s">
        <v>1348</v>
      </c>
      <c r="AO316" t="s">
        <v>1350</v>
      </c>
      <c r="AP316" t="b">
        <v>0</v>
      </c>
      <c r="AQ316" t="b">
        <v>0</v>
      </c>
      <c r="AR316" t="b">
        <v>0</v>
      </c>
    </row>
    <row r="317" spans="1:45" x14ac:dyDescent="0.3">
      <c r="A317">
        <v>423</v>
      </c>
      <c r="B317">
        <v>446</v>
      </c>
      <c r="C317" t="s">
        <v>1351</v>
      </c>
      <c r="D317" t="s">
        <v>54</v>
      </c>
      <c r="E317" t="s">
        <v>55</v>
      </c>
      <c r="F317" t="s">
        <v>56</v>
      </c>
      <c r="G317">
        <v>12.5</v>
      </c>
      <c r="H317">
        <v>18.5</v>
      </c>
      <c r="I317">
        <v>9</v>
      </c>
      <c r="J317">
        <v>34.4</v>
      </c>
      <c r="K317">
        <v>94.2</v>
      </c>
      <c r="L317">
        <v>53.8</v>
      </c>
      <c r="M317">
        <v>79.2</v>
      </c>
      <c r="N317">
        <v>19.600000000000001</v>
      </c>
      <c r="O317">
        <v>46.9</v>
      </c>
      <c r="P317">
        <v>28.1</v>
      </c>
      <c r="Q317" t="s">
        <v>372</v>
      </c>
      <c r="R317" t="s">
        <v>1351</v>
      </c>
      <c r="S317" t="s">
        <v>374</v>
      </c>
      <c r="T317">
        <v>4020</v>
      </c>
      <c r="U317">
        <v>22.2</v>
      </c>
      <c r="V317">
        <v>1205</v>
      </c>
      <c r="W317">
        <v>26.5</v>
      </c>
      <c r="X317">
        <v>554</v>
      </c>
      <c r="Y317">
        <v>82.5</v>
      </c>
      <c r="Z317">
        <v>270</v>
      </c>
      <c r="AA317">
        <v>64.099999999999994</v>
      </c>
      <c r="AB317">
        <v>563</v>
      </c>
      <c r="AC317">
        <v>95.2</v>
      </c>
      <c r="AD317">
        <v>44</v>
      </c>
      <c r="AE317" t="s">
        <v>57</v>
      </c>
      <c r="AF317">
        <v>0</v>
      </c>
      <c r="AG317" t="s">
        <v>1352</v>
      </c>
      <c r="AH317">
        <v>816</v>
      </c>
      <c r="AI317" t="s">
        <v>55</v>
      </c>
      <c r="AJ317" s="1">
        <v>12950</v>
      </c>
      <c r="AK317">
        <v>19</v>
      </c>
      <c r="AL317" s="2">
        <v>0.25</v>
      </c>
      <c r="AM317" s="3">
        <v>2.036111111111111</v>
      </c>
      <c r="AN317" t="s">
        <v>1351</v>
      </c>
      <c r="AO317" t="s">
        <v>1353</v>
      </c>
      <c r="AP317" t="b">
        <v>0</v>
      </c>
      <c r="AQ317" t="b">
        <v>0</v>
      </c>
      <c r="AR317" t="b">
        <v>0</v>
      </c>
      <c r="AS317" t="s">
        <v>1354</v>
      </c>
    </row>
    <row r="318" spans="1:45" x14ac:dyDescent="0.3">
      <c r="A318">
        <v>423</v>
      </c>
      <c r="B318">
        <v>441</v>
      </c>
      <c r="C318" t="s">
        <v>1355</v>
      </c>
      <c r="D318" t="s">
        <v>139</v>
      </c>
      <c r="E318" t="s">
        <v>140</v>
      </c>
      <c r="F318" t="s">
        <v>56</v>
      </c>
      <c r="G318">
        <v>19.2</v>
      </c>
      <c r="H318">
        <v>8.1</v>
      </c>
      <c r="I318">
        <v>26</v>
      </c>
      <c r="J318">
        <v>23.8</v>
      </c>
      <c r="K318">
        <v>55.8</v>
      </c>
      <c r="L318">
        <v>41.6</v>
      </c>
      <c r="M318">
        <v>80.2</v>
      </c>
      <c r="N318">
        <v>36.4</v>
      </c>
      <c r="O318">
        <v>78.400000000000006</v>
      </c>
      <c r="P318">
        <v>28.1</v>
      </c>
      <c r="Q318" t="s">
        <v>486</v>
      </c>
      <c r="R318" t="s">
        <v>1355</v>
      </c>
      <c r="S318" t="s">
        <v>487</v>
      </c>
      <c r="T318">
        <v>2720</v>
      </c>
      <c r="U318">
        <v>40.700000000000003</v>
      </c>
      <c r="V318">
        <v>286</v>
      </c>
      <c r="W318">
        <v>38.700000000000003</v>
      </c>
      <c r="X318">
        <v>267</v>
      </c>
      <c r="Y318">
        <v>73.7</v>
      </c>
      <c r="Z318">
        <v>469</v>
      </c>
      <c r="AA318">
        <v>94.2</v>
      </c>
      <c r="AB318">
        <v>125</v>
      </c>
      <c r="AC318">
        <v>76.2</v>
      </c>
      <c r="AD318">
        <v>310</v>
      </c>
      <c r="AE318" t="s">
        <v>57</v>
      </c>
      <c r="AF318">
        <v>1</v>
      </c>
      <c r="AG318" t="s">
        <v>1356</v>
      </c>
      <c r="AH318">
        <v>876</v>
      </c>
      <c r="AI318" t="s">
        <v>140</v>
      </c>
      <c r="AJ318" s="1">
        <v>30362</v>
      </c>
      <c r="AK318">
        <v>17.899999999999999</v>
      </c>
      <c r="AL318" s="2">
        <v>0.16</v>
      </c>
      <c r="AM318" s="3">
        <v>2.4458333333333333</v>
      </c>
      <c r="AN318" t="s">
        <v>1355</v>
      </c>
      <c r="AO318" t="s">
        <v>1357</v>
      </c>
      <c r="AP318" t="b">
        <v>0</v>
      </c>
      <c r="AQ318" t="b">
        <v>0</v>
      </c>
      <c r="AR318" t="b">
        <v>0</v>
      </c>
    </row>
    <row r="319" spans="1:45" x14ac:dyDescent="0.3">
      <c r="A319">
        <v>425</v>
      </c>
      <c r="B319">
        <v>431</v>
      </c>
      <c r="C319" t="s">
        <v>1358</v>
      </c>
      <c r="D319" t="s">
        <v>297</v>
      </c>
      <c r="E319" t="s">
        <v>298</v>
      </c>
      <c r="F319" t="s">
        <v>47</v>
      </c>
      <c r="G319">
        <v>13.9</v>
      </c>
      <c r="H319">
        <v>54.7</v>
      </c>
      <c r="I319">
        <v>24.3</v>
      </c>
      <c r="J319">
        <v>41.6</v>
      </c>
      <c r="K319">
        <v>19.8</v>
      </c>
      <c r="L319">
        <v>20.6</v>
      </c>
      <c r="M319">
        <v>21.3</v>
      </c>
      <c r="N319">
        <v>22.5</v>
      </c>
      <c r="O319">
        <v>31.3</v>
      </c>
      <c r="P319">
        <v>28</v>
      </c>
      <c r="Q319" t="s">
        <v>679</v>
      </c>
      <c r="R319" t="s">
        <v>1358</v>
      </c>
      <c r="S319" t="s">
        <v>680</v>
      </c>
      <c r="T319">
        <v>9320</v>
      </c>
      <c r="U319">
        <v>27.3</v>
      </c>
      <c r="V319">
        <v>862</v>
      </c>
      <c r="W319">
        <v>25</v>
      </c>
      <c r="X319">
        <v>611</v>
      </c>
      <c r="Y319">
        <v>35.799999999999997</v>
      </c>
      <c r="Z319">
        <v>1307</v>
      </c>
      <c r="AA319">
        <v>94.1</v>
      </c>
      <c r="AB319">
        <v>127</v>
      </c>
      <c r="AC319">
        <v>41.6</v>
      </c>
      <c r="AD319">
        <v>1065</v>
      </c>
      <c r="AE319" t="s">
        <v>57</v>
      </c>
      <c r="AF319">
        <v>0</v>
      </c>
      <c r="AG319" t="s">
        <v>1359</v>
      </c>
      <c r="AH319">
        <v>131306</v>
      </c>
      <c r="AI319" t="s">
        <v>298</v>
      </c>
      <c r="AJ319" s="1">
        <v>9868</v>
      </c>
      <c r="AK319">
        <v>15.6</v>
      </c>
      <c r="AL319" s="2">
        <v>0.1</v>
      </c>
      <c r="AM319" t="s">
        <v>427</v>
      </c>
      <c r="AN319" t="s">
        <v>1358</v>
      </c>
      <c r="AO319" t="s">
        <v>1360</v>
      </c>
      <c r="AP319" t="b">
        <v>0</v>
      </c>
      <c r="AQ319" t="b">
        <v>0</v>
      </c>
      <c r="AR319" t="b">
        <v>0</v>
      </c>
    </row>
    <row r="320" spans="1:45" x14ac:dyDescent="0.3">
      <c r="A320">
        <v>426</v>
      </c>
      <c r="B320">
        <v>481</v>
      </c>
      <c r="C320" t="s">
        <v>1361</v>
      </c>
      <c r="D320" t="s">
        <v>150</v>
      </c>
      <c r="E320" t="s">
        <v>151</v>
      </c>
      <c r="F320" t="s">
        <v>56</v>
      </c>
      <c r="G320">
        <v>21.2</v>
      </c>
      <c r="H320">
        <v>32</v>
      </c>
      <c r="I320">
        <v>17.899999999999999</v>
      </c>
      <c r="J320">
        <v>17.399999999999999</v>
      </c>
      <c r="K320">
        <v>46.3</v>
      </c>
      <c r="L320">
        <v>26.9</v>
      </c>
      <c r="M320">
        <v>78.5</v>
      </c>
      <c r="N320">
        <v>14.5</v>
      </c>
      <c r="O320">
        <v>82.1</v>
      </c>
      <c r="P320">
        <v>27.9</v>
      </c>
      <c r="Q320" t="s">
        <v>659</v>
      </c>
      <c r="R320" t="s">
        <v>1361</v>
      </c>
      <c r="S320" t="s">
        <v>660</v>
      </c>
      <c r="T320">
        <v>3790</v>
      </c>
      <c r="U320">
        <v>38.299999999999997</v>
      </c>
      <c r="V320">
        <v>354</v>
      </c>
      <c r="W320">
        <v>41.5</v>
      </c>
      <c r="X320">
        <v>227</v>
      </c>
      <c r="Y320">
        <v>62.1</v>
      </c>
      <c r="Z320">
        <v>730</v>
      </c>
      <c r="AA320">
        <v>81.599999999999994</v>
      </c>
      <c r="AB320">
        <v>242</v>
      </c>
      <c r="AC320">
        <v>58.2</v>
      </c>
      <c r="AD320">
        <v>619</v>
      </c>
      <c r="AE320" t="s">
        <v>57</v>
      </c>
      <c r="AF320">
        <v>0</v>
      </c>
      <c r="AG320" t="s">
        <v>1362</v>
      </c>
      <c r="AH320">
        <v>826</v>
      </c>
      <c r="AI320" t="s">
        <v>151</v>
      </c>
      <c r="AJ320" s="1">
        <v>19807</v>
      </c>
      <c r="AK320">
        <v>39.5</v>
      </c>
      <c r="AL320" s="2">
        <v>0.15</v>
      </c>
      <c r="AM320" s="3">
        <v>1.8722222222222222</v>
      </c>
      <c r="AN320" t="s">
        <v>1361</v>
      </c>
      <c r="AO320" t="s">
        <v>1363</v>
      </c>
      <c r="AP320" t="b">
        <v>0</v>
      </c>
      <c r="AQ320" t="b">
        <v>0</v>
      </c>
      <c r="AR320" t="b">
        <v>0</v>
      </c>
    </row>
    <row r="321" spans="1:45" x14ac:dyDescent="0.3">
      <c r="A321">
        <v>451</v>
      </c>
      <c r="B321">
        <v>486</v>
      </c>
      <c r="C321" t="s">
        <v>1364</v>
      </c>
      <c r="D321" t="s">
        <v>95</v>
      </c>
      <c r="E321" t="s">
        <v>96</v>
      </c>
      <c r="F321" t="s">
        <v>77</v>
      </c>
      <c r="G321">
        <v>5.3</v>
      </c>
      <c r="H321">
        <v>5</v>
      </c>
      <c r="I321">
        <v>8.1999999999999993</v>
      </c>
      <c r="J321">
        <v>99.1</v>
      </c>
      <c r="K321">
        <v>3.2</v>
      </c>
      <c r="L321">
        <v>2.5</v>
      </c>
      <c r="M321">
        <v>73.3</v>
      </c>
      <c r="N321">
        <v>7.2</v>
      </c>
      <c r="O321">
        <v>2.2999999999999998</v>
      </c>
      <c r="P321">
        <v>26.5</v>
      </c>
      <c r="Q321" t="s">
        <v>659</v>
      </c>
      <c r="R321" t="s">
        <v>1364</v>
      </c>
      <c r="S321" t="s">
        <v>660</v>
      </c>
      <c r="T321">
        <v>3650</v>
      </c>
      <c r="U321">
        <v>34.799999999999997</v>
      </c>
      <c r="V321">
        <v>469</v>
      </c>
      <c r="W321">
        <v>35.200000000000003</v>
      </c>
      <c r="X321">
        <v>344</v>
      </c>
      <c r="Y321">
        <v>80.900000000000006</v>
      </c>
      <c r="Z321">
        <v>302</v>
      </c>
      <c r="AA321">
        <v>85.5</v>
      </c>
      <c r="AB321">
        <v>201</v>
      </c>
      <c r="AC321">
        <v>33.9</v>
      </c>
      <c r="AD321">
        <v>1359</v>
      </c>
      <c r="AE321" t="s">
        <v>57</v>
      </c>
      <c r="AF321">
        <v>0</v>
      </c>
      <c r="AG321" t="s">
        <v>1365</v>
      </c>
      <c r="AH321">
        <v>131759</v>
      </c>
      <c r="AI321" t="s">
        <v>98</v>
      </c>
      <c r="AJ321" s="1">
        <v>37498</v>
      </c>
      <c r="AK321">
        <v>15.7</v>
      </c>
      <c r="AL321" s="2">
        <v>0.03</v>
      </c>
      <c r="AM321" t="s">
        <v>587</v>
      </c>
      <c r="AN321" t="s">
        <v>1364</v>
      </c>
      <c r="AO321" t="s">
        <v>1366</v>
      </c>
      <c r="AP321" t="b">
        <v>0</v>
      </c>
      <c r="AQ321" t="b">
        <v>0</v>
      </c>
      <c r="AR321" t="b">
        <v>0</v>
      </c>
    </row>
    <row r="322" spans="1:45" x14ac:dyDescent="0.3">
      <c r="A322">
        <v>431</v>
      </c>
      <c r="B322">
        <v>418</v>
      </c>
      <c r="C322" t="s">
        <v>1367</v>
      </c>
      <c r="D322" t="s">
        <v>378</v>
      </c>
      <c r="E322" t="s">
        <v>379</v>
      </c>
      <c r="F322" t="s">
        <v>47</v>
      </c>
      <c r="G322">
        <v>22</v>
      </c>
      <c r="H322">
        <v>13.5</v>
      </c>
      <c r="I322">
        <v>99</v>
      </c>
      <c r="J322">
        <v>4.2</v>
      </c>
      <c r="K322">
        <v>21.6</v>
      </c>
      <c r="L322">
        <v>91.6</v>
      </c>
      <c r="M322">
        <v>64.099999999999994</v>
      </c>
      <c r="N322">
        <v>4.4000000000000004</v>
      </c>
      <c r="O322">
        <v>1.4</v>
      </c>
      <c r="P322">
        <v>27.6</v>
      </c>
      <c r="Q322" t="s">
        <v>572</v>
      </c>
      <c r="R322" t="s">
        <v>1367</v>
      </c>
      <c r="S322" t="s">
        <v>574</v>
      </c>
      <c r="T322">
        <v>5930</v>
      </c>
      <c r="U322">
        <v>49.2</v>
      </c>
      <c r="V322">
        <v>140</v>
      </c>
      <c r="W322">
        <v>40</v>
      </c>
      <c r="X322">
        <v>250</v>
      </c>
      <c r="Y322">
        <v>31.8</v>
      </c>
      <c r="Z322">
        <v>1405</v>
      </c>
      <c r="AA322">
        <v>53.8</v>
      </c>
      <c r="AB322">
        <v>740</v>
      </c>
      <c r="AC322">
        <v>79.099999999999994</v>
      </c>
      <c r="AD322">
        <v>263</v>
      </c>
      <c r="AE322" t="s">
        <v>57</v>
      </c>
      <c r="AF322">
        <v>0</v>
      </c>
      <c r="AG322" t="s">
        <v>1368</v>
      </c>
      <c r="AH322">
        <v>131772</v>
      </c>
      <c r="AI322" t="s">
        <v>381</v>
      </c>
      <c r="AJ322" s="1">
        <v>7930</v>
      </c>
      <c r="AK322">
        <v>11.6</v>
      </c>
      <c r="AL322" s="2">
        <v>0.37</v>
      </c>
      <c r="AN322" t="s">
        <v>1367</v>
      </c>
      <c r="AO322" t="s">
        <v>1369</v>
      </c>
      <c r="AP322" t="b">
        <v>0</v>
      </c>
      <c r="AQ322" t="b">
        <v>0</v>
      </c>
      <c r="AR322" t="b">
        <v>1</v>
      </c>
    </row>
    <row r="323" spans="1:45" x14ac:dyDescent="0.3">
      <c r="A323">
        <v>431</v>
      </c>
      <c r="B323">
        <v>403</v>
      </c>
      <c r="C323" t="s">
        <v>1370</v>
      </c>
      <c r="D323" t="s">
        <v>626</v>
      </c>
      <c r="E323" t="s">
        <v>627</v>
      </c>
      <c r="F323" t="s">
        <v>77</v>
      </c>
      <c r="G323">
        <v>44.4</v>
      </c>
      <c r="H323">
        <v>14.1</v>
      </c>
      <c r="I323">
        <v>5.7</v>
      </c>
      <c r="J323">
        <v>26.2</v>
      </c>
      <c r="K323">
        <v>3.1</v>
      </c>
      <c r="L323">
        <v>14.8</v>
      </c>
      <c r="M323">
        <v>96.3</v>
      </c>
      <c r="N323">
        <v>4.9000000000000004</v>
      </c>
      <c r="O323">
        <v>26.3</v>
      </c>
      <c r="P323">
        <v>27.6</v>
      </c>
      <c r="Q323" t="s">
        <v>572</v>
      </c>
      <c r="R323" t="s">
        <v>1370</v>
      </c>
      <c r="S323" t="s">
        <v>574</v>
      </c>
      <c r="T323">
        <v>5360</v>
      </c>
      <c r="U323">
        <v>28.5</v>
      </c>
      <c r="V323">
        <v>774</v>
      </c>
      <c r="W323">
        <v>26.6</v>
      </c>
      <c r="X323">
        <v>552</v>
      </c>
      <c r="Y323">
        <v>65.7</v>
      </c>
      <c r="Z323">
        <v>657</v>
      </c>
      <c r="AA323">
        <v>52.2</v>
      </c>
      <c r="AB323">
        <v>765</v>
      </c>
      <c r="AC323">
        <v>52.6</v>
      </c>
      <c r="AD323">
        <v>723</v>
      </c>
      <c r="AE323" t="s">
        <v>57</v>
      </c>
      <c r="AF323">
        <v>0</v>
      </c>
      <c r="AG323" t="s">
        <v>1371</v>
      </c>
      <c r="AH323">
        <v>131272</v>
      </c>
      <c r="AI323" t="s">
        <v>627</v>
      </c>
      <c r="AJ323" s="1">
        <v>55523</v>
      </c>
      <c r="AK323">
        <v>14.7</v>
      </c>
      <c r="AL323" s="2">
        <v>0.09</v>
      </c>
      <c r="AM323" s="3">
        <v>2.4868055555555557</v>
      </c>
      <c r="AN323" t="s">
        <v>1370</v>
      </c>
      <c r="AO323" t="s">
        <v>1372</v>
      </c>
      <c r="AP323" t="b">
        <v>0</v>
      </c>
      <c r="AQ323" t="b">
        <v>0</v>
      </c>
      <c r="AR323" t="b">
        <v>0</v>
      </c>
    </row>
    <row r="324" spans="1:45" x14ac:dyDescent="0.3">
      <c r="A324">
        <v>434</v>
      </c>
      <c r="B324">
        <v>465</v>
      </c>
      <c r="C324" t="s">
        <v>1373</v>
      </c>
      <c r="D324" t="s">
        <v>731</v>
      </c>
      <c r="E324" t="s">
        <v>732</v>
      </c>
      <c r="F324" t="s">
        <v>56</v>
      </c>
      <c r="G324">
        <v>18.100000000000001</v>
      </c>
      <c r="H324">
        <v>17.3</v>
      </c>
      <c r="I324">
        <v>6</v>
      </c>
      <c r="J324">
        <v>22</v>
      </c>
      <c r="K324">
        <v>100</v>
      </c>
      <c r="L324">
        <v>100</v>
      </c>
      <c r="M324">
        <v>84.8</v>
      </c>
      <c r="N324">
        <v>11.2</v>
      </c>
      <c r="O324">
        <v>11.8</v>
      </c>
      <c r="P324">
        <v>27.5</v>
      </c>
      <c r="Q324" t="s">
        <v>659</v>
      </c>
      <c r="R324" t="s">
        <v>1373</v>
      </c>
      <c r="S324" t="s">
        <v>660</v>
      </c>
      <c r="T324">
        <v>3900</v>
      </c>
      <c r="U324">
        <v>20.7</v>
      </c>
      <c r="V324">
        <v>1325</v>
      </c>
      <c r="W324">
        <v>25.7</v>
      </c>
      <c r="X324">
        <v>586</v>
      </c>
      <c r="Y324">
        <v>93.8</v>
      </c>
      <c r="Z324">
        <v>62</v>
      </c>
      <c r="AA324">
        <v>29</v>
      </c>
      <c r="AB324">
        <v>1202</v>
      </c>
      <c r="AC324">
        <v>98.8</v>
      </c>
      <c r="AD324">
        <v>1</v>
      </c>
      <c r="AE324" t="s">
        <v>57</v>
      </c>
      <c r="AF324">
        <v>11</v>
      </c>
      <c r="AG324" t="s">
        <v>1374</v>
      </c>
      <c r="AH324">
        <v>131672</v>
      </c>
      <c r="AI324" t="s">
        <v>732</v>
      </c>
      <c r="AJ324" s="1">
        <v>12848</v>
      </c>
      <c r="AK324">
        <v>18.899999999999999</v>
      </c>
      <c r="AL324" s="2">
        <v>0.51</v>
      </c>
      <c r="AM324" s="3">
        <v>2.8145833333333332</v>
      </c>
      <c r="AN324" t="s">
        <v>1373</v>
      </c>
      <c r="AO324" t="s">
        <v>1375</v>
      </c>
      <c r="AP324" t="b">
        <v>0</v>
      </c>
      <c r="AQ324" t="b">
        <v>0</v>
      </c>
      <c r="AR324" t="b">
        <v>0</v>
      </c>
    </row>
    <row r="325" spans="1:45" x14ac:dyDescent="0.3">
      <c r="A325">
        <v>436</v>
      </c>
      <c r="B325">
        <v>451</v>
      </c>
      <c r="C325" t="s">
        <v>1376</v>
      </c>
      <c r="D325" t="s">
        <v>1134</v>
      </c>
      <c r="E325" t="s">
        <v>1135</v>
      </c>
      <c r="F325" t="s">
        <v>56</v>
      </c>
      <c r="G325">
        <v>7.8</v>
      </c>
      <c r="H325">
        <v>14</v>
      </c>
      <c r="I325">
        <v>2.7</v>
      </c>
      <c r="J325">
        <v>98.7</v>
      </c>
      <c r="K325">
        <v>12</v>
      </c>
      <c r="L325">
        <v>1.5</v>
      </c>
      <c r="M325">
        <v>53.4</v>
      </c>
      <c r="N325">
        <v>5.3</v>
      </c>
      <c r="O325">
        <v>1.6</v>
      </c>
      <c r="P325">
        <v>27.2</v>
      </c>
      <c r="Q325" t="s">
        <v>372</v>
      </c>
      <c r="R325" t="s">
        <v>1376</v>
      </c>
      <c r="S325" t="s">
        <v>374</v>
      </c>
      <c r="T325">
        <v>4420</v>
      </c>
      <c r="U325">
        <v>33.6</v>
      </c>
      <c r="V325">
        <v>514</v>
      </c>
      <c r="W325">
        <v>37.4</v>
      </c>
      <c r="X325">
        <v>300</v>
      </c>
      <c r="Y325">
        <v>75.2</v>
      </c>
      <c r="Z325">
        <v>435</v>
      </c>
      <c r="AA325">
        <v>73.900000000000006</v>
      </c>
      <c r="AB325">
        <v>349</v>
      </c>
      <c r="AC325">
        <v>24.3</v>
      </c>
      <c r="AD325">
        <v>1729</v>
      </c>
      <c r="AE325" t="s">
        <v>57</v>
      </c>
      <c r="AF325">
        <v>0</v>
      </c>
      <c r="AG325" t="s">
        <v>1377</v>
      </c>
      <c r="AH325">
        <v>128784</v>
      </c>
      <c r="AI325" t="s">
        <v>1137</v>
      </c>
      <c r="AJ325" s="1">
        <v>14679</v>
      </c>
      <c r="AK325">
        <v>32.700000000000003</v>
      </c>
      <c r="AL325" s="2">
        <v>0.01</v>
      </c>
      <c r="AM325" t="s">
        <v>445</v>
      </c>
      <c r="AN325" t="s">
        <v>1376</v>
      </c>
      <c r="AO325" t="s">
        <v>1378</v>
      </c>
      <c r="AP325" t="b">
        <v>0</v>
      </c>
      <c r="AQ325" t="b">
        <v>0</v>
      </c>
      <c r="AR325" t="b">
        <v>0</v>
      </c>
    </row>
    <row r="326" spans="1:45" x14ac:dyDescent="0.3">
      <c r="A326">
        <v>436</v>
      </c>
      <c r="B326">
        <v>431</v>
      </c>
      <c r="C326" t="s">
        <v>1379</v>
      </c>
      <c r="D326" t="s">
        <v>87</v>
      </c>
      <c r="E326" t="s">
        <v>88</v>
      </c>
      <c r="F326" t="s">
        <v>47</v>
      </c>
      <c r="G326">
        <v>8</v>
      </c>
      <c r="H326">
        <v>4.5</v>
      </c>
      <c r="I326">
        <v>5.2</v>
      </c>
      <c r="J326">
        <v>57.3</v>
      </c>
      <c r="K326">
        <v>85.6</v>
      </c>
      <c r="L326">
        <v>73.900000000000006</v>
      </c>
      <c r="M326">
        <v>74.900000000000006</v>
      </c>
      <c r="N326">
        <v>14.8</v>
      </c>
      <c r="O326">
        <v>11.3</v>
      </c>
      <c r="P326">
        <v>27.2</v>
      </c>
      <c r="Q326" t="s">
        <v>659</v>
      </c>
      <c r="R326" t="s">
        <v>1379</v>
      </c>
      <c r="S326" t="s">
        <v>660</v>
      </c>
      <c r="T326">
        <v>3840</v>
      </c>
      <c r="U326">
        <v>23.2</v>
      </c>
      <c r="V326">
        <v>1138</v>
      </c>
      <c r="W326">
        <v>29.6</v>
      </c>
      <c r="X326">
        <v>483</v>
      </c>
      <c r="Y326">
        <v>81.400000000000006</v>
      </c>
      <c r="Z326">
        <v>293</v>
      </c>
      <c r="AA326">
        <v>67.2</v>
      </c>
      <c r="AB326">
        <v>495</v>
      </c>
      <c r="AC326">
        <v>94.2</v>
      </c>
      <c r="AD326">
        <v>62</v>
      </c>
      <c r="AE326" t="s">
        <v>57</v>
      </c>
      <c r="AF326">
        <v>0</v>
      </c>
      <c r="AG326" t="s">
        <v>1380</v>
      </c>
      <c r="AH326">
        <v>890</v>
      </c>
      <c r="AI326" t="s">
        <v>88</v>
      </c>
      <c r="AJ326" s="1">
        <v>14816</v>
      </c>
      <c r="AK326">
        <v>34</v>
      </c>
      <c r="AL326" s="2">
        <v>0.38</v>
      </c>
      <c r="AM326" s="3">
        <v>2.6097222222222221</v>
      </c>
      <c r="AN326" t="s">
        <v>1381</v>
      </c>
      <c r="AO326" t="s">
        <v>1382</v>
      </c>
      <c r="AP326" t="b">
        <v>0</v>
      </c>
      <c r="AQ326" t="b">
        <v>0</v>
      </c>
      <c r="AR326" t="b">
        <v>0</v>
      </c>
    </row>
    <row r="327" spans="1:45" x14ac:dyDescent="0.3">
      <c r="A327">
        <v>439</v>
      </c>
      <c r="B327">
        <v>473</v>
      </c>
      <c r="C327" t="s">
        <v>1383</v>
      </c>
      <c r="D327" t="s">
        <v>1384</v>
      </c>
      <c r="E327" t="s">
        <v>1385</v>
      </c>
      <c r="F327" t="s">
        <v>56</v>
      </c>
      <c r="G327">
        <v>19.100000000000001</v>
      </c>
      <c r="H327">
        <v>23.5</v>
      </c>
      <c r="I327">
        <v>74.7</v>
      </c>
      <c r="J327">
        <v>3.3</v>
      </c>
      <c r="K327">
        <v>12.4</v>
      </c>
      <c r="L327">
        <v>13.6</v>
      </c>
      <c r="M327">
        <v>75.5</v>
      </c>
      <c r="N327">
        <v>83.7</v>
      </c>
      <c r="O327">
        <v>27.1</v>
      </c>
      <c r="P327">
        <v>27.1</v>
      </c>
      <c r="Q327" t="s">
        <v>679</v>
      </c>
      <c r="R327" t="s">
        <v>1386</v>
      </c>
      <c r="S327" t="s">
        <v>680</v>
      </c>
      <c r="T327">
        <v>9910</v>
      </c>
      <c r="U327">
        <v>26.6</v>
      </c>
      <c r="V327">
        <v>906</v>
      </c>
      <c r="W327">
        <v>17.5</v>
      </c>
      <c r="X327">
        <v>944</v>
      </c>
      <c r="Y327">
        <v>51.4</v>
      </c>
      <c r="Z327">
        <v>985</v>
      </c>
      <c r="AA327">
        <v>44.4</v>
      </c>
      <c r="AB327">
        <v>906</v>
      </c>
      <c r="AC327">
        <v>46.7</v>
      </c>
      <c r="AD327">
        <v>907</v>
      </c>
      <c r="AE327" t="s">
        <v>57</v>
      </c>
      <c r="AF327">
        <v>0</v>
      </c>
      <c r="AG327" t="s">
        <v>1387</v>
      </c>
      <c r="AH327">
        <v>131748</v>
      </c>
      <c r="AI327" t="s">
        <v>1385</v>
      </c>
      <c r="AJ327" s="1">
        <v>20901</v>
      </c>
      <c r="AK327">
        <v>9.1</v>
      </c>
      <c r="AL327" s="2">
        <v>0.09</v>
      </c>
      <c r="AM327" s="3">
        <v>2.7326388888888888</v>
      </c>
      <c r="AN327" t="s">
        <v>1386</v>
      </c>
      <c r="AO327" t="s">
        <v>1388</v>
      </c>
      <c r="AP327" t="b">
        <v>0</v>
      </c>
      <c r="AQ327" t="b">
        <v>0</v>
      </c>
      <c r="AR327" t="b">
        <v>0</v>
      </c>
    </row>
    <row r="328" spans="1:45" x14ac:dyDescent="0.3">
      <c r="A328">
        <v>442</v>
      </c>
      <c r="B328">
        <v>421</v>
      </c>
      <c r="C328" t="s">
        <v>1389</v>
      </c>
      <c r="D328" t="s">
        <v>378</v>
      </c>
      <c r="E328" t="s">
        <v>379</v>
      </c>
      <c r="F328" t="s">
        <v>47</v>
      </c>
      <c r="G328">
        <v>24.7</v>
      </c>
      <c r="H328">
        <v>18.399999999999999</v>
      </c>
      <c r="I328">
        <v>91</v>
      </c>
      <c r="J328">
        <v>9.5</v>
      </c>
      <c r="K328">
        <v>6.3</v>
      </c>
      <c r="L328">
        <v>57</v>
      </c>
      <c r="M328">
        <v>56.5</v>
      </c>
      <c r="N328">
        <v>5.8</v>
      </c>
      <c r="O328">
        <v>5.3</v>
      </c>
      <c r="P328">
        <v>26.8</v>
      </c>
      <c r="Q328" t="s">
        <v>696</v>
      </c>
      <c r="R328" t="s">
        <v>1389</v>
      </c>
      <c r="S328" t="s">
        <v>697</v>
      </c>
      <c r="T328">
        <v>7330</v>
      </c>
      <c r="U328">
        <v>42.2</v>
      </c>
      <c r="V328">
        <v>260</v>
      </c>
      <c r="W328">
        <v>36.6</v>
      </c>
      <c r="X328">
        <v>313</v>
      </c>
      <c r="Y328">
        <v>31.6</v>
      </c>
      <c r="Z328">
        <v>1409</v>
      </c>
      <c r="AA328">
        <v>40.700000000000003</v>
      </c>
      <c r="AB328">
        <v>963</v>
      </c>
      <c r="AC328">
        <v>51.9</v>
      </c>
      <c r="AD328">
        <v>743</v>
      </c>
      <c r="AE328" t="s">
        <v>57</v>
      </c>
      <c r="AF328">
        <v>0</v>
      </c>
      <c r="AG328" t="s">
        <v>1390</v>
      </c>
      <c r="AH328">
        <v>1030</v>
      </c>
      <c r="AI328" t="s">
        <v>381</v>
      </c>
      <c r="AJ328" s="1">
        <v>7264</v>
      </c>
      <c r="AK328">
        <v>6.6</v>
      </c>
      <c r="AL328" s="2">
        <v>0.2</v>
      </c>
      <c r="AN328" t="s">
        <v>1389</v>
      </c>
      <c r="AO328" t="s">
        <v>1391</v>
      </c>
      <c r="AP328" t="b">
        <v>0</v>
      </c>
      <c r="AQ328" t="b">
        <v>0</v>
      </c>
      <c r="AR328" t="b">
        <v>1</v>
      </c>
    </row>
    <row r="329" spans="1:45" x14ac:dyDescent="0.3">
      <c r="A329">
        <v>445</v>
      </c>
      <c r="B329">
        <v>415</v>
      </c>
      <c r="C329" t="s">
        <v>1392</v>
      </c>
      <c r="D329" t="s">
        <v>87</v>
      </c>
      <c r="E329" t="s">
        <v>88</v>
      </c>
      <c r="F329" t="s">
        <v>47</v>
      </c>
      <c r="G329">
        <v>14.4</v>
      </c>
      <c r="H329">
        <v>6.5</v>
      </c>
      <c r="I329">
        <v>17.5</v>
      </c>
      <c r="J329">
        <v>46.9</v>
      </c>
      <c r="K329">
        <v>36.700000000000003</v>
      </c>
      <c r="L329">
        <v>16</v>
      </c>
      <c r="M329">
        <v>76</v>
      </c>
      <c r="N329">
        <v>6.7</v>
      </c>
      <c r="O329">
        <v>88.9</v>
      </c>
      <c r="P329">
        <v>26.7</v>
      </c>
      <c r="Q329" t="s">
        <v>659</v>
      </c>
      <c r="R329" t="s">
        <v>1392</v>
      </c>
      <c r="S329" t="s">
        <v>660</v>
      </c>
      <c r="T329">
        <v>3750</v>
      </c>
      <c r="U329">
        <v>28.3</v>
      </c>
      <c r="V329">
        <v>787</v>
      </c>
      <c r="W329">
        <v>30.9</v>
      </c>
      <c r="X329">
        <v>447</v>
      </c>
      <c r="Y329">
        <v>79.599999999999994</v>
      </c>
      <c r="Z329">
        <v>330</v>
      </c>
      <c r="AA329">
        <v>58.9</v>
      </c>
      <c r="AB329">
        <v>664</v>
      </c>
      <c r="AC329">
        <v>77.7</v>
      </c>
      <c r="AD329">
        <v>283</v>
      </c>
      <c r="AE329" t="s">
        <v>57</v>
      </c>
      <c r="AF329">
        <v>1</v>
      </c>
      <c r="AG329" t="s">
        <v>1393</v>
      </c>
      <c r="AH329">
        <v>131521</v>
      </c>
      <c r="AI329" t="s">
        <v>88</v>
      </c>
      <c r="AJ329" s="1">
        <v>9759</v>
      </c>
      <c r="AK329">
        <v>17.3</v>
      </c>
      <c r="AL329" s="2">
        <v>0.09</v>
      </c>
      <c r="AM329" s="3">
        <v>2.7736111111111112</v>
      </c>
      <c r="AN329" t="s">
        <v>1392</v>
      </c>
      <c r="AO329" t="s">
        <v>1394</v>
      </c>
      <c r="AP329" t="b">
        <v>0</v>
      </c>
      <c r="AQ329" t="b">
        <v>0</v>
      </c>
      <c r="AR329" t="b">
        <v>0</v>
      </c>
      <c r="AS329" t="s">
        <v>1395</v>
      </c>
    </row>
    <row r="330" spans="1:45" x14ac:dyDescent="0.3">
      <c r="A330">
        <v>445</v>
      </c>
      <c r="B330">
        <v>396</v>
      </c>
      <c r="C330" t="s">
        <v>1396</v>
      </c>
      <c r="D330" t="s">
        <v>150</v>
      </c>
      <c r="E330" t="s">
        <v>151</v>
      </c>
      <c r="F330" t="s">
        <v>56</v>
      </c>
      <c r="G330">
        <v>12.7</v>
      </c>
      <c r="H330">
        <v>5.9</v>
      </c>
      <c r="I330">
        <v>1.9</v>
      </c>
      <c r="J330">
        <v>79.3</v>
      </c>
      <c r="K330">
        <v>14.2</v>
      </c>
      <c r="L330">
        <v>18.8</v>
      </c>
      <c r="M330">
        <v>83.9</v>
      </c>
      <c r="N330">
        <v>10.5</v>
      </c>
      <c r="O330">
        <v>11</v>
      </c>
      <c r="P330">
        <v>26.7</v>
      </c>
      <c r="Q330" t="s">
        <v>659</v>
      </c>
      <c r="R330" t="s">
        <v>1397</v>
      </c>
      <c r="S330" t="s">
        <v>660</v>
      </c>
      <c r="T330">
        <v>3760</v>
      </c>
      <c r="U330">
        <v>34.4</v>
      </c>
      <c r="V330">
        <v>481</v>
      </c>
      <c r="W330">
        <v>38</v>
      </c>
      <c r="X330">
        <v>288</v>
      </c>
      <c r="Y330">
        <v>72.5</v>
      </c>
      <c r="Z330">
        <v>497</v>
      </c>
      <c r="AA330">
        <v>70.5</v>
      </c>
      <c r="AB330">
        <v>416</v>
      </c>
      <c r="AC330">
        <v>62.7</v>
      </c>
      <c r="AD330">
        <v>528</v>
      </c>
      <c r="AE330" t="s">
        <v>57</v>
      </c>
      <c r="AF330">
        <v>0</v>
      </c>
      <c r="AG330" t="s">
        <v>1398</v>
      </c>
      <c r="AH330">
        <v>131300</v>
      </c>
      <c r="AI330" t="s">
        <v>151</v>
      </c>
      <c r="AJ330" s="1">
        <v>27184</v>
      </c>
      <c r="AK330">
        <v>42.4</v>
      </c>
      <c r="AL330" s="2">
        <v>0.11</v>
      </c>
      <c r="AM330" s="3">
        <v>2.6916666666666669</v>
      </c>
      <c r="AN330" t="s">
        <v>1397</v>
      </c>
      <c r="AO330" t="s">
        <v>1399</v>
      </c>
      <c r="AP330" t="b">
        <v>0</v>
      </c>
      <c r="AQ330" t="b">
        <v>0</v>
      </c>
      <c r="AR330" t="b">
        <v>0</v>
      </c>
    </row>
    <row r="331" spans="1:45" x14ac:dyDescent="0.3">
      <c r="A331">
        <v>284</v>
      </c>
      <c r="B331">
        <v>301</v>
      </c>
      <c r="C331" t="s">
        <v>1400</v>
      </c>
      <c r="D331" t="s">
        <v>95</v>
      </c>
      <c r="E331" t="s">
        <v>96</v>
      </c>
      <c r="F331" t="s">
        <v>47</v>
      </c>
      <c r="G331">
        <v>9.3000000000000007</v>
      </c>
      <c r="H331">
        <v>2.5</v>
      </c>
      <c r="I331">
        <v>89.7</v>
      </c>
      <c r="J331">
        <v>98.8</v>
      </c>
      <c r="K331">
        <v>37.5</v>
      </c>
      <c r="L331">
        <v>1.4</v>
      </c>
      <c r="M331">
        <v>48.3</v>
      </c>
      <c r="N331">
        <v>1.6</v>
      </c>
      <c r="O331">
        <v>31.6</v>
      </c>
      <c r="P331">
        <v>37.299999999999997</v>
      </c>
      <c r="Q331" t="s">
        <v>372</v>
      </c>
      <c r="R331" t="s">
        <v>1401</v>
      </c>
      <c r="S331" t="s">
        <v>374</v>
      </c>
      <c r="T331">
        <v>4550</v>
      </c>
      <c r="U331">
        <v>33.200000000000003</v>
      </c>
      <c r="V331">
        <v>537</v>
      </c>
      <c r="W331">
        <v>28.7</v>
      </c>
      <c r="X331">
        <v>501</v>
      </c>
      <c r="Y331">
        <v>69.599999999999994</v>
      </c>
      <c r="Z331">
        <v>566</v>
      </c>
      <c r="AA331">
        <v>88.1</v>
      </c>
      <c r="AB331">
        <v>179</v>
      </c>
      <c r="AC331">
        <v>72.400000000000006</v>
      </c>
      <c r="AD331">
        <v>372</v>
      </c>
      <c r="AE331" t="s">
        <v>208</v>
      </c>
      <c r="AF331">
        <v>0</v>
      </c>
      <c r="AG331" t="s">
        <v>1402</v>
      </c>
      <c r="AH331">
        <v>131700</v>
      </c>
      <c r="AI331" t="s">
        <v>46</v>
      </c>
      <c r="AJ331" s="1">
        <v>7271</v>
      </c>
      <c r="AK331">
        <v>21.6</v>
      </c>
      <c r="AL331" s="2">
        <v>0.09</v>
      </c>
      <c r="AM331" t="s">
        <v>1142</v>
      </c>
      <c r="AN331" t="s">
        <v>1401</v>
      </c>
      <c r="AO331" t="s">
        <v>1403</v>
      </c>
      <c r="AP331" t="b">
        <v>0</v>
      </c>
      <c r="AQ331" t="b">
        <v>0</v>
      </c>
      <c r="AR331" t="b">
        <v>0</v>
      </c>
      <c r="AS331" t="s">
        <v>1404</v>
      </c>
    </row>
    <row r="332" spans="1:45" x14ac:dyDescent="0.3">
      <c r="A332">
        <v>385</v>
      </c>
      <c r="B332">
        <v>392</v>
      </c>
      <c r="C332" t="s">
        <v>1405</v>
      </c>
      <c r="D332" t="s">
        <v>95</v>
      </c>
      <c r="E332" t="s">
        <v>96</v>
      </c>
      <c r="F332" t="s">
        <v>77</v>
      </c>
      <c r="G332">
        <v>12.1</v>
      </c>
      <c r="H332">
        <v>6.6</v>
      </c>
      <c r="I332">
        <v>20</v>
      </c>
      <c r="J332">
        <v>97.8</v>
      </c>
      <c r="K332">
        <v>10.7</v>
      </c>
      <c r="L332">
        <v>4.5999999999999996</v>
      </c>
      <c r="M332">
        <v>51.3</v>
      </c>
      <c r="N332">
        <v>27.3</v>
      </c>
      <c r="O332">
        <v>7.3</v>
      </c>
      <c r="P332">
        <v>30.4</v>
      </c>
      <c r="Q332" t="s">
        <v>486</v>
      </c>
      <c r="R332" t="s">
        <v>1405</v>
      </c>
      <c r="S332" t="s">
        <v>487</v>
      </c>
      <c r="T332">
        <v>2890</v>
      </c>
      <c r="U332">
        <v>36.6</v>
      </c>
      <c r="V332">
        <v>408</v>
      </c>
      <c r="W332">
        <v>38.200000000000003</v>
      </c>
      <c r="X332">
        <v>282</v>
      </c>
      <c r="Y332">
        <v>83.2</v>
      </c>
      <c r="Z332">
        <v>255</v>
      </c>
      <c r="AA332">
        <v>92.8</v>
      </c>
      <c r="AB332">
        <v>138</v>
      </c>
      <c r="AC332">
        <v>44</v>
      </c>
      <c r="AD332">
        <v>990</v>
      </c>
      <c r="AE332" t="s">
        <v>57</v>
      </c>
      <c r="AF332">
        <v>0</v>
      </c>
      <c r="AG332" t="s">
        <v>1406</v>
      </c>
      <c r="AH332">
        <v>128785</v>
      </c>
      <c r="AI332" t="s">
        <v>98</v>
      </c>
      <c r="AJ332" s="1">
        <v>40449</v>
      </c>
      <c r="AK332">
        <v>12.6</v>
      </c>
      <c r="AL332" s="2">
        <v>0.06</v>
      </c>
      <c r="AM332" t="s">
        <v>1244</v>
      </c>
      <c r="AN332" t="s">
        <v>1405</v>
      </c>
      <c r="AO332" t="s">
        <v>1407</v>
      </c>
      <c r="AP332" t="b">
        <v>0</v>
      </c>
      <c r="AQ332" t="b">
        <v>0</v>
      </c>
      <c r="AR332" t="b">
        <v>0</v>
      </c>
    </row>
    <row r="333" spans="1:45" x14ac:dyDescent="0.3">
      <c r="A333">
        <v>448</v>
      </c>
      <c r="B333">
        <v>494</v>
      </c>
      <c r="C333" t="s">
        <v>1408</v>
      </c>
      <c r="D333" t="s">
        <v>95</v>
      </c>
      <c r="E333" t="s">
        <v>96</v>
      </c>
      <c r="F333" t="s">
        <v>77</v>
      </c>
      <c r="G333">
        <v>7.9</v>
      </c>
      <c r="H333">
        <v>10.3</v>
      </c>
      <c r="I333">
        <v>15.2</v>
      </c>
      <c r="J333">
        <v>90.6</v>
      </c>
      <c r="K333">
        <v>4.5999999999999996</v>
      </c>
      <c r="L333">
        <v>1.8</v>
      </c>
      <c r="M333">
        <v>46.5</v>
      </c>
      <c r="N333">
        <v>23.1</v>
      </c>
      <c r="O333">
        <v>2.7</v>
      </c>
      <c r="P333">
        <v>26.6</v>
      </c>
      <c r="Q333" t="s">
        <v>659</v>
      </c>
      <c r="R333" t="s">
        <v>1409</v>
      </c>
      <c r="S333" t="s">
        <v>660</v>
      </c>
      <c r="T333">
        <v>3720</v>
      </c>
      <c r="U333">
        <v>28.9</v>
      </c>
      <c r="V333">
        <v>748</v>
      </c>
      <c r="W333">
        <v>30.4</v>
      </c>
      <c r="X333">
        <v>458</v>
      </c>
      <c r="Y333">
        <v>92</v>
      </c>
      <c r="Z333">
        <v>92</v>
      </c>
      <c r="AA333">
        <v>75.2</v>
      </c>
      <c r="AB333">
        <v>333</v>
      </c>
      <c r="AC333">
        <v>32.5</v>
      </c>
      <c r="AD333">
        <v>1400</v>
      </c>
      <c r="AE333" t="s">
        <v>57</v>
      </c>
      <c r="AF333">
        <v>0</v>
      </c>
      <c r="AG333" t="s">
        <v>1410</v>
      </c>
      <c r="AH333">
        <v>981</v>
      </c>
      <c r="AI333" t="s">
        <v>98</v>
      </c>
      <c r="AJ333" s="1">
        <v>41481</v>
      </c>
      <c r="AK333">
        <v>17.8</v>
      </c>
      <c r="AL333" s="2">
        <v>0.02</v>
      </c>
      <c r="AM333" s="3">
        <v>1.9951388888888888</v>
      </c>
      <c r="AN333" t="s">
        <v>1409</v>
      </c>
      <c r="AO333" t="s">
        <v>1411</v>
      </c>
      <c r="AP333" t="b">
        <v>0</v>
      </c>
      <c r="AQ333" t="b">
        <v>0</v>
      </c>
      <c r="AR333" t="b">
        <v>0</v>
      </c>
    </row>
    <row r="334" spans="1:45" x14ac:dyDescent="0.3">
      <c r="A334">
        <v>565</v>
      </c>
      <c r="B334">
        <v>600</v>
      </c>
      <c r="C334" t="s">
        <v>1412</v>
      </c>
      <c r="D334" t="s">
        <v>95</v>
      </c>
      <c r="E334" t="s">
        <v>96</v>
      </c>
      <c r="F334" t="s">
        <v>56</v>
      </c>
      <c r="G334">
        <v>5.7</v>
      </c>
      <c r="H334">
        <v>2.5</v>
      </c>
      <c r="I334">
        <v>8.9</v>
      </c>
      <c r="J334">
        <v>89.3</v>
      </c>
      <c r="M334">
        <v>38.700000000000003</v>
      </c>
      <c r="N334">
        <v>3.7</v>
      </c>
      <c r="O334">
        <v>2.2999999999999998</v>
      </c>
      <c r="P334">
        <v>22</v>
      </c>
      <c r="Q334" t="s">
        <v>1068</v>
      </c>
      <c r="R334" t="s">
        <v>1413</v>
      </c>
      <c r="S334" t="s">
        <v>1070</v>
      </c>
      <c r="T334">
        <v>16380</v>
      </c>
      <c r="U334">
        <v>15.7</v>
      </c>
      <c r="V334">
        <v>1717</v>
      </c>
      <c r="W334">
        <v>15.7</v>
      </c>
      <c r="X334">
        <v>1070</v>
      </c>
      <c r="Y334">
        <v>27.4</v>
      </c>
      <c r="Z334">
        <v>1507</v>
      </c>
      <c r="AA334">
        <v>43.4</v>
      </c>
      <c r="AB334">
        <v>915</v>
      </c>
      <c r="AC334">
        <v>39.700000000000003</v>
      </c>
      <c r="AD334">
        <v>1125</v>
      </c>
      <c r="AE334" t="s">
        <v>57</v>
      </c>
      <c r="AF334">
        <v>0</v>
      </c>
      <c r="AG334" t="s">
        <v>1414</v>
      </c>
      <c r="AH334">
        <v>625848</v>
      </c>
      <c r="AI334" t="s">
        <v>1415</v>
      </c>
      <c r="AJ334" s="1">
        <v>37891</v>
      </c>
      <c r="AK334">
        <v>34.1</v>
      </c>
      <c r="AL334" s="2">
        <v>0</v>
      </c>
      <c r="AM334">
        <v>0.88888888888888884</v>
      </c>
      <c r="AN334" t="s">
        <v>1413</v>
      </c>
      <c r="AO334" t="s">
        <v>1416</v>
      </c>
      <c r="AP334" t="b">
        <v>0</v>
      </c>
      <c r="AQ334" t="b">
        <v>0</v>
      </c>
      <c r="AR334" t="b">
        <v>0</v>
      </c>
    </row>
    <row r="335" spans="1:45" x14ac:dyDescent="0.3">
      <c r="A335">
        <v>452</v>
      </c>
      <c r="B335">
        <v>431</v>
      </c>
      <c r="C335" t="s">
        <v>1417</v>
      </c>
      <c r="D335" t="s">
        <v>297</v>
      </c>
      <c r="E335" t="s">
        <v>298</v>
      </c>
      <c r="F335" t="s">
        <v>47</v>
      </c>
      <c r="G335">
        <v>34.700000000000003</v>
      </c>
      <c r="H335">
        <v>20.5</v>
      </c>
      <c r="I335">
        <v>62.9</v>
      </c>
      <c r="J335">
        <v>5.4</v>
      </c>
      <c r="K335">
        <v>14.5</v>
      </c>
      <c r="L335">
        <v>25.2</v>
      </c>
      <c r="M335">
        <v>23.3</v>
      </c>
      <c r="N335">
        <v>17.3</v>
      </c>
      <c r="O335">
        <v>49.8</v>
      </c>
      <c r="P335">
        <v>26.4</v>
      </c>
      <c r="Q335" t="s">
        <v>572</v>
      </c>
      <c r="R335" t="s">
        <v>1417</v>
      </c>
      <c r="S335" t="s">
        <v>574</v>
      </c>
      <c r="T335">
        <v>5660</v>
      </c>
      <c r="U335">
        <v>35</v>
      </c>
      <c r="V335">
        <v>462</v>
      </c>
      <c r="W335">
        <v>32</v>
      </c>
      <c r="X335">
        <v>417</v>
      </c>
      <c r="Y335">
        <v>51.4</v>
      </c>
      <c r="Z335">
        <v>983</v>
      </c>
      <c r="AA335">
        <v>92.7</v>
      </c>
      <c r="AB335">
        <v>139</v>
      </c>
      <c r="AC335">
        <v>50.4</v>
      </c>
      <c r="AD335">
        <v>792</v>
      </c>
      <c r="AE335" t="s">
        <v>57</v>
      </c>
      <c r="AF335">
        <v>11</v>
      </c>
      <c r="AG335" t="s">
        <v>1418</v>
      </c>
      <c r="AH335">
        <v>932</v>
      </c>
      <c r="AI335" t="s">
        <v>298</v>
      </c>
      <c r="AJ335" s="1">
        <v>10878</v>
      </c>
      <c r="AK335">
        <v>12.3</v>
      </c>
      <c r="AL335" s="2">
        <v>0.12</v>
      </c>
      <c r="AN335" t="s">
        <v>1419</v>
      </c>
      <c r="AO335" t="s">
        <v>1420</v>
      </c>
      <c r="AP335" t="b">
        <v>0</v>
      </c>
      <c r="AQ335" t="b">
        <v>0</v>
      </c>
      <c r="AR335" t="b">
        <v>0</v>
      </c>
    </row>
    <row r="336" spans="1:45" x14ac:dyDescent="0.3">
      <c r="A336">
        <v>452</v>
      </c>
      <c r="B336">
        <v>410</v>
      </c>
      <c r="C336" t="s">
        <v>1421</v>
      </c>
      <c r="D336" t="s">
        <v>45</v>
      </c>
      <c r="E336" t="s">
        <v>46</v>
      </c>
      <c r="F336" t="s">
        <v>56</v>
      </c>
      <c r="G336">
        <v>14.4</v>
      </c>
      <c r="H336">
        <v>12.6</v>
      </c>
      <c r="I336">
        <v>86.7</v>
      </c>
      <c r="J336">
        <v>9.1999999999999993</v>
      </c>
      <c r="K336">
        <v>60.3</v>
      </c>
      <c r="L336">
        <v>7.2</v>
      </c>
      <c r="M336">
        <v>84.6</v>
      </c>
      <c r="N336">
        <v>28.2</v>
      </c>
      <c r="O336">
        <v>32.4</v>
      </c>
      <c r="P336">
        <v>26.4</v>
      </c>
      <c r="Q336" t="s">
        <v>659</v>
      </c>
      <c r="R336" t="s">
        <v>1421</v>
      </c>
      <c r="S336" t="s">
        <v>660</v>
      </c>
      <c r="T336">
        <v>3770</v>
      </c>
      <c r="U336">
        <v>42.7</v>
      </c>
      <c r="V336">
        <v>249</v>
      </c>
      <c r="W336">
        <v>25.9</v>
      </c>
      <c r="X336">
        <v>574</v>
      </c>
      <c r="Y336">
        <v>73.099999999999994</v>
      </c>
      <c r="Z336">
        <v>478</v>
      </c>
      <c r="AA336">
        <v>79.900000000000006</v>
      </c>
      <c r="AB336">
        <v>264</v>
      </c>
      <c r="AC336">
        <v>58.6</v>
      </c>
      <c r="AD336">
        <v>611</v>
      </c>
      <c r="AE336" t="s">
        <v>208</v>
      </c>
      <c r="AF336">
        <v>0</v>
      </c>
      <c r="AG336" t="s">
        <v>1422</v>
      </c>
      <c r="AH336">
        <v>751</v>
      </c>
      <c r="AI336" t="s">
        <v>46</v>
      </c>
      <c r="AJ336" s="1">
        <v>23410</v>
      </c>
      <c r="AK336">
        <v>9.5</v>
      </c>
      <c r="AL336" s="2">
        <v>7.0000000000000007E-2</v>
      </c>
      <c r="AM336" s="3">
        <v>2.2409722222222221</v>
      </c>
      <c r="AN336" t="s">
        <v>1421</v>
      </c>
      <c r="AO336" t="s">
        <v>1423</v>
      </c>
      <c r="AP336" t="b">
        <v>0</v>
      </c>
      <c r="AQ336" t="b">
        <v>0</v>
      </c>
      <c r="AR336" t="b">
        <v>0</v>
      </c>
      <c r="AS336" t="s">
        <v>1424</v>
      </c>
    </row>
    <row r="337" spans="1:45" x14ac:dyDescent="0.3">
      <c r="A337">
        <v>452</v>
      </c>
      <c r="B337">
        <v>431</v>
      </c>
      <c r="C337" t="s">
        <v>1425</v>
      </c>
      <c r="D337" t="s">
        <v>54</v>
      </c>
      <c r="E337" t="s">
        <v>55</v>
      </c>
      <c r="F337" t="s">
        <v>47</v>
      </c>
      <c r="G337">
        <v>11.2</v>
      </c>
      <c r="H337">
        <v>9.4</v>
      </c>
      <c r="I337">
        <v>9.3000000000000007</v>
      </c>
      <c r="J337">
        <v>30.3</v>
      </c>
      <c r="K337">
        <v>76.900000000000006</v>
      </c>
      <c r="L337">
        <v>81.3</v>
      </c>
      <c r="M337">
        <v>61.6</v>
      </c>
      <c r="N337">
        <v>15.8</v>
      </c>
      <c r="O337">
        <v>76.099999999999994</v>
      </c>
      <c r="P337">
        <v>26.4</v>
      </c>
      <c r="Q337" t="s">
        <v>372</v>
      </c>
      <c r="R337" t="s">
        <v>1425</v>
      </c>
      <c r="S337" t="s">
        <v>374</v>
      </c>
      <c r="T337">
        <v>4830</v>
      </c>
      <c r="U337">
        <v>23</v>
      </c>
      <c r="V337">
        <v>1153</v>
      </c>
      <c r="W337">
        <v>26.2</v>
      </c>
      <c r="X337">
        <v>563</v>
      </c>
      <c r="Y337">
        <v>82.4</v>
      </c>
      <c r="Z337">
        <v>278</v>
      </c>
      <c r="AA337">
        <v>41</v>
      </c>
      <c r="AB337">
        <v>954</v>
      </c>
      <c r="AC337">
        <v>91.4</v>
      </c>
      <c r="AD337">
        <v>109</v>
      </c>
      <c r="AE337" t="s">
        <v>57</v>
      </c>
      <c r="AF337">
        <v>0</v>
      </c>
      <c r="AG337" t="s">
        <v>1426</v>
      </c>
      <c r="AH337">
        <v>804</v>
      </c>
      <c r="AI337" t="s">
        <v>55</v>
      </c>
      <c r="AJ337" s="1">
        <v>10650</v>
      </c>
      <c r="AK337">
        <v>18.7</v>
      </c>
      <c r="AL337" s="2">
        <v>0.28000000000000003</v>
      </c>
      <c r="AM337" s="3">
        <v>2.6916666666666669</v>
      </c>
      <c r="AN337" t="s">
        <v>1425</v>
      </c>
      <c r="AO337" t="s">
        <v>1427</v>
      </c>
      <c r="AP337" t="b">
        <v>0</v>
      </c>
      <c r="AQ337" t="b">
        <v>0</v>
      </c>
      <c r="AR337" t="b">
        <v>0</v>
      </c>
    </row>
    <row r="338" spans="1:45" x14ac:dyDescent="0.3">
      <c r="A338">
        <v>456</v>
      </c>
      <c r="B338">
        <v>486</v>
      </c>
      <c r="C338" t="s">
        <v>1428</v>
      </c>
      <c r="D338" t="s">
        <v>139</v>
      </c>
      <c r="E338" t="s">
        <v>140</v>
      </c>
      <c r="F338" t="s">
        <v>56</v>
      </c>
      <c r="G338">
        <v>12.8</v>
      </c>
      <c r="H338">
        <v>12.8</v>
      </c>
      <c r="I338">
        <v>5</v>
      </c>
      <c r="J338">
        <v>50.1</v>
      </c>
      <c r="K338">
        <v>46.4</v>
      </c>
      <c r="L338">
        <v>14.3</v>
      </c>
      <c r="M338">
        <v>65.2</v>
      </c>
      <c r="N338">
        <v>11.2</v>
      </c>
      <c r="O338">
        <v>82.9</v>
      </c>
      <c r="P338">
        <v>26.3</v>
      </c>
      <c r="Q338" t="s">
        <v>372</v>
      </c>
      <c r="R338" t="s">
        <v>1428</v>
      </c>
      <c r="S338" t="s">
        <v>374</v>
      </c>
      <c r="T338">
        <v>4350</v>
      </c>
      <c r="U338">
        <v>32.6</v>
      </c>
      <c r="V338">
        <v>565</v>
      </c>
      <c r="W338">
        <v>36.200000000000003</v>
      </c>
      <c r="X338">
        <v>322</v>
      </c>
      <c r="Y338">
        <v>66.2</v>
      </c>
      <c r="Z338">
        <v>645</v>
      </c>
      <c r="AA338">
        <v>78.099999999999994</v>
      </c>
      <c r="AB338">
        <v>289</v>
      </c>
      <c r="AC338">
        <v>64.5</v>
      </c>
      <c r="AD338">
        <v>494</v>
      </c>
      <c r="AE338" t="s">
        <v>57</v>
      </c>
      <c r="AF338">
        <v>0</v>
      </c>
      <c r="AG338" t="s">
        <v>1429</v>
      </c>
      <c r="AH338">
        <v>746</v>
      </c>
      <c r="AI338" t="s">
        <v>140</v>
      </c>
      <c r="AJ338" s="1">
        <v>22936</v>
      </c>
      <c r="AK338">
        <v>27.3</v>
      </c>
      <c r="AL338" s="2">
        <v>0.1</v>
      </c>
      <c r="AM338" s="3">
        <v>2.4868055555555557</v>
      </c>
      <c r="AN338" t="s">
        <v>1428</v>
      </c>
      <c r="AO338" t="s">
        <v>1430</v>
      </c>
      <c r="AP338" t="b">
        <v>0</v>
      </c>
      <c r="AQ338" t="b">
        <v>0</v>
      </c>
      <c r="AR338" t="b">
        <v>0</v>
      </c>
      <c r="AS338" t="s">
        <v>1431</v>
      </c>
    </row>
    <row r="339" spans="1:45" x14ac:dyDescent="0.3">
      <c r="A339">
        <v>462</v>
      </c>
      <c r="B339">
        <v>436</v>
      </c>
      <c r="C339" t="s">
        <v>1432</v>
      </c>
      <c r="D339" t="s">
        <v>452</v>
      </c>
      <c r="E339" t="s">
        <v>453</v>
      </c>
      <c r="F339" t="s">
        <v>56</v>
      </c>
      <c r="G339">
        <v>21.7</v>
      </c>
      <c r="H339">
        <v>15.4</v>
      </c>
      <c r="I339">
        <v>20.399999999999999</v>
      </c>
      <c r="J339">
        <v>33.1</v>
      </c>
      <c r="K339">
        <v>44.5</v>
      </c>
      <c r="L339">
        <v>5.9</v>
      </c>
      <c r="M339">
        <v>84.8</v>
      </c>
      <c r="N339">
        <v>30.8</v>
      </c>
      <c r="O339">
        <v>23</v>
      </c>
      <c r="P339">
        <v>26</v>
      </c>
      <c r="Q339" t="s">
        <v>614</v>
      </c>
      <c r="R339" t="s">
        <v>1432</v>
      </c>
      <c r="S339" t="s">
        <v>615</v>
      </c>
      <c r="T339">
        <v>3400</v>
      </c>
      <c r="U339">
        <v>30.6</v>
      </c>
      <c r="V339">
        <v>663</v>
      </c>
      <c r="W339">
        <v>38.4</v>
      </c>
      <c r="X339">
        <v>275</v>
      </c>
      <c r="Y339">
        <v>80.900000000000006</v>
      </c>
      <c r="Z339">
        <v>304</v>
      </c>
      <c r="AA339">
        <v>93.1</v>
      </c>
      <c r="AB339">
        <v>136</v>
      </c>
      <c r="AC339">
        <v>49.8</v>
      </c>
      <c r="AD339">
        <v>807</v>
      </c>
      <c r="AE339" t="s">
        <v>57</v>
      </c>
      <c r="AF339">
        <v>0</v>
      </c>
      <c r="AG339" t="s">
        <v>1433</v>
      </c>
      <c r="AH339">
        <v>670629</v>
      </c>
      <c r="AI339" t="s">
        <v>453</v>
      </c>
      <c r="AJ339" s="1">
        <v>16236</v>
      </c>
      <c r="AK339">
        <v>20.7</v>
      </c>
      <c r="AL339" s="2">
        <v>7.0000000000000007E-2</v>
      </c>
      <c r="AM339" s="3">
        <v>2.3229166666666665</v>
      </c>
      <c r="AN339" t="s">
        <v>1432</v>
      </c>
      <c r="AO339" t="s">
        <v>1434</v>
      </c>
      <c r="AP339" t="b">
        <v>0</v>
      </c>
      <c r="AQ339" t="b">
        <v>0</v>
      </c>
      <c r="AR339" t="b">
        <v>0</v>
      </c>
    </row>
    <row r="340" spans="1:45" x14ac:dyDescent="0.3">
      <c r="A340">
        <v>464</v>
      </c>
      <c r="B340">
        <v>505</v>
      </c>
      <c r="C340" t="s">
        <v>1435</v>
      </c>
      <c r="D340" t="s">
        <v>843</v>
      </c>
      <c r="E340" t="s">
        <v>844</v>
      </c>
      <c r="F340" t="s">
        <v>56</v>
      </c>
      <c r="G340">
        <v>4.4000000000000004</v>
      </c>
      <c r="H340">
        <v>3.4</v>
      </c>
      <c r="I340">
        <v>3.9</v>
      </c>
      <c r="J340">
        <v>56.4</v>
      </c>
      <c r="K340">
        <v>100</v>
      </c>
      <c r="L340">
        <v>100</v>
      </c>
      <c r="M340">
        <v>26.2</v>
      </c>
      <c r="N340">
        <v>29.5</v>
      </c>
      <c r="O340">
        <v>11.3</v>
      </c>
      <c r="P340">
        <v>25.9</v>
      </c>
      <c r="Q340" t="s">
        <v>486</v>
      </c>
      <c r="R340" t="s">
        <v>1435</v>
      </c>
      <c r="S340" t="s">
        <v>487</v>
      </c>
      <c r="T340">
        <v>2750</v>
      </c>
      <c r="U340">
        <v>33.1</v>
      </c>
      <c r="V340">
        <v>540</v>
      </c>
      <c r="W340">
        <v>34.200000000000003</v>
      </c>
      <c r="X340">
        <v>373</v>
      </c>
      <c r="Y340">
        <v>78.900000000000006</v>
      </c>
      <c r="Z340">
        <v>346</v>
      </c>
      <c r="AA340">
        <v>65</v>
      </c>
      <c r="AB340">
        <v>546</v>
      </c>
      <c r="AC340">
        <v>94.7</v>
      </c>
      <c r="AD340">
        <v>55</v>
      </c>
      <c r="AE340" t="s">
        <v>57</v>
      </c>
      <c r="AF340">
        <v>11</v>
      </c>
      <c r="AG340" t="s">
        <v>1436</v>
      </c>
      <c r="AH340">
        <v>624573</v>
      </c>
      <c r="AI340" t="s">
        <v>846</v>
      </c>
      <c r="AJ340" s="1">
        <v>14091</v>
      </c>
      <c r="AK340">
        <v>41.8</v>
      </c>
      <c r="AL340" s="2">
        <v>0.92</v>
      </c>
      <c r="AM340" s="3">
        <v>2.4048611111111109</v>
      </c>
      <c r="AN340" t="s">
        <v>1437</v>
      </c>
      <c r="AO340" t="s">
        <v>1438</v>
      </c>
      <c r="AP340" t="b">
        <v>0</v>
      </c>
      <c r="AQ340" t="b">
        <v>0</v>
      </c>
      <c r="AR340" t="b">
        <v>0</v>
      </c>
    </row>
    <row r="341" spans="1:45" x14ac:dyDescent="0.3">
      <c r="A341">
        <v>465</v>
      </c>
      <c r="B341">
        <v>476</v>
      </c>
      <c r="C341" t="s">
        <v>1439</v>
      </c>
      <c r="D341" t="s">
        <v>175</v>
      </c>
      <c r="E341" t="s">
        <v>176</v>
      </c>
      <c r="F341" t="s">
        <v>56</v>
      </c>
      <c r="G341">
        <v>28.4</v>
      </c>
      <c r="H341">
        <v>33.200000000000003</v>
      </c>
      <c r="I341">
        <v>43.9</v>
      </c>
      <c r="J341">
        <v>11.4</v>
      </c>
      <c r="K341">
        <v>7</v>
      </c>
      <c r="L341">
        <v>5.6</v>
      </c>
      <c r="M341">
        <v>55</v>
      </c>
      <c r="N341">
        <v>15</v>
      </c>
      <c r="O341">
        <v>49.8</v>
      </c>
      <c r="P341">
        <v>25.8</v>
      </c>
      <c r="Q341" t="s">
        <v>696</v>
      </c>
      <c r="R341" t="s">
        <v>1439</v>
      </c>
      <c r="S341" t="s">
        <v>697</v>
      </c>
      <c r="T341">
        <v>6930</v>
      </c>
      <c r="U341">
        <v>39.5</v>
      </c>
      <c r="V341">
        <v>325</v>
      </c>
      <c r="W341">
        <v>27.2</v>
      </c>
      <c r="X341">
        <v>535</v>
      </c>
      <c r="Y341">
        <v>48.1</v>
      </c>
      <c r="Z341">
        <v>1056</v>
      </c>
      <c r="AA341">
        <v>75.400000000000006</v>
      </c>
      <c r="AB341">
        <v>329</v>
      </c>
      <c r="AC341">
        <v>39</v>
      </c>
      <c r="AD341">
        <v>1149</v>
      </c>
      <c r="AE341" t="s">
        <v>57</v>
      </c>
      <c r="AF341">
        <v>0</v>
      </c>
      <c r="AG341" t="s">
        <v>1440</v>
      </c>
      <c r="AH341">
        <v>833</v>
      </c>
      <c r="AI341" t="s">
        <v>176</v>
      </c>
      <c r="AJ341" s="1">
        <v>15333</v>
      </c>
      <c r="AK341">
        <v>10.199999999999999</v>
      </c>
      <c r="AL341" s="2">
        <v>7.0000000000000007E-2</v>
      </c>
      <c r="AM341" t="s">
        <v>445</v>
      </c>
      <c r="AN341" t="s">
        <v>1439</v>
      </c>
      <c r="AO341" t="s">
        <v>1441</v>
      </c>
      <c r="AP341" t="b">
        <v>0</v>
      </c>
      <c r="AQ341" t="b">
        <v>0</v>
      </c>
      <c r="AR341" t="b">
        <v>0</v>
      </c>
    </row>
    <row r="342" spans="1:45" x14ac:dyDescent="0.3">
      <c r="A342">
        <v>466</v>
      </c>
      <c r="B342" t="s">
        <v>1442</v>
      </c>
      <c r="C342" t="s">
        <v>1443</v>
      </c>
      <c r="D342" t="s">
        <v>626</v>
      </c>
      <c r="E342" t="s">
        <v>627</v>
      </c>
      <c r="F342" t="s">
        <v>56</v>
      </c>
      <c r="G342">
        <v>11</v>
      </c>
      <c r="H342">
        <v>52</v>
      </c>
      <c r="I342">
        <v>8.6999999999999993</v>
      </c>
      <c r="J342">
        <v>8.1</v>
      </c>
      <c r="K342">
        <v>93.6</v>
      </c>
      <c r="L342">
        <v>43.1</v>
      </c>
      <c r="M342">
        <v>32.6</v>
      </c>
      <c r="N342">
        <v>71.7</v>
      </c>
      <c r="O342">
        <v>20.100000000000001</v>
      </c>
      <c r="P342">
        <v>25.7</v>
      </c>
      <c r="Q342" t="s">
        <v>696</v>
      </c>
      <c r="R342" t="s">
        <v>1443</v>
      </c>
      <c r="S342" t="s">
        <v>697</v>
      </c>
      <c r="T342">
        <v>7540</v>
      </c>
      <c r="U342">
        <v>20.7</v>
      </c>
      <c r="V342">
        <v>1324</v>
      </c>
      <c r="W342">
        <v>18.2</v>
      </c>
      <c r="X342">
        <v>910</v>
      </c>
      <c r="Y342">
        <v>70.3</v>
      </c>
      <c r="Z342">
        <v>555</v>
      </c>
      <c r="AA342">
        <v>32.1</v>
      </c>
      <c r="AB342">
        <v>1140</v>
      </c>
      <c r="AC342">
        <v>72.599999999999994</v>
      </c>
      <c r="AD342">
        <v>369</v>
      </c>
      <c r="AE342" t="s">
        <v>57</v>
      </c>
      <c r="AF342">
        <v>0</v>
      </c>
      <c r="AG342" t="s">
        <v>1444</v>
      </c>
      <c r="AH342">
        <v>715231</v>
      </c>
      <c r="AI342" t="s">
        <v>627</v>
      </c>
      <c r="AJ342" s="1">
        <v>15125</v>
      </c>
      <c r="AK342">
        <v>22.6</v>
      </c>
      <c r="AL342" s="2">
        <v>0.2</v>
      </c>
      <c r="AM342" s="3">
        <v>2.1590277777777778</v>
      </c>
      <c r="AN342" t="s">
        <v>1443</v>
      </c>
      <c r="AO342" t="s">
        <v>1445</v>
      </c>
      <c r="AP342" t="b">
        <v>0</v>
      </c>
      <c r="AQ342" t="b">
        <v>0</v>
      </c>
      <c r="AR342" t="b">
        <v>0</v>
      </c>
    </row>
    <row r="343" spans="1:45" x14ac:dyDescent="0.3">
      <c r="A343">
        <v>466</v>
      </c>
      <c r="B343">
        <v>419</v>
      </c>
      <c r="C343" t="s">
        <v>1446</v>
      </c>
      <c r="D343" t="s">
        <v>45</v>
      </c>
      <c r="E343" t="s">
        <v>46</v>
      </c>
      <c r="F343" t="s">
        <v>56</v>
      </c>
      <c r="G343">
        <v>23.3</v>
      </c>
      <c r="H343">
        <v>20</v>
      </c>
      <c r="I343">
        <v>15.5</v>
      </c>
      <c r="J343">
        <v>33.5</v>
      </c>
      <c r="K343">
        <v>47.1</v>
      </c>
      <c r="L343">
        <v>5</v>
      </c>
      <c r="M343">
        <v>77.3</v>
      </c>
      <c r="N343">
        <v>8.6</v>
      </c>
      <c r="O343">
        <v>29.6</v>
      </c>
      <c r="P343">
        <v>25.7</v>
      </c>
      <c r="Q343" t="s">
        <v>614</v>
      </c>
      <c r="R343" t="s">
        <v>1446</v>
      </c>
      <c r="S343" t="s">
        <v>615</v>
      </c>
      <c r="T343">
        <v>3470</v>
      </c>
      <c r="U343">
        <v>36.9</v>
      </c>
      <c r="V343">
        <v>394</v>
      </c>
      <c r="W343">
        <v>34.5</v>
      </c>
      <c r="X343">
        <v>365</v>
      </c>
      <c r="Y343">
        <v>74.8</v>
      </c>
      <c r="Z343">
        <v>442</v>
      </c>
      <c r="AA343">
        <v>82.9</v>
      </c>
      <c r="AB343">
        <v>230</v>
      </c>
      <c r="AC343">
        <v>60.3</v>
      </c>
      <c r="AD343">
        <v>578</v>
      </c>
      <c r="AE343" t="s">
        <v>208</v>
      </c>
      <c r="AF343">
        <v>0</v>
      </c>
      <c r="AG343" t="s">
        <v>1447</v>
      </c>
      <c r="AH343">
        <v>814</v>
      </c>
      <c r="AI343" t="s">
        <v>46</v>
      </c>
      <c r="AJ343" s="1">
        <v>28896</v>
      </c>
      <c r="AK343">
        <v>18.8</v>
      </c>
      <c r="AL343" s="2">
        <v>0.06</v>
      </c>
      <c r="AM343" s="3">
        <v>2.3229166666666665</v>
      </c>
      <c r="AN343" t="s">
        <v>1446</v>
      </c>
      <c r="AO343" t="s">
        <v>1448</v>
      </c>
      <c r="AP343" t="b">
        <v>0</v>
      </c>
      <c r="AQ343" t="b">
        <v>0</v>
      </c>
      <c r="AR343" t="b">
        <v>0</v>
      </c>
      <c r="AS343" t="s">
        <v>1449</v>
      </c>
    </row>
    <row r="344" spans="1:45" x14ac:dyDescent="0.3">
      <c r="A344">
        <v>470</v>
      </c>
      <c r="B344">
        <v>400</v>
      </c>
      <c r="C344" t="s">
        <v>1450</v>
      </c>
      <c r="D344" t="s">
        <v>45</v>
      </c>
      <c r="E344" t="s">
        <v>46</v>
      </c>
      <c r="F344" t="s">
        <v>56</v>
      </c>
      <c r="G344">
        <v>20.7</v>
      </c>
      <c r="H344">
        <v>12</v>
      </c>
      <c r="I344">
        <v>9.1</v>
      </c>
      <c r="J344">
        <v>47.9</v>
      </c>
      <c r="K344">
        <v>7.5</v>
      </c>
      <c r="L344">
        <v>12.5</v>
      </c>
      <c r="M344">
        <v>77.3</v>
      </c>
      <c r="N344">
        <v>32.9</v>
      </c>
      <c r="O344">
        <v>31.3</v>
      </c>
      <c r="P344">
        <v>25.6</v>
      </c>
      <c r="Q344" t="s">
        <v>659</v>
      </c>
      <c r="R344" t="s">
        <v>1450</v>
      </c>
      <c r="S344" t="s">
        <v>660</v>
      </c>
      <c r="T344">
        <v>3740</v>
      </c>
      <c r="U344">
        <v>39.5</v>
      </c>
      <c r="V344">
        <v>323</v>
      </c>
      <c r="W344">
        <v>34.5</v>
      </c>
      <c r="X344">
        <v>361</v>
      </c>
      <c r="Y344">
        <v>69.3</v>
      </c>
      <c r="Z344">
        <v>571</v>
      </c>
      <c r="AA344">
        <v>84.8</v>
      </c>
      <c r="AB344">
        <v>211</v>
      </c>
      <c r="AC344">
        <v>46</v>
      </c>
      <c r="AD344">
        <v>929</v>
      </c>
      <c r="AE344" t="s">
        <v>208</v>
      </c>
      <c r="AF344">
        <v>0</v>
      </c>
      <c r="AG344" t="s">
        <v>1451</v>
      </c>
      <c r="AH344">
        <v>648</v>
      </c>
      <c r="AI344" t="s">
        <v>46</v>
      </c>
      <c r="AJ344" s="1">
        <v>28591</v>
      </c>
      <c r="AK344">
        <v>17.100000000000001</v>
      </c>
      <c r="AL344" s="2">
        <v>0.08</v>
      </c>
      <c r="AM344" s="3">
        <v>1.9541666666666666</v>
      </c>
      <c r="AN344" t="s">
        <v>1450</v>
      </c>
      <c r="AO344" t="s">
        <v>1452</v>
      </c>
      <c r="AP344" t="b">
        <v>0</v>
      </c>
      <c r="AQ344" t="b">
        <v>0</v>
      </c>
      <c r="AR344" t="b">
        <v>0</v>
      </c>
      <c r="AS344" t="s">
        <v>1453</v>
      </c>
    </row>
    <row r="345" spans="1:45" x14ac:dyDescent="0.3">
      <c r="A345">
        <v>471</v>
      </c>
      <c r="B345">
        <v>469</v>
      </c>
      <c r="C345" t="s">
        <v>1454</v>
      </c>
      <c r="D345" t="s">
        <v>750</v>
      </c>
      <c r="E345" t="s">
        <v>751</v>
      </c>
      <c r="F345" t="s">
        <v>56</v>
      </c>
      <c r="G345">
        <v>14.4</v>
      </c>
      <c r="H345">
        <v>14.5</v>
      </c>
      <c r="I345">
        <v>11.1</v>
      </c>
      <c r="J345">
        <v>51.7</v>
      </c>
      <c r="K345">
        <v>64</v>
      </c>
      <c r="L345">
        <v>14.3</v>
      </c>
      <c r="M345">
        <v>64.900000000000006</v>
      </c>
      <c r="N345">
        <v>16.3</v>
      </c>
      <c r="O345">
        <v>11.8</v>
      </c>
      <c r="P345">
        <v>25.5</v>
      </c>
      <c r="Q345" t="s">
        <v>572</v>
      </c>
      <c r="R345" t="s">
        <v>1455</v>
      </c>
      <c r="S345" t="s">
        <v>574</v>
      </c>
      <c r="T345">
        <v>5160</v>
      </c>
      <c r="U345">
        <v>34.1</v>
      </c>
      <c r="V345">
        <v>488</v>
      </c>
      <c r="W345">
        <v>30.6</v>
      </c>
      <c r="X345">
        <v>450</v>
      </c>
      <c r="Y345">
        <v>59</v>
      </c>
      <c r="Z345">
        <v>802</v>
      </c>
      <c r="AA345">
        <v>71.599999999999994</v>
      </c>
      <c r="AB345">
        <v>393</v>
      </c>
      <c r="AC345">
        <v>34.5</v>
      </c>
      <c r="AD345">
        <v>1334</v>
      </c>
      <c r="AE345" t="s">
        <v>57</v>
      </c>
      <c r="AF345">
        <v>0</v>
      </c>
      <c r="AG345" t="s">
        <v>1456</v>
      </c>
      <c r="AH345">
        <v>131788</v>
      </c>
      <c r="AI345" t="s">
        <v>751</v>
      </c>
      <c r="AJ345" s="1">
        <v>17265</v>
      </c>
      <c r="AK345">
        <v>21.3</v>
      </c>
      <c r="AL345" s="2">
        <v>0.02</v>
      </c>
      <c r="AM345" s="3">
        <v>2.2000000000000002</v>
      </c>
      <c r="AN345" t="s">
        <v>1455</v>
      </c>
      <c r="AO345" t="s">
        <v>1457</v>
      </c>
      <c r="AP345" t="b">
        <v>0</v>
      </c>
      <c r="AQ345" t="b">
        <v>0</v>
      </c>
      <c r="AR345" t="b">
        <v>0</v>
      </c>
    </row>
    <row r="346" spans="1:45" x14ac:dyDescent="0.3">
      <c r="A346">
        <v>472</v>
      </c>
      <c r="B346">
        <v>459</v>
      </c>
      <c r="C346" t="s">
        <v>1458</v>
      </c>
      <c r="D346" t="s">
        <v>54</v>
      </c>
      <c r="E346" t="s">
        <v>55</v>
      </c>
      <c r="F346" t="s">
        <v>56</v>
      </c>
      <c r="G346">
        <v>15.5</v>
      </c>
      <c r="H346">
        <v>5.2</v>
      </c>
      <c r="I346">
        <v>12.7</v>
      </c>
      <c r="J346">
        <v>22.6</v>
      </c>
      <c r="K346">
        <v>99.8</v>
      </c>
      <c r="L346">
        <v>98.6</v>
      </c>
      <c r="M346">
        <v>75.099999999999994</v>
      </c>
      <c r="N346">
        <v>14</v>
      </c>
      <c r="O346">
        <v>13.2</v>
      </c>
      <c r="P346">
        <v>25.3</v>
      </c>
      <c r="Q346" t="s">
        <v>614</v>
      </c>
      <c r="R346" t="s">
        <v>1459</v>
      </c>
      <c r="S346" t="s">
        <v>615</v>
      </c>
      <c r="T346">
        <v>3130</v>
      </c>
      <c r="U346">
        <v>30</v>
      </c>
      <c r="V346">
        <v>684</v>
      </c>
      <c r="W346">
        <v>31.8</v>
      </c>
      <c r="X346">
        <v>419</v>
      </c>
      <c r="Y346">
        <v>81</v>
      </c>
      <c r="Z346">
        <v>299</v>
      </c>
      <c r="AA346">
        <v>57.7</v>
      </c>
      <c r="AB346">
        <v>689</v>
      </c>
      <c r="AC346">
        <v>97.4</v>
      </c>
      <c r="AD346">
        <v>16</v>
      </c>
      <c r="AE346" t="s">
        <v>57</v>
      </c>
      <c r="AF346">
        <v>0</v>
      </c>
      <c r="AG346" t="s">
        <v>1460</v>
      </c>
      <c r="AH346">
        <v>674</v>
      </c>
      <c r="AI346" t="s">
        <v>55</v>
      </c>
      <c r="AJ346" s="1">
        <v>15540</v>
      </c>
      <c r="AK346">
        <v>16</v>
      </c>
      <c r="AL346" s="2">
        <v>0.41</v>
      </c>
      <c r="AM346" s="3">
        <v>2.2819444444444446</v>
      </c>
      <c r="AN346" t="s">
        <v>1459</v>
      </c>
      <c r="AO346" t="s">
        <v>1461</v>
      </c>
      <c r="AP346" t="b">
        <v>0</v>
      </c>
      <c r="AQ346" t="b">
        <v>0</v>
      </c>
      <c r="AR346" t="b">
        <v>0</v>
      </c>
      <c r="AS346" t="s">
        <v>1462</v>
      </c>
    </row>
    <row r="347" spans="1:45" x14ac:dyDescent="0.3">
      <c r="A347">
        <v>472</v>
      </c>
      <c r="B347">
        <v>446</v>
      </c>
      <c r="C347" t="s">
        <v>1463</v>
      </c>
      <c r="D347" t="s">
        <v>536</v>
      </c>
      <c r="E347" t="s">
        <v>537</v>
      </c>
      <c r="F347" t="s">
        <v>47</v>
      </c>
      <c r="G347">
        <v>12.8</v>
      </c>
      <c r="H347">
        <v>12.3</v>
      </c>
      <c r="I347">
        <v>75.900000000000006</v>
      </c>
      <c r="J347">
        <v>14.3</v>
      </c>
      <c r="K347">
        <v>83.5</v>
      </c>
      <c r="L347">
        <v>33.5</v>
      </c>
      <c r="M347">
        <v>59.7</v>
      </c>
      <c r="N347">
        <v>12.2</v>
      </c>
      <c r="O347">
        <v>13.2</v>
      </c>
      <c r="P347">
        <v>25.3</v>
      </c>
      <c r="Q347" t="s">
        <v>372</v>
      </c>
      <c r="R347" t="s">
        <v>1464</v>
      </c>
      <c r="S347" t="s">
        <v>374</v>
      </c>
      <c r="T347">
        <v>4440</v>
      </c>
      <c r="U347">
        <v>36.799999999999997</v>
      </c>
      <c r="V347">
        <v>396</v>
      </c>
      <c r="W347">
        <v>35.4</v>
      </c>
      <c r="X347">
        <v>338</v>
      </c>
      <c r="Y347">
        <v>58.2</v>
      </c>
      <c r="Z347">
        <v>818</v>
      </c>
      <c r="AA347">
        <v>98.7</v>
      </c>
      <c r="AB347">
        <v>76</v>
      </c>
      <c r="AC347">
        <v>71.7</v>
      </c>
      <c r="AD347">
        <v>379</v>
      </c>
      <c r="AE347" t="s">
        <v>57</v>
      </c>
      <c r="AF347">
        <v>0</v>
      </c>
      <c r="AG347" t="s">
        <v>1465</v>
      </c>
      <c r="AH347">
        <v>726</v>
      </c>
      <c r="AI347" t="s">
        <v>537</v>
      </c>
      <c r="AJ347" s="1">
        <v>6803</v>
      </c>
      <c r="AK347">
        <v>20.8</v>
      </c>
      <c r="AL347" s="2">
        <v>0.16</v>
      </c>
      <c r="AM347" s="3">
        <v>2.1180555555555554</v>
      </c>
      <c r="AN347" t="s">
        <v>1464</v>
      </c>
      <c r="AO347" t="s">
        <v>1466</v>
      </c>
      <c r="AP347" t="b">
        <v>0</v>
      </c>
      <c r="AQ347" t="b">
        <v>0</v>
      </c>
      <c r="AR347" t="b">
        <v>0</v>
      </c>
    </row>
    <row r="348" spans="1:45" x14ac:dyDescent="0.3">
      <c r="A348">
        <v>474</v>
      </c>
      <c r="B348">
        <v>481</v>
      </c>
      <c r="C348" t="s">
        <v>1467</v>
      </c>
      <c r="D348" t="s">
        <v>54</v>
      </c>
      <c r="E348" t="s">
        <v>55</v>
      </c>
      <c r="F348" t="s">
        <v>47</v>
      </c>
      <c r="G348">
        <v>8.6</v>
      </c>
      <c r="H348">
        <v>5.8</v>
      </c>
      <c r="I348">
        <v>12.1</v>
      </c>
      <c r="J348">
        <v>43</v>
      </c>
      <c r="K348">
        <v>40.700000000000003</v>
      </c>
      <c r="L348">
        <v>52.3</v>
      </c>
      <c r="M348">
        <v>75</v>
      </c>
      <c r="N348">
        <v>8.1</v>
      </c>
      <c r="O348">
        <v>82.9</v>
      </c>
      <c r="P348">
        <v>25.2</v>
      </c>
      <c r="Q348" t="s">
        <v>372</v>
      </c>
      <c r="R348" t="s">
        <v>1467</v>
      </c>
      <c r="S348" t="s">
        <v>374</v>
      </c>
      <c r="T348">
        <v>4050</v>
      </c>
      <c r="U348">
        <v>27.6</v>
      </c>
      <c r="V348">
        <v>829</v>
      </c>
      <c r="W348">
        <v>25.3</v>
      </c>
      <c r="X348">
        <v>594</v>
      </c>
      <c r="Y348">
        <v>72.7</v>
      </c>
      <c r="Z348">
        <v>489</v>
      </c>
      <c r="AA348">
        <v>64.3</v>
      </c>
      <c r="AB348">
        <v>559</v>
      </c>
      <c r="AC348">
        <v>88.2</v>
      </c>
      <c r="AD348">
        <v>147</v>
      </c>
      <c r="AE348" t="s">
        <v>57</v>
      </c>
      <c r="AF348">
        <v>0</v>
      </c>
      <c r="AG348" t="s">
        <v>1468</v>
      </c>
      <c r="AH348">
        <v>715</v>
      </c>
      <c r="AI348" t="s">
        <v>55</v>
      </c>
      <c r="AJ348" s="1">
        <v>8130</v>
      </c>
      <c r="AK348">
        <v>14.8</v>
      </c>
      <c r="AL348" s="2">
        <v>0.23</v>
      </c>
      <c r="AM348" s="3">
        <v>2.5687500000000001</v>
      </c>
      <c r="AN348" t="s">
        <v>1467</v>
      </c>
      <c r="AO348" t="s">
        <v>1469</v>
      </c>
      <c r="AP348" t="b">
        <v>0</v>
      </c>
      <c r="AQ348" t="b">
        <v>0</v>
      </c>
      <c r="AR348" t="b">
        <v>0</v>
      </c>
      <c r="AS348" t="s">
        <v>1470</v>
      </c>
    </row>
    <row r="349" spans="1:45" x14ac:dyDescent="0.3">
      <c r="A349">
        <v>474</v>
      </c>
      <c r="B349">
        <v>472</v>
      </c>
      <c r="C349" t="s">
        <v>1471</v>
      </c>
      <c r="D349" t="s">
        <v>175</v>
      </c>
      <c r="E349" t="s">
        <v>176</v>
      </c>
      <c r="F349" t="s">
        <v>56</v>
      </c>
      <c r="G349">
        <v>24.1</v>
      </c>
      <c r="H349">
        <v>12.3</v>
      </c>
      <c r="I349">
        <v>75.900000000000006</v>
      </c>
      <c r="J349">
        <v>8.9</v>
      </c>
      <c r="K349">
        <v>13.2</v>
      </c>
      <c r="L349">
        <v>12.9</v>
      </c>
      <c r="M349">
        <v>70.099999999999994</v>
      </c>
      <c r="N349">
        <v>6.9</v>
      </c>
      <c r="O349">
        <v>50.8</v>
      </c>
      <c r="P349">
        <v>25.2</v>
      </c>
      <c r="Q349" t="s">
        <v>696</v>
      </c>
      <c r="R349" t="s">
        <v>1471</v>
      </c>
      <c r="S349" t="s">
        <v>697</v>
      </c>
      <c r="T349">
        <v>6660</v>
      </c>
      <c r="U349">
        <v>39.6</v>
      </c>
      <c r="V349">
        <v>318</v>
      </c>
      <c r="W349">
        <v>26.4</v>
      </c>
      <c r="X349">
        <v>557</v>
      </c>
      <c r="Y349">
        <v>44.7</v>
      </c>
      <c r="Z349">
        <v>1124</v>
      </c>
      <c r="AA349">
        <v>68.5</v>
      </c>
      <c r="AB349">
        <v>466</v>
      </c>
      <c r="AC349">
        <v>51.5</v>
      </c>
      <c r="AD349">
        <v>754</v>
      </c>
      <c r="AE349" t="s">
        <v>57</v>
      </c>
      <c r="AF349">
        <v>0</v>
      </c>
      <c r="AG349" t="s">
        <v>1472</v>
      </c>
      <c r="AH349">
        <v>829</v>
      </c>
      <c r="AI349" t="s">
        <v>176</v>
      </c>
      <c r="AJ349" s="1">
        <v>14590</v>
      </c>
      <c r="AK349">
        <v>7.6</v>
      </c>
      <c r="AL349" s="2">
        <v>0.1</v>
      </c>
      <c r="AM349" t="s">
        <v>1244</v>
      </c>
      <c r="AN349" t="s">
        <v>1471</v>
      </c>
      <c r="AO349" t="s">
        <v>1473</v>
      </c>
      <c r="AP349" t="b">
        <v>0</v>
      </c>
      <c r="AQ349" t="b">
        <v>0</v>
      </c>
      <c r="AR349" t="b">
        <v>0</v>
      </c>
    </row>
    <row r="350" spans="1:45" x14ac:dyDescent="0.3">
      <c r="A350">
        <v>477</v>
      </c>
      <c r="B350">
        <v>551</v>
      </c>
      <c r="C350" t="s">
        <v>1474</v>
      </c>
      <c r="D350" t="s">
        <v>731</v>
      </c>
      <c r="E350" t="s">
        <v>732</v>
      </c>
      <c r="F350" t="s">
        <v>388</v>
      </c>
      <c r="G350">
        <v>17.3</v>
      </c>
      <c r="H350">
        <v>42.2</v>
      </c>
      <c r="I350">
        <v>9.6</v>
      </c>
      <c r="J350">
        <v>3.2</v>
      </c>
      <c r="K350">
        <v>100</v>
      </c>
      <c r="L350">
        <v>100</v>
      </c>
      <c r="M350">
        <v>48.4</v>
      </c>
      <c r="N350">
        <v>9.8000000000000007</v>
      </c>
      <c r="O350">
        <v>1.4</v>
      </c>
      <c r="P350">
        <v>25.1</v>
      </c>
      <c r="Q350" t="s">
        <v>1475</v>
      </c>
      <c r="R350" t="s">
        <v>1474</v>
      </c>
      <c r="T350">
        <v>1000018</v>
      </c>
      <c r="V350">
        <v>0</v>
      </c>
      <c r="X350">
        <v>0</v>
      </c>
      <c r="Z350">
        <v>0</v>
      </c>
      <c r="AB350">
        <v>0</v>
      </c>
      <c r="AD350">
        <v>0</v>
      </c>
      <c r="AE350" t="s">
        <v>57</v>
      </c>
      <c r="AF350">
        <v>0</v>
      </c>
      <c r="AG350" t="s">
        <v>1476</v>
      </c>
      <c r="AH350">
        <v>587847</v>
      </c>
      <c r="AI350" t="s">
        <v>732</v>
      </c>
      <c r="AJ350" s="1">
        <v>4823</v>
      </c>
      <c r="AK350">
        <v>15.1</v>
      </c>
      <c r="AL350" s="2">
        <v>0.82</v>
      </c>
      <c r="AM350" s="3">
        <v>2.4868055555555557</v>
      </c>
      <c r="AN350" t="s">
        <v>1474</v>
      </c>
      <c r="AO350" t="s">
        <v>1477</v>
      </c>
      <c r="AP350" t="b">
        <v>0</v>
      </c>
      <c r="AQ350" t="b">
        <v>0</v>
      </c>
      <c r="AR350" t="b">
        <v>0</v>
      </c>
    </row>
    <row r="351" spans="1:45" x14ac:dyDescent="0.3">
      <c r="A351">
        <v>477</v>
      </c>
      <c r="B351">
        <v>502</v>
      </c>
      <c r="C351" t="s">
        <v>1478</v>
      </c>
      <c r="D351" t="s">
        <v>962</v>
      </c>
      <c r="E351" t="s">
        <v>963</v>
      </c>
      <c r="F351" t="s">
        <v>47</v>
      </c>
      <c r="G351">
        <v>24</v>
      </c>
      <c r="H351">
        <v>52.1</v>
      </c>
      <c r="I351">
        <v>13.3</v>
      </c>
      <c r="J351">
        <v>15.2</v>
      </c>
      <c r="K351">
        <v>61.4</v>
      </c>
      <c r="L351">
        <v>3.7</v>
      </c>
      <c r="M351">
        <v>38.299999999999997</v>
      </c>
      <c r="N351">
        <v>19.3</v>
      </c>
      <c r="O351">
        <v>10.6</v>
      </c>
      <c r="P351">
        <v>25.1</v>
      </c>
      <c r="Q351" t="s">
        <v>696</v>
      </c>
      <c r="R351" t="s">
        <v>1478</v>
      </c>
      <c r="S351" t="s">
        <v>697</v>
      </c>
      <c r="T351">
        <v>6230</v>
      </c>
      <c r="U351">
        <v>27.8</v>
      </c>
      <c r="V351">
        <v>813</v>
      </c>
      <c r="W351">
        <v>26</v>
      </c>
      <c r="X351">
        <v>569</v>
      </c>
      <c r="Y351">
        <v>48.8</v>
      </c>
      <c r="Z351">
        <v>1044</v>
      </c>
      <c r="AA351">
        <v>91.4</v>
      </c>
      <c r="AB351">
        <v>152</v>
      </c>
      <c r="AC351">
        <v>70</v>
      </c>
      <c r="AD351">
        <v>406</v>
      </c>
      <c r="AE351" t="s">
        <v>57</v>
      </c>
      <c r="AF351">
        <v>0</v>
      </c>
      <c r="AG351" t="s">
        <v>1479</v>
      </c>
      <c r="AH351">
        <v>668</v>
      </c>
      <c r="AI351" t="s">
        <v>963</v>
      </c>
      <c r="AJ351" s="1">
        <v>9109</v>
      </c>
      <c r="AK351">
        <v>14.8</v>
      </c>
      <c r="AL351" s="2">
        <v>0.08</v>
      </c>
      <c r="AM351" s="3">
        <v>1.9541666666666666</v>
      </c>
      <c r="AN351" t="s">
        <v>1478</v>
      </c>
      <c r="AO351" t="s">
        <v>1480</v>
      </c>
      <c r="AP351" t="b">
        <v>0</v>
      </c>
      <c r="AQ351" t="b">
        <v>0</v>
      </c>
      <c r="AR351" t="b">
        <v>0</v>
      </c>
    </row>
    <row r="352" spans="1:45" x14ac:dyDescent="0.3">
      <c r="A352">
        <v>477</v>
      </c>
      <c r="B352">
        <v>413</v>
      </c>
      <c r="C352" t="s">
        <v>1481</v>
      </c>
      <c r="D352" t="s">
        <v>54</v>
      </c>
      <c r="E352" t="s">
        <v>55</v>
      </c>
      <c r="F352" t="s">
        <v>47</v>
      </c>
      <c r="G352">
        <v>14.9</v>
      </c>
      <c r="H352">
        <v>5.7</v>
      </c>
      <c r="I352">
        <v>13</v>
      </c>
      <c r="J352">
        <v>27.2</v>
      </c>
      <c r="K352">
        <v>94.1</v>
      </c>
      <c r="L352">
        <v>86.9</v>
      </c>
      <c r="M352">
        <v>73.2</v>
      </c>
      <c r="N352">
        <v>7.2</v>
      </c>
      <c r="O352">
        <v>19.7</v>
      </c>
      <c r="P352">
        <v>25.1</v>
      </c>
      <c r="Q352" t="s">
        <v>614</v>
      </c>
      <c r="R352" t="s">
        <v>1482</v>
      </c>
      <c r="S352" t="s">
        <v>615</v>
      </c>
      <c r="T352">
        <v>3320</v>
      </c>
      <c r="U352">
        <v>31.6</v>
      </c>
      <c r="V352">
        <v>608</v>
      </c>
      <c r="W352">
        <v>29.3</v>
      </c>
      <c r="X352">
        <v>489</v>
      </c>
      <c r="Y352">
        <v>79</v>
      </c>
      <c r="Z352">
        <v>344</v>
      </c>
      <c r="AA352">
        <v>63.3</v>
      </c>
      <c r="AB352">
        <v>581</v>
      </c>
      <c r="AC352">
        <v>94.6</v>
      </c>
      <c r="AD352">
        <v>58</v>
      </c>
      <c r="AE352" t="s">
        <v>57</v>
      </c>
      <c r="AF352">
        <v>0</v>
      </c>
      <c r="AG352" t="s">
        <v>1483</v>
      </c>
      <c r="AH352">
        <v>571</v>
      </c>
      <c r="AI352" t="s">
        <v>55</v>
      </c>
      <c r="AJ352" s="1">
        <v>11290</v>
      </c>
      <c r="AK352">
        <v>16.100000000000001</v>
      </c>
      <c r="AL352" s="2">
        <v>0.31</v>
      </c>
      <c r="AM352" s="3">
        <v>2.3229166666666665</v>
      </c>
      <c r="AN352" t="s">
        <v>1482</v>
      </c>
      <c r="AO352" t="s">
        <v>1484</v>
      </c>
      <c r="AP352" t="b">
        <v>0</v>
      </c>
      <c r="AQ352" t="b">
        <v>0</v>
      </c>
      <c r="AR352" t="b">
        <v>0</v>
      </c>
      <c r="AS352" t="s">
        <v>1485</v>
      </c>
    </row>
    <row r="353" spans="1:45" x14ac:dyDescent="0.3">
      <c r="A353">
        <v>481</v>
      </c>
      <c r="B353">
        <v>387</v>
      </c>
      <c r="C353" t="s">
        <v>1486</v>
      </c>
      <c r="D353" t="s">
        <v>217</v>
      </c>
      <c r="E353" t="s">
        <v>218</v>
      </c>
      <c r="F353" t="s">
        <v>77</v>
      </c>
      <c r="G353">
        <v>36.9</v>
      </c>
      <c r="H353">
        <v>6.5</v>
      </c>
      <c r="I353">
        <v>7.9</v>
      </c>
      <c r="J353">
        <v>21.7</v>
      </c>
      <c r="K353">
        <v>17.5</v>
      </c>
      <c r="L353">
        <v>18.2</v>
      </c>
      <c r="M353">
        <v>99.1</v>
      </c>
      <c r="N353">
        <v>15.2</v>
      </c>
      <c r="O353">
        <v>25.5</v>
      </c>
      <c r="P353">
        <v>25</v>
      </c>
      <c r="Q353" t="s">
        <v>659</v>
      </c>
      <c r="R353" t="s">
        <v>1486</v>
      </c>
      <c r="S353" t="s">
        <v>660</v>
      </c>
      <c r="T353">
        <v>3510</v>
      </c>
      <c r="U353">
        <v>43</v>
      </c>
      <c r="V353">
        <v>238</v>
      </c>
      <c r="W353">
        <v>27.2</v>
      </c>
      <c r="X353">
        <v>532</v>
      </c>
      <c r="Y353">
        <v>71.900000000000006</v>
      </c>
      <c r="Z353">
        <v>508</v>
      </c>
      <c r="AA353">
        <v>63.2</v>
      </c>
      <c r="AB353">
        <v>582</v>
      </c>
      <c r="AC353">
        <v>76.3</v>
      </c>
      <c r="AD353">
        <v>307</v>
      </c>
      <c r="AE353" t="s">
        <v>57</v>
      </c>
      <c r="AF353">
        <v>0</v>
      </c>
      <c r="AG353" t="s">
        <v>1487</v>
      </c>
      <c r="AH353">
        <v>131808</v>
      </c>
      <c r="AI353" t="s">
        <v>218</v>
      </c>
      <c r="AJ353" s="1">
        <v>72946</v>
      </c>
      <c r="AK353">
        <v>17.3</v>
      </c>
      <c r="AL353" s="2">
        <v>0.14000000000000001</v>
      </c>
      <c r="AM353" s="3">
        <v>2.5277777777777777</v>
      </c>
      <c r="AN353" t="s">
        <v>1486</v>
      </c>
      <c r="AO353" t="s">
        <v>1488</v>
      </c>
      <c r="AP353" t="b">
        <v>0</v>
      </c>
      <c r="AQ353" t="b">
        <v>0</v>
      </c>
      <c r="AR353" t="b">
        <v>0</v>
      </c>
    </row>
    <row r="354" spans="1:45" x14ac:dyDescent="0.3">
      <c r="A354">
        <v>481</v>
      </c>
      <c r="B354">
        <v>446</v>
      </c>
      <c r="C354" t="s">
        <v>1489</v>
      </c>
      <c r="D354" t="s">
        <v>45</v>
      </c>
      <c r="E354" t="s">
        <v>46</v>
      </c>
      <c r="F354" t="s">
        <v>77</v>
      </c>
      <c r="G354">
        <v>10.1</v>
      </c>
      <c r="H354">
        <v>8.1999999999999993</v>
      </c>
      <c r="I354">
        <v>9.5</v>
      </c>
      <c r="J354">
        <v>76.3</v>
      </c>
      <c r="K354">
        <v>4.9000000000000004</v>
      </c>
      <c r="L354">
        <v>2.4</v>
      </c>
      <c r="M354">
        <v>77.3</v>
      </c>
      <c r="N354">
        <v>11</v>
      </c>
      <c r="O354">
        <v>15</v>
      </c>
      <c r="P354">
        <v>25</v>
      </c>
      <c r="Q354" t="s">
        <v>614</v>
      </c>
      <c r="R354" t="s">
        <v>1490</v>
      </c>
      <c r="S354" t="s">
        <v>615</v>
      </c>
      <c r="T354">
        <v>3430</v>
      </c>
      <c r="U354">
        <v>38</v>
      </c>
      <c r="V354">
        <v>362</v>
      </c>
      <c r="W354">
        <v>31.6</v>
      </c>
      <c r="X354">
        <v>429</v>
      </c>
      <c r="Y354">
        <v>84.5</v>
      </c>
      <c r="Z354">
        <v>224</v>
      </c>
      <c r="AA354">
        <v>72.900000000000006</v>
      </c>
      <c r="AB354">
        <v>373</v>
      </c>
      <c r="AC354">
        <v>56.1</v>
      </c>
      <c r="AD354">
        <v>659</v>
      </c>
      <c r="AE354" t="s">
        <v>208</v>
      </c>
      <c r="AF354">
        <v>0</v>
      </c>
      <c r="AG354" t="s">
        <v>1491</v>
      </c>
      <c r="AH354">
        <v>131711</v>
      </c>
      <c r="AI354" t="s">
        <v>46</v>
      </c>
      <c r="AJ354" s="1">
        <v>28377</v>
      </c>
      <c r="AK354">
        <v>17</v>
      </c>
      <c r="AL354" s="2">
        <v>0.03</v>
      </c>
      <c r="AN354" t="s">
        <v>1490</v>
      </c>
      <c r="AO354" t="s">
        <v>1492</v>
      </c>
      <c r="AP354" t="b">
        <v>0</v>
      </c>
      <c r="AQ354" t="b">
        <v>0</v>
      </c>
      <c r="AR354" t="b">
        <v>0</v>
      </c>
      <c r="AS354" t="s">
        <v>1493</v>
      </c>
    </row>
    <row r="355" spans="1:45" x14ac:dyDescent="0.3">
      <c r="A355">
        <v>485</v>
      </c>
      <c r="B355">
        <v>505</v>
      </c>
      <c r="C355" t="s">
        <v>1494</v>
      </c>
      <c r="D355" t="s">
        <v>297</v>
      </c>
      <c r="E355" t="s">
        <v>298</v>
      </c>
      <c r="F355" t="s">
        <v>47</v>
      </c>
      <c r="G355">
        <v>26.5</v>
      </c>
      <c r="H355">
        <v>24.9</v>
      </c>
      <c r="I355">
        <v>32</v>
      </c>
      <c r="J355">
        <v>22.1</v>
      </c>
      <c r="K355">
        <v>22.7</v>
      </c>
      <c r="L355">
        <v>10.8</v>
      </c>
      <c r="M355">
        <v>35.6</v>
      </c>
      <c r="N355">
        <v>11.4</v>
      </c>
      <c r="O355">
        <v>48.9</v>
      </c>
      <c r="P355">
        <v>24.8</v>
      </c>
      <c r="Q355" t="s">
        <v>696</v>
      </c>
      <c r="R355" t="s">
        <v>1495</v>
      </c>
      <c r="S355" t="s">
        <v>697</v>
      </c>
      <c r="T355">
        <v>7210</v>
      </c>
      <c r="U355">
        <v>28.2</v>
      </c>
      <c r="V355">
        <v>798</v>
      </c>
      <c r="W355">
        <v>33.700000000000003</v>
      </c>
      <c r="X355">
        <v>386</v>
      </c>
      <c r="Y355">
        <v>43.8</v>
      </c>
      <c r="Z355">
        <v>1145</v>
      </c>
      <c r="AA355">
        <v>79.099999999999994</v>
      </c>
      <c r="AB355">
        <v>274</v>
      </c>
      <c r="AC355">
        <v>47.2</v>
      </c>
      <c r="AD355">
        <v>885</v>
      </c>
      <c r="AE355" t="s">
        <v>57</v>
      </c>
      <c r="AF355">
        <v>0</v>
      </c>
      <c r="AG355" t="s">
        <v>1496</v>
      </c>
      <c r="AH355">
        <v>728</v>
      </c>
      <c r="AI355" t="s">
        <v>298</v>
      </c>
      <c r="AJ355" s="1">
        <v>8497</v>
      </c>
      <c r="AK355">
        <v>12.6</v>
      </c>
      <c r="AL355" s="2">
        <v>0.09</v>
      </c>
      <c r="AM355" s="3">
        <v>1.7902777777777779</v>
      </c>
      <c r="AN355" t="s">
        <v>1495</v>
      </c>
      <c r="AO355" t="s">
        <v>1497</v>
      </c>
      <c r="AP355" t="b">
        <v>0</v>
      </c>
      <c r="AQ355" t="b">
        <v>0</v>
      </c>
      <c r="AR355" t="b">
        <v>0</v>
      </c>
    </row>
    <row r="356" spans="1:45" x14ac:dyDescent="0.3">
      <c r="A356">
        <v>448</v>
      </c>
      <c r="B356">
        <v>491</v>
      </c>
      <c r="C356" t="s">
        <v>1498</v>
      </c>
      <c r="D356" t="s">
        <v>95</v>
      </c>
      <c r="E356" t="s">
        <v>96</v>
      </c>
      <c r="F356" t="s">
        <v>77</v>
      </c>
      <c r="G356">
        <v>9.6</v>
      </c>
      <c r="H356">
        <v>3.8</v>
      </c>
      <c r="I356">
        <v>18.100000000000001</v>
      </c>
      <c r="J356">
        <v>88.1</v>
      </c>
      <c r="K356">
        <v>11.5</v>
      </c>
      <c r="L356">
        <v>2.9</v>
      </c>
      <c r="M356">
        <v>55.9</v>
      </c>
      <c r="N356">
        <v>14.4</v>
      </c>
      <c r="O356">
        <v>8</v>
      </c>
      <c r="P356">
        <v>26.6</v>
      </c>
      <c r="Q356" t="s">
        <v>372</v>
      </c>
      <c r="R356" t="s">
        <v>1498</v>
      </c>
      <c r="S356" t="s">
        <v>374</v>
      </c>
      <c r="T356">
        <v>4230</v>
      </c>
      <c r="U356">
        <v>37</v>
      </c>
      <c r="V356">
        <v>388</v>
      </c>
      <c r="W356">
        <v>35</v>
      </c>
      <c r="X356">
        <v>349</v>
      </c>
      <c r="Y356">
        <v>68.099999999999994</v>
      </c>
      <c r="Z356">
        <v>599</v>
      </c>
      <c r="AA356">
        <v>86.8</v>
      </c>
      <c r="AB356">
        <v>187</v>
      </c>
      <c r="AC356">
        <v>40.200000000000003</v>
      </c>
      <c r="AD356">
        <v>1110</v>
      </c>
      <c r="AE356" t="s">
        <v>57</v>
      </c>
      <c r="AF356">
        <v>0</v>
      </c>
      <c r="AG356" t="s">
        <v>1499</v>
      </c>
      <c r="AH356">
        <v>941</v>
      </c>
      <c r="AI356" t="s">
        <v>98</v>
      </c>
      <c r="AJ356" s="1">
        <v>37389</v>
      </c>
      <c r="AK356">
        <v>14.5</v>
      </c>
      <c r="AL356" s="2">
        <v>0.03</v>
      </c>
      <c r="AN356" t="s">
        <v>1498</v>
      </c>
      <c r="AO356" t="s">
        <v>1500</v>
      </c>
      <c r="AP356" t="b">
        <v>0</v>
      </c>
      <c r="AQ356" t="b">
        <v>0</v>
      </c>
      <c r="AR356" t="b">
        <v>0</v>
      </c>
    </row>
    <row r="357" spans="1:45" x14ac:dyDescent="0.3">
      <c r="A357">
        <v>489</v>
      </c>
      <c r="C357" t="s">
        <v>1501</v>
      </c>
      <c r="D357" t="s">
        <v>1134</v>
      </c>
      <c r="E357" t="s">
        <v>1135</v>
      </c>
      <c r="F357" t="s">
        <v>47</v>
      </c>
      <c r="G357">
        <v>4.9000000000000004</v>
      </c>
      <c r="H357">
        <v>15.7</v>
      </c>
      <c r="I357">
        <v>5.0999999999999996</v>
      </c>
      <c r="J357">
        <v>92.2</v>
      </c>
      <c r="K357">
        <v>2.2999999999999998</v>
      </c>
      <c r="L357">
        <v>1.4</v>
      </c>
      <c r="M357">
        <v>43.5</v>
      </c>
      <c r="N357">
        <v>5.6</v>
      </c>
      <c r="O357">
        <v>1.1000000000000001</v>
      </c>
      <c r="P357">
        <v>24.5</v>
      </c>
      <c r="Q357" t="s">
        <v>696</v>
      </c>
      <c r="R357" t="s">
        <v>1501</v>
      </c>
      <c r="S357" t="s">
        <v>697</v>
      </c>
      <c r="T357">
        <v>6760</v>
      </c>
      <c r="U357">
        <v>21.5</v>
      </c>
      <c r="V357">
        <v>1264</v>
      </c>
      <c r="W357">
        <v>26.5</v>
      </c>
      <c r="X357">
        <v>556</v>
      </c>
      <c r="Y357">
        <v>62</v>
      </c>
      <c r="Z357">
        <v>736</v>
      </c>
      <c r="AA357">
        <v>75.2</v>
      </c>
      <c r="AB357">
        <v>334</v>
      </c>
      <c r="AC357">
        <v>33</v>
      </c>
      <c r="AD357">
        <v>1388</v>
      </c>
      <c r="AE357" t="s">
        <v>57</v>
      </c>
      <c r="AF357">
        <v>0</v>
      </c>
      <c r="AG357" t="s">
        <v>1502</v>
      </c>
      <c r="AH357">
        <v>953</v>
      </c>
      <c r="AI357" t="s">
        <v>1137</v>
      </c>
      <c r="AJ357" s="1">
        <v>10529</v>
      </c>
      <c r="AK357">
        <v>22.7</v>
      </c>
      <c r="AL357" s="2">
        <v>0.01</v>
      </c>
      <c r="AM357" t="s">
        <v>789</v>
      </c>
      <c r="AN357" t="s">
        <v>1501</v>
      </c>
      <c r="AO357" t="s">
        <v>1503</v>
      </c>
      <c r="AP357" t="b">
        <v>0</v>
      </c>
      <c r="AQ357" t="b">
        <v>0</v>
      </c>
      <c r="AR357" t="b">
        <v>0</v>
      </c>
    </row>
    <row r="358" spans="1:45" x14ac:dyDescent="0.3">
      <c r="A358">
        <v>428</v>
      </c>
      <c r="B358">
        <v>454</v>
      </c>
      <c r="C358" t="s">
        <v>1504</v>
      </c>
      <c r="D358" t="s">
        <v>95</v>
      </c>
      <c r="E358" t="s">
        <v>96</v>
      </c>
      <c r="F358" t="s">
        <v>77</v>
      </c>
      <c r="G358">
        <v>13.5</v>
      </c>
      <c r="H358">
        <v>6.6</v>
      </c>
      <c r="I358">
        <v>20.8</v>
      </c>
      <c r="J358">
        <v>82</v>
      </c>
      <c r="K358">
        <v>14.4</v>
      </c>
      <c r="L358">
        <v>3.4</v>
      </c>
      <c r="M358">
        <v>69.2</v>
      </c>
      <c r="N358">
        <v>5</v>
      </c>
      <c r="O358">
        <v>11.6</v>
      </c>
      <c r="P358">
        <v>27.8</v>
      </c>
      <c r="Q358" t="s">
        <v>614</v>
      </c>
      <c r="R358" t="s">
        <v>1504</v>
      </c>
      <c r="S358" t="s">
        <v>615</v>
      </c>
      <c r="T358">
        <v>3360</v>
      </c>
      <c r="U358">
        <v>39.9</v>
      </c>
      <c r="V358">
        <v>312</v>
      </c>
      <c r="W358">
        <v>46.3</v>
      </c>
      <c r="X358">
        <v>176</v>
      </c>
      <c r="Y358">
        <v>68.400000000000006</v>
      </c>
      <c r="Z358">
        <v>596</v>
      </c>
      <c r="AA358">
        <v>90.4</v>
      </c>
      <c r="AB358">
        <v>162</v>
      </c>
      <c r="AC358">
        <v>47.6</v>
      </c>
      <c r="AD358">
        <v>875</v>
      </c>
      <c r="AE358" t="s">
        <v>57</v>
      </c>
      <c r="AF358">
        <v>0</v>
      </c>
      <c r="AG358" t="s">
        <v>1505</v>
      </c>
      <c r="AH358">
        <v>589112</v>
      </c>
      <c r="AI358" t="s">
        <v>98</v>
      </c>
      <c r="AJ358" s="1">
        <v>39637</v>
      </c>
      <c r="AK358">
        <v>12.4</v>
      </c>
      <c r="AL358" s="2">
        <v>0.04</v>
      </c>
      <c r="AM358" t="s">
        <v>699</v>
      </c>
      <c r="AN358" t="s">
        <v>1504</v>
      </c>
      <c r="AO358" t="s">
        <v>1506</v>
      </c>
      <c r="AP358" t="b">
        <v>0</v>
      </c>
      <c r="AQ358" t="b">
        <v>0</v>
      </c>
      <c r="AR358" t="b">
        <v>0</v>
      </c>
    </row>
    <row r="359" spans="1:45" x14ac:dyDescent="0.3">
      <c r="A359">
        <v>489</v>
      </c>
      <c r="B359">
        <v>446</v>
      </c>
      <c r="C359" t="s">
        <v>1507</v>
      </c>
      <c r="D359" t="s">
        <v>452</v>
      </c>
      <c r="E359" t="s">
        <v>453</v>
      </c>
      <c r="F359" t="s">
        <v>47</v>
      </c>
      <c r="G359">
        <v>16.2</v>
      </c>
      <c r="H359">
        <v>11.4</v>
      </c>
      <c r="I359">
        <v>87.7</v>
      </c>
      <c r="J359">
        <v>12.1</v>
      </c>
      <c r="K359">
        <v>44</v>
      </c>
      <c r="L359">
        <v>2.6</v>
      </c>
      <c r="M359">
        <v>81.2</v>
      </c>
      <c r="N359">
        <v>10.4</v>
      </c>
      <c r="O359">
        <v>16.3</v>
      </c>
      <c r="P359">
        <v>24.5</v>
      </c>
      <c r="Q359" t="s">
        <v>372</v>
      </c>
      <c r="R359" t="s">
        <v>1507</v>
      </c>
      <c r="S359" t="s">
        <v>374</v>
      </c>
      <c r="T359">
        <v>4450</v>
      </c>
      <c r="U359">
        <v>31.4</v>
      </c>
      <c r="V359">
        <v>620</v>
      </c>
      <c r="W359">
        <v>34.1</v>
      </c>
      <c r="X359">
        <v>376</v>
      </c>
      <c r="Y359">
        <v>78.2</v>
      </c>
      <c r="Z359">
        <v>361</v>
      </c>
      <c r="AA359">
        <v>53</v>
      </c>
      <c r="AB359">
        <v>752</v>
      </c>
      <c r="AC359">
        <v>49.7</v>
      </c>
      <c r="AD359">
        <v>811</v>
      </c>
      <c r="AE359" t="s">
        <v>57</v>
      </c>
      <c r="AF359">
        <v>0</v>
      </c>
      <c r="AG359" t="s">
        <v>1508</v>
      </c>
      <c r="AH359">
        <v>900</v>
      </c>
      <c r="AI359" t="s">
        <v>453</v>
      </c>
      <c r="AJ359" s="1">
        <v>10702</v>
      </c>
      <c r="AK359">
        <v>13.8</v>
      </c>
      <c r="AL359" s="2">
        <v>0.03</v>
      </c>
      <c r="AM359" s="3">
        <v>2.6097222222222221</v>
      </c>
      <c r="AN359" t="s">
        <v>1507</v>
      </c>
      <c r="AO359" t="s">
        <v>1509</v>
      </c>
      <c r="AP359" t="b">
        <v>0</v>
      </c>
      <c r="AQ359" t="b">
        <v>0</v>
      </c>
      <c r="AR359" t="b">
        <v>0</v>
      </c>
    </row>
    <row r="360" spans="1:45" x14ac:dyDescent="0.3">
      <c r="A360">
        <v>495</v>
      </c>
      <c r="B360">
        <v>514</v>
      </c>
      <c r="C360" t="s">
        <v>1510</v>
      </c>
      <c r="D360" t="s">
        <v>1511</v>
      </c>
      <c r="E360" t="s">
        <v>1415</v>
      </c>
      <c r="F360" t="s">
        <v>56</v>
      </c>
      <c r="G360">
        <v>11.9</v>
      </c>
      <c r="H360">
        <v>25.3</v>
      </c>
      <c r="I360">
        <v>3.9</v>
      </c>
      <c r="J360">
        <v>49</v>
      </c>
      <c r="K360">
        <v>37.700000000000003</v>
      </c>
      <c r="L360">
        <v>1.4</v>
      </c>
      <c r="M360">
        <v>83.5</v>
      </c>
      <c r="N360">
        <v>4.4000000000000004</v>
      </c>
      <c r="O360">
        <v>29</v>
      </c>
      <c r="P360">
        <v>24.4</v>
      </c>
      <c r="Q360" t="s">
        <v>696</v>
      </c>
      <c r="R360" t="s">
        <v>1510</v>
      </c>
      <c r="S360" t="s">
        <v>697</v>
      </c>
      <c r="T360">
        <v>6430</v>
      </c>
      <c r="U360">
        <v>12.1</v>
      </c>
      <c r="V360">
        <v>1872</v>
      </c>
      <c r="W360">
        <v>14.2</v>
      </c>
      <c r="X360">
        <v>1186</v>
      </c>
      <c r="Y360">
        <v>87.5</v>
      </c>
      <c r="Z360">
        <v>163</v>
      </c>
      <c r="AA360">
        <v>17.399999999999999</v>
      </c>
      <c r="AB360">
        <v>1711</v>
      </c>
      <c r="AC360">
        <v>52.5</v>
      </c>
      <c r="AD360">
        <v>725</v>
      </c>
      <c r="AE360" t="s">
        <v>57</v>
      </c>
      <c r="AF360">
        <v>0</v>
      </c>
      <c r="AG360" t="s">
        <v>1512</v>
      </c>
      <c r="AH360">
        <v>670449</v>
      </c>
      <c r="AI360" t="s">
        <v>1415</v>
      </c>
      <c r="AJ360" s="1">
        <v>23951</v>
      </c>
      <c r="AK360">
        <v>24.3</v>
      </c>
      <c r="AL360" s="2">
        <v>0</v>
      </c>
      <c r="AM360" s="3">
        <v>2.4048611111111109</v>
      </c>
      <c r="AN360" t="s">
        <v>1510</v>
      </c>
      <c r="AO360" t="s">
        <v>1513</v>
      </c>
      <c r="AP360" t="b">
        <v>0</v>
      </c>
      <c r="AQ360" t="b">
        <v>0</v>
      </c>
      <c r="AR360" t="b">
        <v>0</v>
      </c>
    </row>
    <row r="361" spans="1:45" x14ac:dyDescent="0.3">
      <c r="A361">
        <v>489</v>
      </c>
      <c r="B361">
        <v>561</v>
      </c>
      <c r="C361" t="s">
        <v>1514</v>
      </c>
      <c r="D361" t="s">
        <v>95</v>
      </c>
      <c r="E361" t="s">
        <v>96</v>
      </c>
      <c r="F361" t="s">
        <v>77</v>
      </c>
      <c r="G361">
        <v>7.6</v>
      </c>
      <c r="H361">
        <v>4.5999999999999996</v>
      </c>
      <c r="I361">
        <v>12.1</v>
      </c>
      <c r="J361">
        <v>81.400000000000006</v>
      </c>
      <c r="K361">
        <v>21.3</v>
      </c>
      <c r="L361">
        <v>2.1</v>
      </c>
      <c r="M361">
        <v>59.6</v>
      </c>
      <c r="N361">
        <v>13.6</v>
      </c>
      <c r="O361">
        <v>4.0999999999999996</v>
      </c>
      <c r="P361">
        <v>24.5</v>
      </c>
      <c r="Q361" t="s">
        <v>659</v>
      </c>
      <c r="R361" t="s">
        <v>1514</v>
      </c>
      <c r="S361" t="s">
        <v>660</v>
      </c>
      <c r="T361">
        <v>3590</v>
      </c>
      <c r="U361">
        <v>32.799999999999997</v>
      </c>
      <c r="V361">
        <v>552</v>
      </c>
      <c r="W361">
        <v>38.200000000000003</v>
      </c>
      <c r="X361">
        <v>278</v>
      </c>
      <c r="Y361">
        <v>75.900000000000006</v>
      </c>
      <c r="Z361">
        <v>419</v>
      </c>
      <c r="AA361">
        <v>79.599999999999994</v>
      </c>
      <c r="AB361">
        <v>268</v>
      </c>
      <c r="AC361">
        <v>42</v>
      </c>
      <c r="AD361">
        <v>1050</v>
      </c>
      <c r="AE361" t="s">
        <v>57</v>
      </c>
      <c r="AF361">
        <v>11</v>
      </c>
      <c r="AG361" t="s">
        <v>1515</v>
      </c>
      <c r="AH361">
        <v>131440</v>
      </c>
      <c r="AI361" t="s">
        <v>98</v>
      </c>
      <c r="AJ361" s="1">
        <v>42607</v>
      </c>
      <c r="AK361">
        <v>20.100000000000001</v>
      </c>
      <c r="AL361" s="2">
        <v>0.02</v>
      </c>
      <c r="AN361" t="s">
        <v>1514</v>
      </c>
      <c r="AO361" t="s">
        <v>1516</v>
      </c>
      <c r="AP361" t="b">
        <v>0</v>
      </c>
      <c r="AQ361" t="b">
        <v>0</v>
      </c>
      <c r="AR361" t="b">
        <v>0</v>
      </c>
    </row>
    <row r="362" spans="1:45" x14ac:dyDescent="0.3">
      <c r="A362">
        <v>497</v>
      </c>
      <c r="B362">
        <v>404</v>
      </c>
      <c r="C362" t="s">
        <v>1517</v>
      </c>
      <c r="D362" t="s">
        <v>45</v>
      </c>
      <c r="E362" t="s">
        <v>46</v>
      </c>
      <c r="F362" t="s">
        <v>56</v>
      </c>
      <c r="G362">
        <v>16.3</v>
      </c>
      <c r="H362">
        <v>9.4</v>
      </c>
      <c r="I362">
        <v>6.6</v>
      </c>
      <c r="J362">
        <v>50.9</v>
      </c>
      <c r="K362">
        <v>47.9</v>
      </c>
      <c r="L362">
        <v>10.4</v>
      </c>
      <c r="M362">
        <v>77.3</v>
      </c>
      <c r="N362">
        <v>3.7</v>
      </c>
      <c r="O362">
        <v>21.3</v>
      </c>
      <c r="P362">
        <v>24.2</v>
      </c>
      <c r="Q362" t="s">
        <v>486</v>
      </c>
      <c r="R362" t="s">
        <v>1517</v>
      </c>
      <c r="S362" t="s">
        <v>487</v>
      </c>
      <c r="T362">
        <v>2560</v>
      </c>
      <c r="U362">
        <v>35.9</v>
      </c>
      <c r="V362">
        <v>429</v>
      </c>
      <c r="W362">
        <v>35.4</v>
      </c>
      <c r="X362">
        <v>336</v>
      </c>
      <c r="Y362">
        <v>85.7</v>
      </c>
      <c r="Z362">
        <v>194</v>
      </c>
      <c r="AA362">
        <v>70.599999999999994</v>
      </c>
      <c r="AB362">
        <v>415</v>
      </c>
      <c r="AC362">
        <v>77</v>
      </c>
      <c r="AD362">
        <v>297</v>
      </c>
      <c r="AE362" t="s">
        <v>208</v>
      </c>
      <c r="AF362">
        <v>0</v>
      </c>
      <c r="AG362" t="s">
        <v>1518</v>
      </c>
      <c r="AH362">
        <v>607</v>
      </c>
      <c r="AI362" t="s">
        <v>46</v>
      </c>
      <c r="AJ362" s="1">
        <v>25670</v>
      </c>
      <c r="AK362">
        <v>19.600000000000001</v>
      </c>
      <c r="AL362" s="2">
        <v>0.14000000000000001</v>
      </c>
      <c r="AM362" s="3">
        <v>2.2409722222222221</v>
      </c>
      <c r="AN362" t="s">
        <v>1517</v>
      </c>
      <c r="AO362" t="s">
        <v>1519</v>
      </c>
      <c r="AP362" t="b">
        <v>0</v>
      </c>
      <c r="AQ362" t="b">
        <v>0</v>
      </c>
      <c r="AR362" t="b">
        <v>0</v>
      </c>
      <c r="AS362" t="s">
        <v>1520</v>
      </c>
    </row>
    <row r="363" spans="1:45" x14ac:dyDescent="0.3">
      <c r="A363">
        <v>501</v>
      </c>
      <c r="B363">
        <v>580</v>
      </c>
      <c r="C363" t="s">
        <v>1521</v>
      </c>
      <c r="D363" t="s">
        <v>731</v>
      </c>
      <c r="E363" t="s">
        <v>732</v>
      </c>
      <c r="F363" t="s">
        <v>388</v>
      </c>
      <c r="G363">
        <v>15.9</v>
      </c>
      <c r="H363">
        <v>24.6</v>
      </c>
      <c r="I363">
        <v>14.9</v>
      </c>
      <c r="J363">
        <v>16.7</v>
      </c>
      <c r="K363">
        <v>100</v>
      </c>
      <c r="L363">
        <v>99.8</v>
      </c>
      <c r="M363">
        <v>27.3</v>
      </c>
      <c r="N363">
        <v>8.3000000000000007</v>
      </c>
      <c r="O363">
        <v>1.5</v>
      </c>
      <c r="P363">
        <v>24.1</v>
      </c>
      <c r="Q363" t="s">
        <v>292</v>
      </c>
      <c r="R363" t="s">
        <v>1521</v>
      </c>
      <c r="S363" t="s">
        <v>293</v>
      </c>
      <c r="T363">
        <v>2050</v>
      </c>
      <c r="U363">
        <v>48.2</v>
      </c>
      <c r="V363">
        <v>154</v>
      </c>
      <c r="W363">
        <v>30</v>
      </c>
      <c r="X363">
        <v>471</v>
      </c>
      <c r="Y363">
        <v>85.8</v>
      </c>
      <c r="Z363">
        <v>192</v>
      </c>
      <c r="AA363">
        <v>25.5</v>
      </c>
      <c r="AB363">
        <v>1315</v>
      </c>
      <c r="AC363">
        <v>97.8</v>
      </c>
      <c r="AD363">
        <v>9</v>
      </c>
      <c r="AE363" t="s">
        <v>57</v>
      </c>
      <c r="AF363">
        <v>0</v>
      </c>
      <c r="AG363" t="s">
        <v>1522</v>
      </c>
      <c r="AH363">
        <v>589115</v>
      </c>
      <c r="AI363" t="s">
        <v>732</v>
      </c>
      <c r="AJ363" s="1">
        <v>2506</v>
      </c>
      <c r="AK363">
        <v>10.9</v>
      </c>
      <c r="AL363" s="2">
        <v>0.6</v>
      </c>
      <c r="AM363" s="3">
        <v>2.1590277777777778</v>
      </c>
      <c r="AN363" t="s">
        <v>1521</v>
      </c>
      <c r="AO363" t="s">
        <v>1523</v>
      </c>
      <c r="AP363" t="b">
        <v>0</v>
      </c>
      <c r="AQ363" t="b">
        <v>0</v>
      </c>
      <c r="AR363" t="b">
        <v>0</v>
      </c>
    </row>
    <row r="364" spans="1:45" x14ac:dyDescent="0.3">
      <c r="A364">
        <v>511</v>
      </c>
      <c r="B364" t="s">
        <v>1442</v>
      </c>
      <c r="C364" t="s">
        <v>1524</v>
      </c>
      <c r="D364" t="s">
        <v>95</v>
      </c>
      <c r="E364" t="s">
        <v>96</v>
      </c>
      <c r="F364" t="s">
        <v>77</v>
      </c>
      <c r="G364">
        <v>5.4</v>
      </c>
      <c r="H364">
        <v>22</v>
      </c>
      <c r="I364">
        <v>4.9000000000000004</v>
      </c>
      <c r="J364">
        <v>80.3</v>
      </c>
      <c r="L364">
        <v>2.4</v>
      </c>
      <c r="M364">
        <v>56.3</v>
      </c>
      <c r="N364">
        <v>5.7</v>
      </c>
      <c r="O364">
        <v>2.4</v>
      </c>
      <c r="P364">
        <v>23.8</v>
      </c>
      <c r="Q364" t="s">
        <v>696</v>
      </c>
      <c r="R364" t="s">
        <v>1524</v>
      </c>
      <c r="S364" t="s">
        <v>697</v>
      </c>
      <c r="T364">
        <v>8030</v>
      </c>
      <c r="U364">
        <v>18.7</v>
      </c>
      <c r="V364">
        <v>1488</v>
      </c>
      <c r="W364">
        <v>19.8</v>
      </c>
      <c r="X364">
        <v>827</v>
      </c>
      <c r="Y364">
        <v>82.5</v>
      </c>
      <c r="Z364">
        <v>274</v>
      </c>
      <c r="AA364">
        <v>35.799999999999997</v>
      </c>
      <c r="AB364">
        <v>1081</v>
      </c>
      <c r="AC364">
        <v>25.2</v>
      </c>
      <c r="AD364">
        <v>1700</v>
      </c>
      <c r="AE364" t="s">
        <v>57</v>
      </c>
      <c r="AF364">
        <v>0</v>
      </c>
      <c r="AG364" t="s">
        <v>1525</v>
      </c>
      <c r="AH364">
        <v>623505</v>
      </c>
      <c r="AI364" t="s">
        <v>98</v>
      </c>
      <c r="AJ364" s="1">
        <v>74052</v>
      </c>
      <c r="AK364">
        <v>15.6</v>
      </c>
      <c r="AL364" s="2">
        <v>0.04</v>
      </c>
      <c r="AM364" s="3">
        <v>2.036111111111111</v>
      </c>
      <c r="AN364" t="s">
        <v>1524</v>
      </c>
      <c r="AO364" t="s">
        <v>1526</v>
      </c>
      <c r="AP364" t="b">
        <v>0</v>
      </c>
      <c r="AQ364" t="b">
        <v>0</v>
      </c>
      <c r="AR364" t="b">
        <v>0</v>
      </c>
    </row>
    <row r="365" spans="1:45" x14ac:dyDescent="0.3">
      <c r="A365">
        <v>501</v>
      </c>
      <c r="B365">
        <v>567</v>
      </c>
      <c r="C365" t="s">
        <v>1527</v>
      </c>
      <c r="D365" t="s">
        <v>54</v>
      </c>
      <c r="E365" t="s">
        <v>55</v>
      </c>
      <c r="F365" t="s">
        <v>56</v>
      </c>
      <c r="G365">
        <v>12.7</v>
      </c>
      <c r="H365">
        <v>12.4</v>
      </c>
      <c r="I365">
        <v>7.5</v>
      </c>
      <c r="J365">
        <v>19.399999999999999</v>
      </c>
      <c r="K365">
        <v>63.7</v>
      </c>
      <c r="L365">
        <v>85.6</v>
      </c>
      <c r="M365">
        <v>73</v>
      </c>
      <c r="N365">
        <v>1.3</v>
      </c>
      <c r="O365">
        <v>72.3</v>
      </c>
      <c r="P365">
        <v>24.1</v>
      </c>
      <c r="Q365" t="s">
        <v>572</v>
      </c>
      <c r="R365" t="s">
        <v>1527</v>
      </c>
      <c r="S365" t="s">
        <v>574</v>
      </c>
      <c r="T365">
        <v>5420</v>
      </c>
      <c r="U365">
        <v>28.3</v>
      </c>
      <c r="V365">
        <v>786</v>
      </c>
      <c r="W365">
        <v>25</v>
      </c>
      <c r="X365">
        <v>609</v>
      </c>
      <c r="Y365">
        <v>66.3</v>
      </c>
      <c r="Z365">
        <v>642</v>
      </c>
      <c r="AA365">
        <v>44.4</v>
      </c>
      <c r="AB365">
        <v>903</v>
      </c>
      <c r="AC365">
        <v>88.4</v>
      </c>
      <c r="AD365">
        <v>144</v>
      </c>
      <c r="AE365" t="s">
        <v>57</v>
      </c>
      <c r="AF365">
        <v>0</v>
      </c>
      <c r="AG365" t="s">
        <v>1528</v>
      </c>
      <c r="AH365">
        <v>131570</v>
      </c>
      <c r="AI365" t="s">
        <v>55</v>
      </c>
      <c r="AJ365" s="1">
        <v>14270</v>
      </c>
      <c r="AK365">
        <v>19.8</v>
      </c>
      <c r="AL365" s="2">
        <v>0.26</v>
      </c>
      <c r="AM365" s="3">
        <v>2.4458333333333333</v>
      </c>
      <c r="AN365" t="s">
        <v>1527</v>
      </c>
      <c r="AO365" t="s">
        <v>1529</v>
      </c>
      <c r="AP365" t="b">
        <v>0</v>
      </c>
      <c r="AQ365" t="b">
        <v>0</v>
      </c>
      <c r="AR365" t="b">
        <v>0</v>
      </c>
      <c r="AS365" t="s">
        <v>1530</v>
      </c>
    </row>
    <row r="366" spans="1:45" x14ac:dyDescent="0.3">
      <c r="A366">
        <v>506</v>
      </c>
      <c r="B366">
        <v>498</v>
      </c>
      <c r="C366" t="s">
        <v>1531</v>
      </c>
      <c r="D366" t="s">
        <v>45</v>
      </c>
      <c r="E366" t="s">
        <v>46</v>
      </c>
      <c r="F366" t="s">
        <v>56</v>
      </c>
      <c r="G366">
        <v>9.4</v>
      </c>
      <c r="H366">
        <v>7.9</v>
      </c>
      <c r="I366">
        <v>6.6</v>
      </c>
      <c r="J366">
        <v>53.9</v>
      </c>
      <c r="K366">
        <v>30</v>
      </c>
      <c r="L366">
        <v>12.6</v>
      </c>
      <c r="M366">
        <v>66.5</v>
      </c>
      <c r="N366">
        <v>16.899999999999999</v>
      </c>
      <c r="O366">
        <v>65.3</v>
      </c>
      <c r="P366">
        <v>24</v>
      </c>
      <c r="Q366" t="s">
        <v>372</v>
      </c>
      <c r="R366" t="s">
        <v>1531</v>
      </c>
      <c r="S366" t="s">
        <v>374</v>
      </c>
      <c r="T366">
        <v>4240</v>
      </c>
      <c r="U366">
        <v>32.700000000000003</v>
      </c>
      <c r="V366">
        <v>557</v>
      </c>
      <c r="W366">
        <v>31.8</v>
      </c>
      <c r="X366">
        <v>418</v>
      </c>
      <c r="Y366">
        <v>72.5</v>
      </c>
      <c r="Z366">
        <v>495</v>
      </c>
      <c r="AA366">
        <v>80.900000000000006</v>
      </c>
      <c r="AB366">
        <v>252</v>
      </c>
      <c r="AC366">
        <v>62.3</v>
      </c>
      <c r="AD366">
        <v>535</v>
      </c>
      <c r="AE366" t="s">
        <v>208</v>
      </c>
      <c r="AF366">
        <v>0</v>
      </c>
      <c r="AG366" t="s">
        <v>1532</v>
      </c>
      <c r="AH366">
        <v>644</v>
      </c>
      <c r="AI366" t="s">
        <v>46</v>
      </c>
      <c r="AJ366" s="1">
        <v>21545</v>
      </c>
      <c r="AK366">
        <v>16.100000000000001</v>
      </c>
      <c r="AL366" s="2">
        <v>0.11</v>
      </c>
      <c r="AM366" s="3">
        <v>2.4048611111111109</v>
      </c>
      <c r="AN366" t="s">
        <v>1531</v>
      </c>
      <c r="AO366" t="s">
        <v>1533</v>
      </c>
      <c r="AP366" t="b">
        <v>0</v>
      </c>
      <c r="AQ366" t="b">
        <v>0</v>
      </c>
      <c r="AR366" t="b">
        <v>0</v>
      </c>
      <c r="AS366" t="s">
        <v>1534</v>
      </c>
    </row>
    <row r="367" spans="1:45" x14ac:dyDescent="0.3">
      <c r="A367">
        <v>506</v>
      </c>
      <c r="B367">
        <v>429</v>
      </c>
      <c r="C367" t="s">
        <v>1535</v>
      </c>
      <c r="D367" t="s">
        <v>442</v>
      </c>
      <c r="E367" t="s">
        <v>443</v>
      </c>
      <c r="F367" t="s">
        <v>56</v>
      </c>
      <c r="G367">
        <v>24.9</v>
      </c>
      <c r="H367">
        <v>10.5</v>
      </c>
      <c r="I367">
        <v>22</v>
      </c>
      <c r="J367">
        <v>32.700000000000003</v>
      </c>
      <c r="K367">
        <v>29.6</v>
      </c>
      <c r="L367">
        <v>6.1</v>
      </c>
      <c r="M367">
        <v>85.8</v>
      </c>
      <c r="N367">
        <v>4.4000000000000004</v>
      </c>
      <c r="O367">
        <v>19</v>
      </c>
      <c r="P367">
        <v>24</v>
      </c>
      <c r="Q367" t="s">
        <v>659</v>
      </c>
      <c r="R367" t="s">
        <v>1535</v>
      </c>
      <c r="S367" t="s">
        <v>660</v>
      </c>
      <c r="T367">
        <v>3970</v>
      </c>
      <c r="U367">
        <v>29.3</v>
      </c>
      <c r="V367">
        <v>732</v>
      </c>
      <c r="W367">
        <v>34.799999999999997</v>
      </c>
      <c r="X367">
        <v>355</v>
      </c>
      <c r="Y367">
        <v>80.5</v>
      </c>
      <c r="Z367">
        <v>312</v>
      </c>
      <c r="AA367">
        <v>65.2</v>
      </c>
      <c r="AB367">
        <v>543</v>
      </c>
      <c r="AC367">
        <v>61.1</v>
      </c>
      <c r="AD367">
        <v>561</v>
      </c>
      <c r="AE367" t="s">
        <v>57</v>
      </c>
      <c r="AF367">
        <v>0</v>
      </c>
      <c r="AG367" t="s">
        <v>1536</v>
      </c>
      <c r="AH367">
        <v>763</v>
      </c>
      <c r="AI367" t="s">
        <v>443</v>
      </c>
      <c r="AJ367" s="1">
        <v>14100</v>
      </c>
      <c r="AK367">
        <v>18.399999999999999</v>
      </c>
      <c r="AL367" s="2">
        <v>7.0000000000000007E-2</v>
      </c>
      <c r="AM367" s="3">
        <v>2.1590277777777778</v>
      </c>
      <c r="AN367" t="s">
        <v>1535</v>
      </c>
      <c r="AO367" t="s">
        <v>1537</v>
      </c>
      <c r="AP367" t="b">
        <v>0</v>
      </c>
      <c r="AQ367" t="b">
        <v>0</v>
      </c>
      <c r="AR367" t="b">
        <v>0</v>
      </c>
    </row>
    <row r="368" spans="1:45" x14ac:dyDescent="0.3">
      <c r="A368">
        <v>508</v>
      </c>
      <c r="B368">
        <v>530</v>
      </c>
      <c r="C368" t="s">
        <v>1538</v>
      </c>
      <c r="D368" t="s">
        <v>1075</v>
      </c>
      <c r="E368" t="s">
        <v>1076</v>
      </c>
      <c r="F368" t="s">
        <v>77</v>
      </c>
      <c r="G368">
        <v>28.2</v>
      </c>
      <c r="H368">
        <v>26.1</v>
      </c>
      <c r="I368">
        <v>4.3</v>
      </c>
      <c r="J368">
        <v>15.8</v>
      </c>
      <c r="K368">
        <v>1.7</v>
      </c>
      <c r="L368">
        <v>4.0999999999999996</v>
      </c>
      <c r="M368">
        <v>90.5</v>
      </c>
      <c r="N368">
        <v>38.299999999999997</v>
      </c>
      <c r="O368">
        <v>44.3</v>
      </c>
      <c r="P368">
        <v>23.9</v>
      </c>
      <c r="Q368" t="s">
        <v>679</v>
      </c>
      <c r="R368" t="s">
        <v>1538</v>
      </c>
      <c r="S368" t="s">
        <v>680</v>
      </c>
      <c r="T368">
        <v>8150</v>
      </c>
      <c r="U368">
        <v>22.3</v>
      </c>
      <c r="V368">
        <v>1200</v>
      </c>
      <c r="W368">
        <v>16.8</v>
      </c>
      <c r="X368">
        <v>980</v>
      </c>
      <c r="Y368">
        <v>66.3</v>
      </c>
      <c r="Z368">
        <v>641</v>
      </c>
      <c r="AA368">
        <v>52.7</v>
      </c>
      <c r="AB368">
        <v>758</v>
      </c>
      <c r="AC368">
        <v>38.1</v>
      </c>
      <c r="AD368">
        <v>1185</v>
      </c>
      <c r="AE368" t="s">
        <v>57</v>
      </c>
      <c r="AF368">
        <v>0</v>
      </c>
      <c r="AG368" t="s">
        <v>1539</v>
      </c>
      <c r="AH368">
        <v>131558</v>
      </c>
      <c r="AI368" t="s">
        <v>1076</v>
      </c>
      <c r="AJ368" s="1">
        <v>49654</v>
      </c>
      <c r="AK368">
        <v>18.2</v>
      </c>
      <c r="AL368" s="2">
        <v>0.05</v>
      </c>
      <c r="AM368" s="3">
        <v>2.4458333333333333</v>
      </c>
      <c r="AN368" t="s">
        <v>1538</v>
      </c>
      <c r="AO368" t="s">
        <v>1540</v>
      </c>
      <c r="AP368" t="b">
        <v>0</v>
      </c>
      <c r="AQ368" t="b">
        <v>0</v>
      </c>
      <c r="AR368" t="b">
        <v>0</v>
      </c>
    </row>
    <row r="369" spans="1:45" x14ac:dyDescent="0.3">
      <c r="A369">
        <v>508</v>
      </c>
      <c r="B369">
        <v>511</v>
      </c>
      <c r="C369" t="s">
        <v>1541</v>
      </c>
      <c r="D369" t="s">
        <v>54</v>
      </c>
      <c r="E369" t="s">
        <v>55</v>
      </c>
      <c r="F369" t="s">
        <v>47</v>
      </c>
      <c r="G369">
        <v>17.100000000000001</v>
      </c>
      <c r="H369">
        <v>9.4</v>
      </c>
      <c r="I369">
        <v>14.8</v>
      </c>
      <c r="J369">
        <v>15.1</v>
      </c>
      <c r="K369">
        <v>100</v>
      </c>
      <c r="L369">
        <v>98.7</v>
      </c>
      <c r="M369">
        <v>16.899999999999999</v>
      </c>
      <c r="N369">
        <v>22.4</v>
      </c>
      <c r="O369">
        <v>39.1</v>
      </c>
      <c r="P369">
        <v>23.9</v>
      </c>
      <c r="Q369" t="s">
        <v>372</v>
      </c>
      <c r="R369" t="s">
        <v>1542</v>
      </c>
      <c r="S369" t="s">
        <v>374</v>
      </c>
      <c r="T369">
        <v>4800</v>
      </c>
      <c r="U369">
        <v>42.5</v>
      </c>
      <c r="V369">
        <v>252</v>
      </c>
      <c r="W369">
        <v>36.1</v>
      </c>
      <c r="X369">
        <v>324</v>
      </c>
      <c r="Y369">
        <v>60.2</v>
      </c>
      <c r="Z369">
        <v>776</v>
      </c>
      <c r="AA369">
        <v>15.6</v>
      </c>
      <c r="AB369">
        <v>1902</v>
      </c>
      <c r="AC369">
        <v>80.400000000000006</v>
      </c>
      <c r="AD369">
        <v>251</v>
      </c>
      <c r="AE369" t="s">
        <v>57</v>
      </c>
      <c r="AF369">
        <v>0</v>
      </c>
      <c r="AG369" t="s">
        <v>1543</v>
      </c>
      <c r="AH369">
        <v>970</v>
      </c>
      <c r="AI369" t="s">
        <v>55</v>
      </c>
      <c r="AJ369" s="1">
        <v>4845</v>
      </c>
      <c r="AK369">
        <v>14.9</v>
      </c>
      <c r="AL369" s="2">
        <v>0.45</v>
      </c>
      <c r="AM369" s="3">
        <v>2.7326388888888888</v>
      </c>
      <c r="AN369" t="s">
        <v>1542</v>
      </c>
      <c r="AO369" t="s">
        <v>1544</v>
      </c>
      <c r="AP369" t="b">
        <v>0</v>
      </c>
      <c r="AQ369" t="b">
        <v>0</v>
      </c>
      <c r="AR369" t="b">
        <v>0</v>
      </c>
    </row>
    <row r="370" spans="1:45" x14ac:dyDescent="0.3">
      <c r="A370">
        <v>511</v>
      </c>
      <c r="B370">
        <v>498</v>
      </c>
      <c r="C370" t="s">
        <v>1545</v>
      </c>
      <c r="D370" t="s">
        <v>166</v>
      </c>
      <c r="E370" t="s">
        <v>167</v>
      </c>
      <c r="F370" t="s">
        <v>56</v>
      </c>
      <c r="G370">
        <v>22.1</v>
      </c>
      <c r="H370">
        <v>21.2</v>
      </c>
      <c r="I370">
        <v>76.3</v>
      </c>
      <c r="J370">
        <v>6.9</v>
      </c>
      <c r="K370">
        <v>7</v>
      </c>
      <c r="L370">
        <v>24.4</v>
      </c>
      <c r="M370">
        <v>31.3</v>
      </c>
      <c r="N370">
        <v>23</v>
      </c>
      <c r="O370">
        <v>34.200000000000003</v>
      </c>
      <c r="P370">
        <v>23.8</v>
      </c>
      <c r="Q370" t="s">
        <v>696</v>
      </c>
      <c r="R370" t="s">
        <v>1545</v>
      </c>
      <c r="S370" t="s">
        <v>697</v>
      </c>
      <c r="T370">
        <v>6520</v>
      </c>
      <c r="U370">
        <v>37.6</v>
      </c>
      <c r="V370">
        <v>370</v>
      </c>
      <c r="W370">
        <v>35.299999999999997</v>
      </c>
      <c r="X370">
        <v>342</v>
      </c>
      <c r="Y370">
        <v>44.5</v>
      </c>
      <c r="Z370">
        <v>1132</v>
      </c>
      <c r="AA370">
        <v>82.8</v>
      </c>
      <c r="AB370">
        <v>232</v>
      </c>
      <c r="AC370">
        <v>49.6</v>
      </c>
      <c r="AD370">
        <v>814</v>
      </c>
      <c r="AE370" t="s">
        <v>57</v>
      </c>
      <c r="AF370">
        <v>0</v>
      </c>
      <c r="AG370" t="s">
        <v>1546</v>
      </c>
      <c r="AH370">
        <v>1018</v>
      </c>
      <c r="AI370" t="s">
        <v>167</v>
      </c>
      <c r="AJ370" s="1">
        <v>13999</v>
      </c>
      <c r="AK370">
        <v>16.7</v>
      </c>
      <c r="AL370" s="2">
        <v>0.15</v>
      </c>
      <c r="AM370" s="3">
        <v>4.166666666666667</v>
      </c>
      <c r="AN370" t="s">
        <v>1545</v>
      </c>
      <c r="AO370" t="s">
        <v>1547</v>
      </c>
      <c r="AP370" t="b">
        <v>0</v>
      </c>
      <c r="AQ370" t="b">
        <v>0</v>
      </c>
      <c r="AR370" t="b">
        <v>0</v>
      </c>
    </row>
    <row r="371" spans="1:45" x14ac:dyDescent="0.3">
      <c r="A371">
        <v>513</v>
      </c>
      <c r="B371">
        <v>590</v>
      </c>
      <c r="C371" t="s">
        <v>1548</v>
      </c>
      <c r="D371" t="s">
        <v>402</v>
      </c>
      <c r="E371" t="s">
        <v>403</v>
      </c>
      <c r="F371" t="s">
        <v>388</v>
      </c>
      <c r="G371">
        <v>20.3</v>
      </c>
      <c r="H371">
        <v>23</v>
      </c>
      <c r="I371">
        <v>23.1</v>
      </c>
      <c r="J371">
        <v>27.8</v>
      </c>
      <c r="K371">
        <v>100</v>
      </c>
      <c r="L371">
        <v>18.8</v>
      </c>
      <c r="M371">
        <v>23.3</v>
      </c>
      <c r="N371">
        <v>2.8</v>
      </c>
      <c r="O371">
        <v>1.2</v>
      </c>
      <c r="P371">
        <v>23.7</v>
      </c>
      <c r="Q371" t="s">
        <v>1475</v>
      </c>
      <c r="R371" t="s">
        <v>1549</v>
      </c>
      <c r="T371">
        <v>1000564</v>
      </c>
      <c r="V371">
        <v>0</v>
      </c>
      <c r="X371">
        <v>0</v>
      </c>
      <c r="Z371">
        <v>0</v>
      </c>
      <c r="AB371">
        <v>0</v>
      </c>
      <c r="AD371">
        <v>0</v>
      </c>
      <c r="AE371" t="s">
        <v>57</v>
      </c>
      <c r="AF371">
        <v>11</v>
      </c>
      <c r="AG371" t="s">
        <v>1550</v>
      </c>
      <c r="AH371">
        <v>648692</v>
      </c>
      <c r="AI371" t="s">
        <v>403</v>
      </c>
      <c r="AJ371" s="1">
        <v>2899</v>
      </c>
      <c r="AK371">
        <v>11.7</v>
      </c>
      <c r="AL371" s="2">
        <v>0.17</v>
      </c>
      <c r="AM371" s="3">
        <v>2.3229166666666665</v>
      </c>
      <c r="AN371" t="s">
        <v>1549</v>
      </c>
      <c r="AO371" t="s">
        <v>1551</v>
      </c>
      <c r="AP371" t="b">
        <v>0</v>
      </c>
      <c r="AQ371" t="b">
        <v>0</v>
      </c>
      <c r="AR371" t="b">
        <v>0</v>
      </c>
    </row>
    <row r="372" spans="1:45" x14ac:dyDescent="0.3">
      <c r="A372">
        <v>513</v>
      </c>
      <c r="B372">
        <v>481</v>
      </c>
      <c r="C372" t="s">
        <v>1552</v>
      </c>
      <c r="D372" t="s">
        <v>442</v>
      </c>
      <c r="E372" t="s">
        <v>443</v>
      </c>
      <c r="F372" t="s">
        <v>56</v>
      </c>
      <c r="G372">
        <v>20.399999999999999</v>
      </c>
      <c r="H372">
        <v>10.9</v>
      </c>
      <c r="I372">
        <v>3.3</v>
      </c>
      <c r="J372">
        <v>54.1</v>
      </c>
      <c r="K372">
        <v>3.5</v>
      </c>
      <c r="L372">
        <v>4.3</v>
      </c>
      <c r="M372">
        <v>81.099999999999994</v>
      </c>
      <c r="N372">
        <v>11.5</v>
      </c>
      <c r="O372">
        <v>14.8</v>
      </c>
      <c r="P372">
        <v>23.7</v>
      </c>
      <c r="Q372" t="s">
        <v>659</v>
      </c>
      <c r="R372" t="s">
        <v>1553</v>
      </c>
      <c r="S372" t="s">
        <v>660</v>
      </c>
      <c r="T372">
        <v>3830</v>
      </c>
      <c r="U372">
        <v>27.8</v>
      </c>
      <c r="V372">
        <v>817</v>
      </c>
      <c r="W372">
        <v>26</v>
      </c>
      <c r="X372">
        <v>571</v>
      </c>
      <c r="Y372">
        <v>91.1</v>
      </c>
      <c r="Z372">
        <v>106</v>
      </c>
      <c r="AA372">
        <v>66.7</v>
      </c>
      <c r="AB372">
        <v>512</v>
      </c>
      <c r="AC372">
        <v>47</v>
      </c>
      <c r="AD372">
        <v>890</v>
      </c>
      <c r="AE372" t="s">
        <v>57</v>
      </c>
      <c r="AF372">
        <v>0</v>
      </c>
      <c r="AG372" t="s">
        <v>1554</v>
      </c>
      <c r="AH372">
        <v>705</v>
      </c>
      <c r="AI372" t="s">
        <v>443</v>
      </c>
      <c r="AJ372" s="1">
        <v>29943</v>
      </c>
      <c r="AK372">
        <v>29.8</v>
      </c>
      <c r="AL372" s="2">
        <v>0.05</v>
      </c>
      <c r="AM372" s="3">
        <v>2.6097222222222221</v>
      </c>
      <c r="AN372" t="s">
        <v>1553</v>
      </c>
      <c r="AO372" t="s">
        <v>1555</v>
      </c>
      <c r="AP372" t="b">
        <v>0</v>
      </c>
      <c r="AQ372" t="b">
        <v>0</v>
      </c>
      <c r="AR372" t="b">
        <v>0</v>
      </c>
    </row>
    <row r="373" spans="1:45" x14ac:dyDescent="0.3">
      <c r="A373">
        <v>516</v>
      </c>
      <c r="B373">
        <v>563</v>
      </c>
      <c r="C373" t="s">
        <v>1556</v>
      </c>
      <c r="D373" t="s">
        <v>1117</v>
      </c>
      <c r="E373" t="s">
        <v>1118</v>
      </c>
      <c r="F373" t="s">
        <v>56</v>
      </c>
      <c r="G373">
        <v>21.4</v>
      </c>
      <c r="H373">
        <v>64.5</v>
      </c>
      <c r="I373">
        <v>24.4</v>
      </c>
      <c r="J373">
        <v>1.8</v>
      </c>
      <c r="K373">
        <v>2.9</v>
      </c>
      <c r="L373">
        <v>2.5</v>
      </c>
      <c r="M373">
        <v>23</v>
      </c>
      <c r="N373">
        <v>70.599999999999994</v>
      </c>
      <c r="O373">
        <v>15.6</v>
      </c>
      <c r="P373">
        <v>23.6</v>
      </c>
      <c r="Q373" t="s">
        <v>733</v>
      </c>
      <c r="R373" t="s">
        <v>1556</v>
      </c>
      <c r="S373" t="s">
        <v>735</v>
      </c>
      <c r="T373">
        <v>10130</v>
      </c>
      <c r="U373">
        <v>30.8</v>
      </c>
      <c r="V373">
        <v>646</v>
      </c>
      <c r="W373">
        <v>10.8</v>
      </c>
      <c r="X373">
        <v>1544</v>
      </c>
      <c r="Y373">
        <v>52.4</v>
      </c>
      <c r="Z373">
        <v>952</v>
      </c>
      <c r="AA373">
        <v>27.6</v>
      </c>
      <c r="AB373">
        <v>1248</v>
      </c>
      <c r="AC373">
        <v>33.5</v>
      </c>
      <c r="AD373">
        <v>1372</v>
      </c>
      <c r="AE373" t="s">
        <v>57</v>
      </c>
      <c r="AF373">
        <v>0</v>
      </c>
      <c r="AG373" t="s">
        <v>1557</v>
      </c>
      <c r="AH373">
        <v>131786</v>
      </c>
      <c r="AI373" t="s">
        <v>1118</v>
      </c>
      <c r="AJ373" s="1">
        <v>14168</v>
      </c>
      <c r="AK373">
        <v>11.1</v>
      </c>
      <c r="AL373" s="2">
        <v>0.01</v>
      </c>
      <c r="AM373" s="3">
        <v>2.2000000000000002</v>
      </c>
      <c r="AN373" t="s">
        <v>1556</v>
      </c>
      <c r="AO373" t="s">
        <v>1558</v>
      </c>
      <c r="AP373" t="b">
        <v>0</v>
      </c>
      <c r="AQ373" t="b">
        <v>0</v>
      </c>
      <c r="AR373" t="b">
        <v>0</v>
      </c>
    </row>
    <row r="374" spans="1:45" x14ac:dyDescent="0.3">
      <c r="A374">
        <v>516</v>
      </c>
      <c r="B374">
        <v>529</v>
      </c>
      <c r="C374" t="s">
        <v>1559</v>
      </c>
      <c r="D374" t="s">
        <v>87</v>
      </c>
      <c r="E374" t="s">
        <v>88</v>
      </c>
      <c r="F374" t="s">
        <v>56</v>
      </c>
      <c r="G374">
        <v>8.5</v>
      </c>
      <c r="H374">
        <v>6.8</v>
      </c>
      <c r="I374">
        <v>4.8</v>
      </c>
      <c r="J374">
        <v>49.8</v>
      </c>
      <c r="K374">
        <v>78.5</v>
      </c>
      <c r="L374">
        <v>57.7</v>
      </c>
      <c r="M374">
        <v>64.5</v>
      </c>
      <c r="N374">
        <v>4.7</v>
      </c>
      <c r="O374">
        <v>5.8</v>
      </c>
      <c r="P374">
        <v>23.6</v>
      </c>
      <c r="Q374" t="s">
        <v>659</v>
      </c>
      <c r="R374" t="s">
        <v>1560</v>
      </c>
      <c r="S374" t="s">
        <v>660</v>
      </c>
      <c r="T374">
        <v>3640</v>
      </c>
      <c r="U374">
        <v>23.7</v>
      </c>
      <c r="V374">
        <v>1099</v>
      </c>
      <c r="W374">
        <v>26.2</v>
      </c>
      <c r="X374">
        <v>562</v>
      </c>
      <c r="Y374">
        <v>86.9</v>
      </c>
      <c r="Z374">
        <v>175</v>
      </c>
      <c r="AA374">
        <v>69.2</v>
      </c>
      <c r="AB374">
        <v>450</v>
      </c>
      <c r="AC374">
        <v>87.6</v>
      </c>
      <c r="AD374">
        <v>155</v>
      </c>
      <c r="AE374" t="s">
        <v>57</v>
      </c>
      <c r="AF374">
        <v>11</v>
      </c>
      <c r="AG374" t="s">
        <v>1561</v>
      </c>
      <c r="AH374">
        <v>922</v>
      </c>
      <c r="AI374" t="s">
        <v>88</v>
      </c>
      <c r="AJ374" s="1">
        <v>17965</v>
      </c>
      <c r="AK374">
        <v>29.8</v>
      </c>
      <c r="AL374" s="2">
        <v>0.24</v>
      </c>
      <c r="AM374" s="3">
        <v>2.6097222222222221</v>
      </c>
      <c r="AN374" t="s">
        <v>1562</v>
      </c>
      <c r="AO374" t="s">
        <v>1563</v>
      </c>
      <c r="AP374" t="b">
        <v>0</v>
      </c>
      <c r="AQ374" t="b">
        <v>0</v>
      </c>
      <c r="AR374" t="b">
        <v>0</v>
      </c>
    </row>
    <row r="375" spans="1:45" x14ac:dyDescent="0.3">
      <c r="A375">
        <v>516</v>
      </c>
      <c r="B375">
        <v>520</v>
      </c>
      <c r="C375" t="s">
        <v>1564</v>
      </c>
      <c r="D375" t="s">
        <v>166</v>
      </c>
      <c r="E375" t="s">
        <v>167</v>
      </c>
      <c r="F375" t="s">
        <v>56</v>
      </c>
      <c r="G375">
        <v>11.1</v>
      </c>
      <c r="H375">
        <v>16.7</v>
      </c>
      <c r="I375">
        <v>66.900000000000006</v>
      </c>
      <c r="J375">
        <v>20.5</v>
      </c>
      <c r="K375">
        <v>11.1</v>
      </c>
      <c r="L375">
        <v>25.7</v>
      </c>
      <c r="M375">
        <v>52</v>
      </c>
      <c r="N375">
        <v>10.6</v>
      </c>
      <c r="O375">
        <v>60.6</v>
      </c>
      <c r="P375">
        <v>23.6</v>
      </c>
      <c r="Q375" t="s">
        <v>572</v>
      </c>
      <c r="R375" t="s">
        <v>1564</v>
      </c>
      <c r="S375" t="s">
        <v>574</v>
      </c>
      <c r="T375">
        <v>5510</v>
      </c>
      <c r="U375">
        <v>33.200000000000003</v>
      </c>
      <c r="V375">
        <v>535</v>
      </c>
      <c r="W375">
        <v>38.1</v>
      </c>
      <c r="X375">
        <v>284</v>
      </c>
      <c r="Y375">
        <v>51.5</v>
      </c>
      <c r="Z375">
        <v>979</v>
      </c>
      <c r="AA375">
        <v>96.2</v>
      </c>
      <c r="AB375">
        <v>100</v>
      </c>
      <c r="AC375">
        <v>50.2</v>
      </c>
      <c r="AD375">
        <v>798</v>
      </c>
      <c r="AE375" t="s">
        <v>57</v>
      </c>
      <c r="AF375">
        <v>11</v>
      </c>
      <c r="AG375" t="s">
        <v>1565</v>
      </c>
      <c r="AH375">
        <v>944</v>
      </c>
      <c r="AI375" t="s">
        <v>167</v>
      </c>
      <c r="AJ375" s="1">
        <v>18432</v>
      </c>
      <c r="AK375">
        <v>20.100000000000001</v>
      </c>
      <c r="AL375" s="2">
        <v>0.14000000000000001</v>
      </c>
      <c r="AM375" s="3">
        <v>1.9131944444444444</v>
      </c>
      <c r="AN375" t="s">
        <v>1564</v>
      </c>
      <c r="AO375" t="s">
        <v>1566</v>
      </c>
      <c r="AP375" t="b">
        <v>0</v>
      </c>
      <c r="AQ375" t="b">
        <v>0</v>
      </c>
      <c r="AR375" t="b">
        <v>0</v>
      </c>
    </row>
    <row r="376" spans="1:45" x14ac:dyDescent="0.3">
      <c r="A376">
        <v>516</v>
      </c>
      <c r="B376">
        <v>523</v>
      </c>
      <c r="C376" t="s">
        <v>1567</v>
      </c>
      <c r="D376" t="s">
        <v>54</v>
      </c>
      <c r="E376" t="s">
        <v>55</v>
      </c>
      <c r="F376" t="s">
        <v>56</v>
      </c>
      <c r="G376">
        <v>8.9</v>
      </c>
      <c r="H376">
        <v>4.5</v>
      </c>
      <c r="I376">
        <v>14.3</v>
      </c>
      <c r="J376">
        <v>21.5</v>
      </c>
      <c r="K376">
        <v>63.3</v>
      </c>
      <c r="L376">
        <v>81.5</v>
      </c>
      <c r="M376">
        <v>76.900000000000006</v>
      </c>
      <c r="N376">
        <v>20.5</v>
      </c>
      <c r="O376">
        <v>68</v>
      </c>
      <c r="P376">
        <v>23.6</v>
      </c>
      <c r="Q376" t="s">
        <v>372</v>
      </c>
      <c r="R376" t="s">
        <v>1567</v>
      </c>
      <c r="S376" t="s">
        <v>374</v>
      </c>
      <c r="T376">
        <v>4380</v>
      </c>
      <c r="U376">
        <v>27.4</v>
      </c>
      <c r="V376">
        <v>849</v>
      </c>
      <c r="W376">
        <v>24.3</v>
      </c>
      <c r="X376">
        <v>637</v>
      </c>
      <c r="Y376">
        <v>74.3</v>
      </c>
      <c r="Z376">
        <v>457</v>
      </c>
      <c r="AA376">
        <v>59.8</v>
      </c>
      <c r="AB376">
        <v>649</v>
      </c>
      <c r="AC376">
        <v>85.4</v>
      </c>
      <c r="AD376">
        <v>185</v>
      </c>
      <c r="AE376" t="s">
        <v>57</v>
      </c>
      <c r="AF376">
        <v>0</v>
      </c>
      <c r="AG376" t="s">
        <v>1568</v>
      </c>
      <c r="AH376">
        <v>781</v>
      </c>
      <c r="AI376" t="s">
        <v>55</v>
      </c>
      <c r="AJ376" s="1">
        <v>12305</v>
      </c>
      <c r="AK376">
        <v>18</v>
      </c>
      <c r="AL376" s="2">
        <v>0.21</v>
      </c>
      <c r="AM376" s="3">
        <v>2.3638888888888889</v>
      </c>
      <c r="AN376" t="s">
        <v>1567</v>
      </c>
      <c r="AO376" t="s">
        <v>1569</v>
      </c>
      <c r="AP376" t="b">
        <v>0</v>
      </c>
      <c r="AQ376" t="b">
        <v>0</v>
      </c>
      <c r="AR376" t="b">
        <v>0</v>
      </c>
      <c r="AS376" t="s">
        <v>1570</v>
      </c>
    </row>
    <row r="377" spans="1:45" x14ac:dyDescent="0.3">
      <c r="A377">
        <v>524</v>
      </c>
      <c r="B377" t="s">
        <v>1571</v>
      </c>
      <c r="C377" t="s">
        <v>1572</v>
      </c>
      <c r="D377" t="s">
        <v>166</v>
      </c>
      <c r="E377" t="s">
        <v>167</v>
      </c>
      <c r="F377" t="s">
        <v>56</v>
      </c>
      <c r="G377">
        <v>18.7</v>
      </c>
      <c r="H377">
        <v>16.5</v>
      </c>
      <c r="I377">
        <v>43.5</v>
      </c>
      <c r="J377">
        <v>19.5</v>
      </c>
      <c r="K377">
        <v>10.5</v>
      </c>
      <c r="L377">
        <v>13.7</v>
      </c>
      <c r="M377">
        <v>57.7</v>
      </c>
      <c r="N377">
        <v>13.8</v>
      </c>
      <c r="O377">
        <v>65</v>
      </c>
      <c r="P377">
        <v>23.4</v>
      </c>
      <c r="Q377" t="s">
        <v>572</v>
      </c>
      <c r="R377" t="s">
        <v>1572</v>
      </c>
      <c r="S377" t="s">
        <v>574</v>
      </c>
      <c r="T377">
        <v>5760</v>
      </c>
      <c r="U377">
        <v>39.200000000000003</v>
      </c>
      <c r="V377">
        <v>329</v>
      </c>
      <c r="W377">
        <v>39.1</v>
      </c>
      <c r="X377">
        <v>260</v>
      </c>
      <c r="Y377">
        <v>45.1</v>
      </c>
      <c r="Z377">
        <v>1115</v>
      </c>
      <c r="AA377">
        <v>86.6</v>
      </c>
      <c r="AB377">
        <v>190</v>
      </c>
      <c r="AC377">
        <v>37.799999999999997</v>
      </c>
      <c r="AD377">
        <v>1206</v>
      </c>
      <c r="AE377" t="s">
        <v>57</v>
      </c>
      <c r="AF377">
        <v>0</v>
      </c>
      <c r="AG377" t="s">
        <v>1573</v>
      </c>
      <c r="AH377">
        <v>940</v>
      </c>
      <c r="AI377" t="s">
        <v>167</v>
      </c>
      <c r="AJ377" s="1">
        <v>17195</v>
      </c>
      <c r="AK377">
        <v>16.899999999999999</v>
      </c>
      <c r="AL377" s="2">
        <v>0.1</v>
      </c>
      <c r="AM377" s="3">
        <v>2.3229166666666665</v>
      </c>
      <c r="AN377" t="s">
        <v>1574</v>
      </c>
      <c r="AO377" t="s">
        <v>1575</v>
      </c>
      <c r="AP377" t="b">
        <v>0</v>
      </c>
      <c r="AQ377" t="b">
        <v>0</v>
      </c>
      <c r="AR377" t="b">
        <v>0</v>
      </c>
    </row>
    <row r="378" spans="1:45" x14ac:dyDescent="0.3">
      <c r="A378">
        <v>527</v>
      </c>
      <c r="B378">
        <v>480</v>
      </c>
      <c r="C378" t="s">
        <v>1401</v>
      </c>
      <c r="D378" t="s">
        <v>45</v>
      </c>
      <c r="E378" t="s">
        <v>46</v>
      </c>
      <c r="F378" t="s">
        <v>47</v>
      </c>
      <c r="G378">
        <v>4</v>
      </c>
      <c r="H378">
        <v>6.1</v>
      </c>
      <c r="I378">
        <v>5.7</v>
      </c>
      <c r="J378">
        <v>86.2</v>
      </c>
      <c r="K378">
        <v>35.200000000000003</v>
      </c>
      <c r="L378">
        <v>12.8</v>
      </c>
      <c r="M378">
        <v>30.5</v>
      </c>
      <c r="N378">
        <v>4.8</v>
      </c>
      <c r="O378">
        <v>1.7</v>
      </c>
      <c r="P378">
        <v>23.2</v>
      </c>
      <c r="Q378" t="s">
        <v>372</v>
      </c>
      <c r="R378" t="s">
        <v>1401</v>
      </c>
      <c r="S378" t="s">
        <v>374</v>
      </c>
      <c r="T378">
        <v>4550</v>
      </c>
      <c r="U378">
        <v>33.200000000000003</v>
      </c>
      <c r="V378">
        <v>537</v>
      </c>
      <c r="W378">
        <v>28.7</v>
      </c>
      <c r="X378">
        <v>501</v>
      </c>
      <c r="Y378">
        <v>69.599999999999994</v>
      </c>
      <c r="Z378">
        <v>566</v>
      </c>
      <c r="AA378">
        <v>88.1</v>
      </c>
      <c r="AB378">
        <v>179</v>
      </c>
      <c r="AC378">
        <v>72.400000000000006</v>
      </c>
      <c r="AD378">
        <v>372</v>
      </c>
      <c r="AE378" t="s">
        <v>208</v>
      </c>
      <c r="AF378">
        <v>0</v>
      </c>
      <c r="AG378" t="s">
        <v>1402</v>
      </c>
      <c r="AH378">
        <v>131700</v>
      </c>
      <c r="AI378" t="s">
        <v>46</v>
      </c>
      <c r="AJ378" s="1">
        <v>7271</v>
      </c>
      <c r="AK378">
        <v>21.6</v>
      </c>
      <c r="AL378" s="2">
        <v>0.09</v>
      </c>
      <c r="AM378" t="s">
        <v>1142</v>
      </c>
      <c r="AN378" t="s">
        <v>1401</v>
      </c>
      <c r="AO378" t="s">
        <v>1403</v>
      </c>
      <c r="AP378" t="b">
        <v>0</v>
      </c>
      <c r="AQ378" t="b">
        <v>0</v>
      </c>
      <c r="AR378" t="b">
        <v>0</v>
      </c>
      <c r="AS378" t="s">
        <v>1404</v>
      </c>
    </row>
    <row r="379" spans="1:45" x14ac:dyDescent="0.3">
      <c r="A379">
        <v>527</v>
      </c>
      <c r="B379">
        <v>509</v>
      </c>
      <c r="C379" t="s">
        <v>1576</v>
      </c>
      <c r="D379" t="s">
        <v>150</v>
      </c>
      <c r="E379" t="s">
        <v>151</v>
      </c>
      <c r="F379" t="s">
        <v>47</v>
      </c>
      <c r="G379">
        <v>10.199999999999999</v>
      </c>
      <c r="H379">
        <v>15.7</v>
      </c>
      <c r="I379">
        <v>50.3</v>
      </c>
      <c r="J379">
        <v>25.8</v>
      </c>
      <c r="K379">
        <v>54.8</v>
      </c>
      <c r="L379">
        <v>21.2</v>
      </c>
      <c r="M379">
        <v>75.099999999999994</v>
      </c>
      <c r="N379">
        <v>9</v>
      </c>
      <c r="O379">
        <v>11.3</v>
      </c>
      <c r="P379">
        <v>23.2</v>
      </c>
      <c r="Q379" t="s">
        <v>659</v>
      </c>
      <c r="R379" t="s">
        <v>1576</v>
      </c>
      <c r="S379" t="s">
        <v>660</v>
      </c>
      <c r="T379">
        <v>3540</v>
      </c>
      <c r="U379">
        <v>38</v>
      </c>
      <c r="V379">
        <v>361</v>
      </c>
      <c r="W379">
        <v>40.799999999999997</v>
      </c>
      <c r="X379">
        <v>236</v>
      </c>
      <c r="Y379">
        <v>65</v>
      </c>
      <c r="Z379">
        <v>671</v>
      </c>
      <c r="AA379">
        <v>83.4</v>
      </c>
      <c r="AB379">
        <v>222</v>
      </c>
      <c r="AC379">
        <v>67.7</v>
      </c>
      <c r="AD379">
        <v>434</v>
      </c>
      <c r="AE379" t="s">
        <v>57</v>
      </c>
      <c r="AF379">
        <v>0</v>
      </c>
      <c r="AG379" t="s">
        <v>1577</v>
      </c>
      <c r="AH379">
        <v>881</v>
      </c>
      <c r="AI379" t="s">
        <v>151</v>
      </c>
      <c r="AJ379" s="1">
        <v>8944</v>
      </c>
      <c r="AK379">
        <v>24.5</v>
      </c>
      <c r="AL379" s="2">
        <v>0.14000000000000001</v>
      </c>
      <c r="AM379" s="3">
        <v>1.9541666666666666</v>
      </c>
      <c r="AN379" t="s">
        <v>1576</v>
      </c>
      <c r="AO379" t="s">
        <v>1578</v>
      </c>
      <c r="AP379" t="b">
        <v>0</v>
      </c>
      <c r="AQ379" t="b">
        <v>0</v>
      </c>
      <c r="AR379" t="b">
        <v>0</v>
      </c>
    </row>
    <row r="380" spans="1:45" x14ac:dyDescent="0.3">
      <c r="A380">
        <v>527</v>
      </c>
      <c r="B380">
        <v>571</v>
      </c>
      <c r="C380" t="s">
        <v>1579</v>
      </c>
      <c r="D380" t="s">
        <v>887</v>
      </c>
      <c r="E380" t="s">
        <v>888</v>
      </c>
      <c r="F380" t="s">
        <v>56</v>
      </c>
      <c r="G380">
        <v>23.3</v>
      </c>
      <c r="H380">
        <v>51.9</v>
      </c>
      <c r="I380">
        <v>42.6</v>
      </c>
      <c r="J380">
        <v>4.7</v>
      </c>
      <c r="K380">
        <v>2.4</v>
      </c>
      <c r="L380">
        <v>10.3</v>
      </c>
      <c r="M380">
        <v>60.6</v>
      </c>
      <c r="N380">
        <v>9.8000000000000007</v>
      </c>
      <c r="O380">
        <v>1.4</v>
      </c>
      <c r="P380">
        <v>23.2</v>
      </c>
      <c r="Q380" t="s">
        <v>621</v>
      </c>
      <c r="R380" t="s">
        <v>1579</v>
      </c>
      <c r="S380" t="s">
        <v>622</v>
      </c>
      <c r="T380">
        <v>14880</v>
      </c>
      <c r="U380">
        <v>22</v>
      </c>
      <c r="V380">
        <v>1232</v>
      </c>
      <c r="W380">
        <v>19.600000000000001</v>
      </c>
      <c r="X380">
        <v>835</v>
      </c>
      <c r="Y380">
        <v>33.299999999999997</v>
      </c>
      <c r="Z380">
        <v>1370</v>
      </c>
      <c r="AA380">
        <v>53.5</v>
      </c>
      <c r="AB380">
        <v>744</v>
      </c>
      <c r="AC380">
        <v>31.7</v>
      </c>
      <c r="AD380">
        <v>1440</v>
      </c>
      <c r="AE380" t="s">
        <v>57</v>
      </c>
      <c r="AF380">
        <v>0</v>
      </c>
      <c r="AG380" t="s">
        <v>1580</v>
      </c>
      <c r="AH380">
        <v>989</v>
      </c>
      <c r="AI380" t="s">
        <v>888</v>
      </c>
      <c r="AJ380" s="1">
        <v>23167</v>
      </c>
      <c r="AK380">
        <v>17.100000000000001</v>
      </c>
      <c r="AL380" s="2">
        <v>7.0000000000000007E-2</v>
      </c>
      <c r="AM380" t="s">
        <v>357</v>
      </c>
      <c r="AN380" t="s">
        <v>1579</v>
      </c>
      <c r="AO380" t="s">
        <v>1581</v>
      </c>
      <c r="AP380" t="b">
        <v>0</v>
      </c>
      <c r="AQ380" t="b">
        <v>0</v>
      </c>
      <c r="AR380" t="b">
        <v>0</v>
      </c>
    </row>
    <row r="381" spans="1:45" x14ac:dyDescent="0.3">
      <c r="A381">
        <v>531</v>
      </c>
      <c r="B381">
        <v>571</v>
      </c>
      <c r="C381" t="s">
        <v>1582</v>
      </c>
      <c r="D381" t="s">
        <v>54</v>
      </c>
      <c r="E381" t="s">
        <v>55</v>
      </c>
      <c r="F381" t="s">
        <v>77</v>
      </c>
      <c r="G381">
        <v>9.6999999999999993</v>
      </c>
      <c r="H381">
        <v>9.5</v>
      </c>
      <c r="I381">
        <v>16.899999999999999</v>
      </c>
      <c r="J381">
        <v>7.1</v>
      </c>
      <c r="K381">
        <v>77</v>
      </c>
      <c r="L381">
        <v>99.9</v>
      </c>
      <c r="M381">
        <v>82.6</v>
      </c>
      <c r="N381">
        <v>10</v>
      </c>
      <c r="O381">
        <v>64.400000000000006</v>
      </c>
      <c r="P381">
        <v>23.1</v>
      </c>
      <c r="Q381" t="s">
        <v>696</v>
      </c>
      <c r="R381" t="s">
        <v>1582</v>
      </c>
      <c r="S381" t="s">
        <v>697</v>
      </c>
      <c r="T381">
        <v>6380</v>
      </c>
      <c r="U381">
        <v>20.9</v>
      </c>
      <c r="V381">
        <v>1305</v>
      </c>
      <c r="W381">
        <v>14.9</v>
      </c>
      <c r="X381">
        <v>1132</v>
      </c>
      <c r="Y381">
        <v>69.599999999999994</v>
      </c>
      <c r="Z381">
        <v>565</v>
      </c>
      <c r="AA381">
        <v>26.8</v>
      </c>
      <c r="AB381">
        <v>1267</v>
      </c>
      <c r="AC381">
        <v>95.6</v>
      </c>
      <c r="AD381">
        <v>35</v>
      </c>
      <c r="AE381" t="s">
        <v>57</v>
      </c>
      <c r="AF381">
        <v>6</v>
      </c>
      <c r="AG381" t="s">
        <v>1583</v>
      </c>
      <c r="AH381">
        <v>131675</v>
      </c>
      <c r="AI381" t="s">
        <v>55</v>
      </c>
      <c r="AJ381" s="1">
        <v>32635</v>
      </c>
      <c r="AK381">
        <v>14.9</v>
      </c>
      <c r="AL381" s="2">
        <v>0.48</v>
      </c>
      <c r="AM381" s="3">
        <v>2.036111111111111</v>
      </c>
      <c r="AN381" t="s">
        <v>1582</v>
      </c>
      <c r="AO381" t="s">
        <v>1584</v>
      </c>
      <c r="AP381" t="b">
        <v>0</v>
      </c>
      <c r="AQ381" t="b">
        <v>0</v>
      </c>
      <c r="AR381" t="b">
        <v>0</v>
      </c>
    </row>
    <row r="382" spans="1:45" x14ac:dyDescent="0.3">
      <c r="A382">
        <v>531</v>
      </c>
      <c r="B382">
        <v>441</v>
      </c>
      <c r="C382" t="s">
        <v>1585</v>
      </c>
      <c r="D382" t="s">
        <v>45</v>
      </c>
      <c r="E382" t="s">
        <v>46</v>
      </c>
      <c r="F382" t="s">
        <v>77</v>
      </c>
      <c r="G382">
        <v>15.7</v>
      </c>
      <c r="H382">
        <v>6.3</v>
      </c>
      <c r="I382">
        <v>50</v>
      </c>
      <c r="J382">
        <v>30.5</v>
      </c>
      <c r="K382">
        <v>15.5</v>
      </c>
      <c r="L382">
        <v>10.3</v>
      </c>
      <c r="M382">
        <v>80.5</v>
      </c>
      <c r="N382">
        <v>17.399999999999999</v>
      </c>
      <c r="O382">
        <v>24.5</v>
      </c>
      <c r="P382">
        <v>23.1</v>
      </c>
      <c r="Q382" t="s">
        <v>292</v>
      </c>
      <c r="R382" t="s">
        <v>1585</v>
      </c>
      <c r="S382" t="s">
        <v>293</v>
      </c>
      <c r="T382">
        <v>2470</v>
      </c>
      <c r="U382">
        <v>43.5</v>
      </c>
      <c r="V382">
        <v>232</v>
      </c>
      <c r="W382">
        <v>38.5</v>
      </c>
      <c r="X382">
        <v>271</v>
      </c>
      <c r="Y382">
        <v>87</v>
      </c>
      <c r="Z382">
        <v>174</v>
      </c>
      <c r="AA382">
        <v>83.5</v>
      </c>
      <c r="AB382">
        <v>221</v>
      </c>
      <c r="AC382">
        <v>40.9</v>
      </c>
      <c r="AD382">
        <v>1085</v>
      </c>
      <c r="AE382" t="s">
        <v>208</v>
      </c>
      <c r="AF382">
        <v>0</v>
      </c>
      <c r="AG382" t="s">
        <v>1586</v>
      </c>
      <c r="AH382">
        <v>577</v>
      </c>
      <c r="AI382" t="s">
        <v>46</v>
      </c>
      <c r="AJ382" s="1">
        <v>31502</v>
      </c>
      <c r="AK382">
        <v>13.3</v>
      </c>
      <c r="AL382" s="2">
        <v>0.08</v>
      </c>
      <c r="AM382" s="3">
        <v>2.1180555555555554</v>
      </c>
      <c r="AN382" t="s">
        <v>1585</v>
      </c>
      <c r="AO382" t="s">
        <v>1587</v>
      </c>
      <c r="AP382" t="b">
        <v>0</v>
      </c>
      <c r="AQ382" t="b">
        <v>0</v>
      </c>
      <c r="AR382" t="b">
        <v>0</v>
      </c>
      <c r="AS382" t="s">
        <v>1588</v>
      </c>
    </row>
    <row r="383" spans="1:45" x14ac:dyDescent="0.3">
      <c r="A383">
        <v>535</v>
      </c>
      <c r="B383">
        <v>540</v>
      </c>
      <c r="C383" t="s">
        <v>1589</v>
      </c>
      <c r="D383" t="s">
        <v>1047</v>
      </c>
      <c r="E383" t="s">
        <v>737</v>
      </c>
      <c r="F383" t="s">
        <v>388</v>
      </c>
      <c r="G383">
        <v>17.2</v>
      </c>
      <c r="H383">
        <v>73.2</v>
      </c>
      <c r="I383">
        <v>27.1</v>
      </c>
      <c r="J383">
        <v>7.4</v>
      </c>
      <c r="K383">
        <v>12.2</v>
      </c>
      <c r="L383">
        <v>1.8</v>
      </c>
      <c r="M383">
        <v>19.5</v>
      </c>
      <c r="N383">
        <v>37</v>
      </c>
      <c r="O383">
        <v>1.1000000000000001</v>
      </c>
      <c r="P383">
        <v>22.9</v>
      </c>
      <c r="Q383" t="s">
        <v>679</v>
      </c>
      <c r="R383" t="s">
        <v>1590</v>
      </c>
      <c r="S383" t="s">
        <v>680</v>
      </c>
      <c r="T383">
        <v>9080</v>
      </c>
      <c r="U383">
        <v>23.3</v>
      </c>
      <c r="V383">
        <v>1131</v>
      </c>
      <c r="W383">
        <v>16.7</v>
      </c>
      <c r="X383">
        <v>992</v>
      </c>
      <c r="Y383">
        <v>60.2</v>
      </c>
      <c r="Z383">
        <v>774</v>
      </c>
      <c r="AA383">
        <v>43.1</v>
      </c>
      <c r="AB383">
        <v>919</v>
      </c>
      <c r="AC383">
        <v>53</v>
      </c>
      <c r="AD383">
        <v>714</v>
      </c>
      <c r="AE383" t="s">
        <v>57</v>
      </c>
      <c r="AF383">
        <v>0</v>
      </c>
      <c r="AG383" t="s">
        <v>1591</v>
      </c>
      <c r="AH383">
        <v>131604</v>
      </c>
      <c r="AI383" t="s">
        <v>737</v>
      </c>
      <c r="AJ383" s="1">
        <v>4735</v>
      </c>
      <c r="AK383">
        <v>14.2</v>
      </c>
      <c r="AL383" s="2">
        <v>0.02</v>
      </c>
      <c r="AM383" s="3">
        <v>1.83125</v>
      </c>
      <c r="AN383" t="s">
        <v>1590</v>
      </c>
      <c r="AO383" t="s">
        <v>1592</v>
      </c>
      <c r="AP383" t="b">
        <v>0</v>
      </c>
      <c r="AQ383" t="b">
        <v>0</v>
      </c>
      <c r="AR383" t="b">
        <v>0</v>
      </c>
    </row>
    <row r="384" spans="1:45" x14ac:dyDescent="0.3">
      <c r="A384">
        <v>535</v>
      </c>
      <c r="B384">
        <v>465</v>
      </c>
      <c r="C384" t="s">
        <v>1593</v>
      </c>
      <c r="D384" t="s">
        <v>217</v>
      </c>
      <c r="E384" t="s">
        <v>218</v>
      </c>
      <c r="F384" t="s">
        <v>77</v>
      </c>
      <c r="G384">
        <v>31.3</v>
      </c>
      <c r="H384">
        <v>5.5</v>
      </c>
      <c r="I384">
        <v>11.5</v>
      </c>
      <c r="J384">
        <v>17.600000000000001</v>
      </c>
      <c r="K384">
        <v>27.1</v>
      </c>
      <c r="L384">
        <v>23.3</v>
      </c>
      <c r="M384">
        <v>92.9</v>
      </c>
      <c r="N384">
        <v>16.7</v>
      </c>
      <c r="O384">
        <v>20.100000000000001</v>
      </c>
      <c r="P384">
        <v>22.9</v>
      </c>
      <c r="Q384" t="s">
        <v>659</v>
      </c>
      <c r="R384" t="s">
        <v>1593</v>
      </c>
      <c r="S384" t="s">
        <v>660</v>
      </c>
      <c r="T384">
        <v>3550</v>
      </c>
      <c r="U384">
        <v>37.200000000000003</v>
      </c>
      <c r="V384">
        <v>384</v>
      </c>
      <c r="W384">
        <v>29.9</v>
      </c>
      <c r="X384">
        <v>474</v>
      </c>
      <c r="Y384">
        <v>72.5</v>
      </c>
      <c r="Z384">
        <v>494</v>
      </c>
      <c r="AA384">
        <v>66.7</v>
      </c>
      <c r="AB384">
        <v>511</v>
      </c>
      <c r="AC384">
        <v>66.599999999999994</v>
      </c>
      <c r="AD384">
        <v>454</v>
      </c>
      <c r="AE384" t="s">
        <v>57</v>
      </c>
      <c r="AF384">
        <v>6</v>
      </c>
      <c r="AG384" t="s">
        <v>1594</v>
      </c>
      <c r="AH384">
        <v>131635</v>
      </c>
      <c r="AI384" t="s">
        <v>218</v>
      </c>
      <c r="AJ384" s="1">
        <v>52643</v>
      </c>
      <c r="AK384">
        <v>21.7</v>
      </c>
      <c r="AL384" s="2">
        <v>0.14000000000000001</v>
      </c>
      <c r="AM384" s="3">
        <v>2.5277777777777777</v>
      </c>
      <c r="AN384" t="s">
        <v>1593</v>
      </c>
      <c r="AO384" t="s">
        <v>1595</v>
      </c>
      <c r="AP384" t="b">
        <v>0</v>
      </c>
      <c r="AQ384" t="b">
        <v>0</v>
      </c>
      <c r="AR384" t="b">
        <v>0</v>
      </c>
    </row>
    <row r="385" spans="1:45" x14ac:dyDescent="0.3">
      <c r="A385">
        <v>535</v>
      </c>
      <c r="B385">
        <v>548</v>
      </c>
      <c r="C385" t="s">
        <v>1596</v>
      </c>
      <c r="D385" t="s">
        <v>452</v>
      </c>
      <c r="E385" t="s">
        <v>453</v>
      </c>
      <c r="F385" t="s">
        <v>56</v>
      </c>
      <c r="G385">
        <v>13.8</v>
      </c>
      <c r="H385">
        <v>7.6</v>
      </c>
      <c r="I385">
        <v>43.7</v>
      </c>
      <c r="J385">
        <v>18.399999999999999</v>
      </c>
      <c r="K385">
        <v>37.4</v>
      </c>
      <c r="L385">
        <v>5.2</v>
      </c>
      <c r="M385">
        <v>86.4</v>
      </c>
      <c r="N385">
        <v>4.2</v>
      </c>
      <c r="O385">
        <v>78.599999999999994</v>
      </c>
      <c r="P385">
        <v>22.9</v>
      </c>
      <c r="Q385" t="s">
        <v>572</v>
      </c>
      <c r="R385" t="s">
        <v>1596</v>
      </c>
      <c r="S385" t="s">
        <v>574</v>
      </c>
      <c r="T385">
        <v>5320</v>
      </c>
      <c r="U385">
        <v>28.9</v>
      </c>
      <c r="V385">
        <v>746</v>
      </c>
      <c r="W385">
        <v>31.2</v>
      </c>
      <c r="X385">
        <v>437</v>
      </c>
      <c r="Y385">
        <v>69.7</v>
      </c>
      <c r="Z385">
        <v>561</v>
      </c>
      <c r="AA385">
        <v>67.400000000000006</v>
      </c>
      <c r="AB385">
        <v>490</v>
      </c>
      <c r="AC385">
        <v>48.5</v>
      </c>
      <c r="AD385">
        <v>851</v>
      </c>
      <c r="AE385" t="s">
        <v>57</v>
      </c>
      <c r="AF385">
        <v>0</v>
      </c>
      <c r="AG385" t="s">
        <v>1597</v>
      </c>
      <c r="AH385">
        <v>776</v>
      </c>
      <c r="AI385" t="s">
        <v>453</v>
      </c>
      <c r="AJ385" s="1">
        <v>12237</v>
      </c>
      <c r="AK385">
        <v>18.5</v>
      </c>
      <c r="AL385" s="2">
        <v>0.05</v>
      </c>
      <c r="AM385" s="3">
        <v>2.8145833333333332</v>
      </c>
      <c r="AN385" t="s">
        <v>1596</v>
      </c>
      <c r="AO385" t="s">
        <v>1598</v>
      </c>
      <c r="AP385" t="b">
        <v>0</v>
      </c>
      <c r="AQ385" t="b">
        <v>0</v>
      </c>
      <c r="AR385" t="b">
        <v>0</v>
      </c>
    </row>
    <row r="386" spans="1:45" x14ac:dyDescent="0.3">
      <c r="A386">
        <v>539</v>
      </c>
      <c r="B386">
        <v>481</v>
      </c>
      <c r="C386" t="s">
        <v>1599</v>
      </c>
      <c r="D386" t="s">
        <v>175</v>
      </c>
      <c r="E386" t="s">
        <v>176</v>
      </c>
      <c r="F386" t="s">
        <v>47</v>
      </c>
      <c r="G386">
        <v>14.4</v>
      </c>
      <c r="H386">
        <v>73</v>
      </c>
      <c r="I386">
        <v>30.8</v>
      </c>
      <c r="J386">
        <v>2.1</v>
      </c>
      <c r="K386">
        <v>19.8</v>
      </c>
      <c r="L386">
        <v>20</v>
      </c>
      <c r="M386">
        <v>7.5</v>
      </c>
      <c r="N386">
        <v>51.9</v>
      </c>
      <c r="O386">
        <v>1.1000000000000001</v>
      </c>
      <c r="P386">
        <v>22.8</v>
      </c>
      <c r="Q386" t="s">
        <v>1475</v>
      </c>
      <c r="R386" t="s">
        <v>1599</v>
      </c>
      <c r="T386">
        <v>1000304</v>
      </c>
      <c r="V386">
        <v>0</v>
      </c>
      <c r="X386">
        <v>0</v>
      </c>
      <c r="Z386">
        <v>0</v>
      </c>
      <c r="AB386">
        <v>0</v>
      </c>
      <c r="AD386">
        <v>0</v>
      </c>
      <c r="AE386" t="s">
        <v>57</v>
      </c>
      <c r="AF386">
        <v>0</v>
      </c>
      <c r="AG386" t="s">
        <v>1600</v>
      </c>
      <c r="AH386">
        <v>131617</v>
      </c>
      <c r="AI386" t="s">
        <v>176</v>
      </c>
      <c r="AJ386" s="1">
        <v>5998</v>
      </c>
      <c r="AK386">
        <v>16</v>
      </c>
      <c r="AL386" s="2">
        <v>0.13</v>
      </c>
      <c r="AM386" t="s">
        <v>831</v>
      </c>
      <c r="AN386" t="s">
        <v>1599</v>
      </c>
      <c r="AO386" t="s">
        <v>1601</v>
      </c>
      <c r="AP386" t="b">
        <v>0</v>
      </c>
      <c r="AQ386" t="b">
        <v>0</v>
      </c>
      <c r="AR386" t="b">
        <v>0</v>
      </c>
    </row>
    <row r="387" spans="1:45" x14ac:dyDescent="0.3">
      <c r="A387">
        <v>539</v>
      </c>
      <c r="B387">
        <v>586</v>
      </c>
      <c r="C387" t="s">
        <v>1602</v>
      </c>
      <c r="D387" t="s">
        <v>541</v>
      </c>
      <c r="E387" t="s">
        <v>542</v>
      </c>
      <c r="F387" t="s">
        <v>388</v>
      </c>
      <c r="G387">
        <v>13</v>
      </c>
      <c r="H387">
        <v>39.200000000000003</v>
      </c>
      <c r="I387">
        <v>44</v>
      </c>
      <c r="J387">
        <v>10.3</v>
      </c>
      <c r="K387">
        <v>35.9</v>
      </c>
      <c r="L387">
        <v>33.200000000000003</v>
      </c>
      <c r="M387">
        <v>51.1</v>
      </c>
      <c r="N387">
        <v>3.9</v>
      </c>
      <c r="O387">
        <v>27.3</v>
      </c>
      <c r="P387">
        <v>22.8</v>
      </c>
      <c r="Q387" t="s">
        <v>696</v>
      </c>
      <c r="R387" t="s">
        <v>1602</v>
      </c>
      <c r="S387" t="s">
        <v>697</v>
      </c>
      <c r="T387">
        <v>7730</v>
      </c>
      <c r="U387">
        <v>24.7</v>
      </c>
      <c r="V387">
        <v>1033</v>
      </c>
      <c r="W387">
        <v>14.6</v>
      </c>
      <c r="X387">
        <v>1157</v>
      </c>
      <c r="Y387">
        <v>71.7</v>
      </c>
      <c r="Z387">
        <v>520</v>
      </c>
      <c r="AA387">
        <v>17.2</v>
      </c>
      <c r="AB387">
        <v>1740</v>
      </c>
      <c r="AC387">
        <v>78.3</v>
      </c>
      <c r="AD387">
        <v>279</v>
      </c>
      <c r="AE387" t="s">
        <v>57</v>
      </c>
      <c r="AF387">
        <v>0</v>
      </c>
      <c r="AG387" t="s">
        <v>1603</v>
      </c>
      <c r="AH387">
        <v>625947</v>
      </c>
      <c r="AI387" t="s">
        <v>542</v>
      </c>
      <c r="AJ387" s="1">
        <v>4350</v>
      </c>
      <c r="AK387">
        <v>8.1</v>
      </c>
      <c r="AL387" s="2">
        <v>0.14000000000000001</v>
      </c>
      <c r="AM387" s="3">
        <v>2.2000000000000002</v>
      </c>
      <c r="AN387" t="s">
        <v>1602</v>
      </c>
      <c r="AO387" t="s">
        <v>1604</v>
      </c>
      <c r="AP387" t="b">
        <v>0</v>
      </c>
      <c r="AQ387" t="b">
        <v>0</v>
      </c>
      <c r="AR387" t="b">
        <v>0</v>
      </c>
    </row>
    <row r="388" spans="1:45" x14ac:dyDescent="0.3">
      <c r="A388">
        <v>539</v>
      </c>
      <c r="B388">
        <v>534</v>
      </c>
      <c r="C388" t="s">
        <v>1605</v>
      </c>
      <c r="D388" t="s">
        <v>626</v>
      </c>
      <c r="E388" t="s">
        <v>627</v>
      </c>
      <c r="F388" t="s">
        <v>56</v>
      </c>
      <c r="G388">
        <v>26.9</v>
      </c>
      <c r="H388">
        <v>14.6</v>
      </c>
      <c r="I388">
        <v>26</v>
      </c>
      <c r="J388">
        <v>6.2</v>
      </c>
      <c r="K388">
        <v>6.9</v>
      </c>
      <c r="L388">
        <v>14.9</v>
      </c>
      <c r="M388">
        <v>80</v>
      </c>
      <c r="N388">
        <v>23.4</v>
      </c>
      <c r="O388">
        <v>69.5</v>
      </c>
      <c r="P388">
        <v>22.8</v>
      </c>
      <c r="Q388" t="s">
        <v>679</v>
      </c>
      <c r="R388" t="s">
        <v>1605</v>
      </c>
      <c r="S388" t="s">
        <v>680</v>
      </c>
      <c r="T388">
        <v>9610</v>
      </c>
      <c r="U388">
        <v>32</v>
      </c>
      <c r="V388">
        <v>592</v>
      </c>
      <c r="W388">
        <v>21.8</v>
      </c>
      <c r="X388">
        <v>740</v>
      </c>
      <c r="Y388">
        <v>50.4</v>
      </c>
      <c r="Z388">
        <v>1013</v>
      </c>
      <c r="AA388">
        <v>39.9</v>
      </c>
      <c r="AB388">
        <v>981</v>
      </c>
      <c r="AC388">
        <v>53.6</v>
      </c>
      <c r="AD388">
        <v>701</v>
      </c>
      <c r="AE388" t="s">
        <v>57</v>
      </c>
      <c r="AF388">
        <v>0</v>
      </c>
      <c r="AG388" t="s">
        <v>1606</v>
      </c>
      <c r="AH388">
        <v>131422</v>
      </c>
      <c r="AI388" t="s">
        <v>627</v>
      </c>
      <c r="AJ388" s="1">
        <v>24707</v>
      </c>
      <c r="AK388">
        <v>14.7</v>
      </c>
      <c r="AL388" s="2">
        <v>0.13</v>
      </c>
      <c r="AM388" s="3">
        <v>2.5687500000000001</v>
      </c>
      <c r="AN388" t="s">
        <v>1605</v>
      </c>
      <c r="AO388" t="s">
        <v>1607</v>
      </c>
      <c r="AP388" t="b">
        <v>0</v>
      </c>
      <c r="AQ388" t="b">
        <v>0</v>
      </c>
      <c r="AR388" t="b">
        <v>0</v>
      </c>
    </row>
    <row r="389" spans="1:45" x14ac:dyDescent="0.3">
      <c r="A389">
        <v>531</v>
      </c>
      <c r="B389" t="s">
        <v>1608</v>
      </c>
      <c r="C389" t="s">
        <v>1609</v>
      </c>
      <c r="D389" t="s">
        <v>54</v>
      </c>
      <c r="E389" t="s">
        <v>55</v>
      </c>
      <c r="F389" t="s">
        <v>47</v>
      </c>
      <c r="G389">
        <v>9.1</v>
      </c>
      <c r="H389">
        <v>7.1</v>
      </c>
      <c r="I389">
        <v>6.8</v>
      </c>
      <c r="J389">
        <v>21.7</v>
      </c>
      <c r="K389">
        <v>68.5</v>
      </c>
      <c r="L389">
        <v>97.6</v>
      </c>
      <c r="M389">
        <v>66</v>
      </c>
      <c r="N389">
        <v>34.299999999999997</v>
      </c>
      <c r="O389">
        <v>40.700000000000003</v>
      </c>
      <c r="P389">
        <v>23.1</v>
      </c>
      <c r="Q389" t="s">
        <v>572</v>
      </c>
      <c r="R389" t="s">
        <v>1609</v>
      </c>
      <c r="S389" t="s">
        <v>574</v>
      </c>
      <c r="T389">
        <v>5170</v>
      </c>
      <c r="U389">
        <v>23.3</v>
      </c>
      <c r="V389">
        <v>1128</v>
      </c>
      <c r="W389">
        <v>22.4</v>
      </c>
      <c r="X389">
        <v>714</v>
      </c>
      <c r="Y389">
        <v>73.8</v>
      </c>
      <c r="Z389">
        <v>466</v>
      </c>
      <c r="AA389">
        <v>58.1</v>
      </c>
      <c r="AB389">
        <v>677</v>
      </c>
      <c r="AC389">
        <v>90.1</v>
      </c>
      <c r="AD389">
        <v>127</v>
      </c>
      <c r="AE389" t="s">
        <v>57</v>
      </c>
      <c r="AF389">
        <v>0</v>
      </c>
      <c r="AG389" t="s">
        <v>1610</v>
      </c>
      <c r="AH389">
        <v>914</v>
      </c>
      <c r="AI389" t="s">
        <v>55</v>
      </c>
      <c r="AJ389" s="1">
        <v>8970</v>
      </c>
      <c r="AK389">
        <v>19.5</v>
      </c>
      <c r="AL389" s="2">
        <v>0.31</v>
      </c>
      <c r="AM389" s="3">
        <v>2.4048611111111109</v>
      </c>
      <c r="AN389" t="s">
        <v>1609</v>
      </c>
      <c r="AO389" t="s">
        <v>1611</v>
      </c>
      <c r="AP389" t="b">
        <v>0</v>
      </c>
      <c r="AQ389" t="b">
        <v>0</v>
      </c>
      <c r="AR389" t="b">
        <v>0</v>
      </c>
      <c r="AS389" t="s">
        <v>1612</v>
      </c>
    </row>
    <row r="390" spans="1:45" x14ac:dyDescent="0.3">
      <c r="A390" t="s">
        <v>1608</v>
      </c>
      <c r="B390" t="s">
        <v>1613</v>
      </c>
      <c r="C390" t="s">
        <v>1614</v>
      </c>
      <c r="D390" t="s">
        <v>95</v>
      </c>
      <c r="E390" t="s">
        <v>96</v>
      </c>
      <c r="F390" t="s">
        <v>77</v>
      </c>
      <c r="G390">
        <v>6.9</v>
      </c>
      <c r="H390">
        <v>3.4</v>
      </c>
      <c r="I390">
        <v>11.8</v>
      </c>
      <c r="J390">
        <v>69.7</v>
      </c>
      <c r="K390">
        <v>2.5</v>
      </c>
      <c r="L390">
        <v>1.7</v>
      </c>
      <c r="M390">
        <v>39.6</v>
      </c>
      <c r="N390">
        <v>10.5</v>
      </c>
      <c r="O390">
        <v>2.5</v>
      </c>
      <c r="P390" t="s">
        <v>1615</v>
      </c>
      <c r="Q390" t="s">
        <v>696</v>
      </c>
      <c r="R390" t="s">
        <v>1614</v>
      </c>
      <c r="S390" t="s">
        <v>697</v>
      </c>
      <c r="T390">
        <v>6440</v>
      </c>
      <c r="U390">
        <v>29.9</v>
      </c>
      <c r="V390">
        <v>693</v>
      </c>
      <c r="W390">
        <v>25.8</v>
      </c>
      <c r="X390">
        <v>579</v>
      </c>
      <c r="Y390">
        <v>60.2</v>
      </c>
      <c r="Z390">
        <v>769</v>
      </c>
      <c r="AA390">
        <v>87.1</v>
      </c>
      <c r="AB390">
        <v>186</v>
      </c>
      <c r="AC390">
        <v>23.2</v>
      </c>
      <c r="AD390">
        <v>1768</v>
      </c>
      <c r="AE390" t="s">
        <v>57</v>
      </c>
      <c r="AF390">
        <v>0</v>
      </c>
      <c r="AG390" t="s">
        <v>1616</v>
      </c>
      <c r="AH390">
        <v>1039</v>
      </c>
      <c r="AI390" t="s">
        <v>98</v>
      </c>
      <c r="AJ390" s="1">
        <v>30974</v>
      </c>
      <c r="AK390">
        <v>18</v>
      </c>
      <c r="AL390" s="2">
        <v>0.02</v>
      </c>
      <c r="AM390" s="3">
        <v>1.8722222222222222</v>
      </c>
      <c r="AN390" t="s">
        <v>1614</v>
      </c>
      <c r="AO390" t="s">
        <v>1617</v>
      </c>
      <c r="AP390" t="b">
        <v>0</v>
      </c>
      <c r="AQ390" t="b">
        <v>0</v>
      </c>
      <c r="AR390" t="b">
        <v>0</v>
      </c>
    </row>
    <row r="391" spans="1:45" x14ac:dyDescent="0.3">
      <c r="A391">
        <v>547</v>
      </c>
      <c r="B391">
        <v>530</v>
      </c>
      <c r="C391" t="s">
        <v>1618</v>
      </c>
      <c r="D391" t="s">
        <v>442</v>
      </c>
      <c r="E391" t="s">
        <v>443</v>
      </c>
      <c r="F391" t="s">
        <v>56</v>
      </c>
      <c r="G391">
        <v>18.8</v>
      </c>
      <c r="H391">
        <v>4.9000000000000004</v>
      </c>
      <c r="I391">
        <v>12.7</v>
      </c>
      <c r="J391">
        <v>43.7</v>
      </c>
      <c r="K391">
        <v>5.4</v>
      </c>
      <c r="L391">
        <v>9.1999999999999993</v>
      </c>
      <c r="M391">
        <v>81.2</v>
      </c>
      <c r="N391">
        <v>10.5</v>
      </c>
      <c r="O391">
        <v>39.5</v>
      </c>
      <c r="P391">
        <v>22.6</v>
      </c>
      <c r="Q391" t="s">
        <v>372</v>
      </c>
      <c r="R391" t="s">
        <v>1618</v>
      </c>
      <c r="S391" t="s">
        <v>374</v>
      </c>
      <c r="T391">
        <v>4300</v>
      </c>
      <c r="U391">
        <v>36.1</v>
      </c>
      <c r="V391">
        <v>422</v>
      </c>
      <c r="W391">
        <v>28.3</v>
      </c>
      <c r="X391">
        <v>509</v>
      </c>
      <c r="Y391">
        <v>78</v>
      </c>
      <c r="Z391">
        <v>366</v>
      </c>
      <c r="AA391">
        <v>73.400000000000006</v>
      </c>
      <c r="AB391">
        <v>359</v>
      </c>
      <c r="AC391">
        <v>47.3</v>
      </c>
      <c r="AD391">
        <v>879</v>
      </c>
      <c r="AE391" t="s">
        <v>57</v>
      </c>
      <c r="AF391">
        <v>0</v>
      </c>
      <c r="AG391" t="s">
        <v>1619</v>
      </c>
      <c r="AH391">
        <v>131638</v>
      </c>
      <c r="AI391" t="s">
        <v>443</v>
      </c>
      <c r="AJ391" s="1">
        <v>21470</v>
      </c>
      <c r="AK391">
        <v>16.5</v>
      </c>
      <c r="AL391" s="2">
        <v>7.0000000000000007E-2</v>
      </c>
      <c r="AM391" s="3">
        <v>2.4458333333333333</v>
      </c>
      <c r="AN391" t="s">
        <v>1618</v>
      </c>
      <c r="AO391" t="s">
        <v>1620</v>
      </c>
      <c r="AP391" t="b">
        <v>0</v>
      </c>
      <c r="AQ391" t="b">
        <v>0</v>
      </c>
      <c r="AR391" t="b">
        <v>0</v>
      </c>
    </row>
    <row r="392" spans="1:45" x14ac:dyDescent="0.3">
      <c r="A392">
        <v>547</v>
      </c>
      <c r="B392" t="s">
        <v>1621</v>
      </c>
      <c r="C392" t="s">
        <v>1622</v>
      </c>
      <c r="D392" t="s">
        <v>1623</v>
      </c>
      <c r="E392" t="s">
        <v>1624</v>
      </c>
      <c r="F392" t="s">
        <v>47</v>
      </c>
      <c r="G392">
        <v>6.8</v>
      </c>
      <c r="H392">
        <v>2.5</v>
      </c>
      <c r="I392">
        <v>99.9</v>
      </c>
      <c r="J392">
        <v>6.7</v>
      </c>
      <c r="K392">
        <v>25.7</v>
      </c>
      <c r="L392">
        <v>10.3</v>
      </c>
      <c r="M392">
        <v>73.5</v>
      </c>
      <c r="N392">
        <v>83.2</v>
      </c>
      <c r="O392">
        <v>5.9</v>
      </c>
      <c r="P392">
        <v>22.6</v>
      </c>
      <c r="Q392" t="s">
        <v>572</v>
      </c>
      <c r="R392" t="s">
        <v>1622</v>
      </c>
      <c r="S392" t="s">
        <v>574</v>
      </c>
      <c r="T392">
        <v>5430</v>
      </c>
      <c r="U392">
        <v>23.4</v>
      </c>
      <c r="V392">
        <v>1121</v>
      </c>
      <c r="W392">
        <v>34</v>
      </c>
      <c r="X392">
        <v>378</v>
      </c>
      <c r="Y392">
        <v>70.599999999999994</v>
      </c>
      <c r="Z392">
        <v>547</v>
      </c>
      <c r="AA392">
        <v>75.599999999999994</v>
      </c>
      <c r="AB392">
        <v>323</v>
      </c>
      <c r="AC392">
        <v>55.8</v>
      </c>
      <c r="AD392">
        <v>663</v>
      </c>
      <c r="AE392" t="s">
        <v>57</v>
      </c>
      <c r="AF392">
        <v>0</v>
      </c>
      <c r="AG392" t="s">
        <v>1625</v>
      </c>
      <c r="AH392">
        <v>749</v>
      </c>
      <c r="AI392" t="s">
        <v>1624</v>
      </c>
      <c r="AJ392" s="1">
        <v>9899</v>
      </c>
      <c r="AK392">
        <v>17</v>
      </c>
      <c r="AL392" s="2">
        <v>0.12</v>
      </c>
      <c r="AM392" s="3">
        <v>2.8555555555555556</v>
      </c>
      <c r="AN392" t="s">
        <v>1622</v>
      </c>
      <c r="AO392" t="s">
        <v>1626</v>
      </c>
      <c r="AP392" t="b">
        <v>0</v>
      </c>
      <c r="AQ392" t="b">
        <v>0</v>
      </c>
      <c r="AR392" t="b">
        <v>0</v>
      </c>
    </row>
    <row r="393" spans="1:45" x14ac:dyDescent="0.3">
      <c r="A393">
        <v>547</v>
      </c>
      <c r="B393" t="s">
        <v>1608</v>
      </c>
      <c r="C393" t="s">
        <v>1627</v>
      </c>
      <c r="D393" t="s">
        <v>139</v>
      </c>
      <c r="E393" t="s">
        <v>140</v>
      </c>
      <c r="F393" t="s">
        <v>56</v>
      </c>
      <c r="G393">
        <v>3.9</v>
      </c>
      <c r="H393">
        <v>3.9</v>
      </c>
      <c r="I393">
        <v>2.2000000000000002</v>
      </c>
      <c r="J393">
        <v>36.200000000000003</v>
      </c>
      <c r="K393">
        <v>88.7</v>
      </c>
      <c r="L393">
        <v>83.8</v>
      </c>
      <c r="M393">
        <v>51.1</v>
      </c>
      <c r="N393">
        <v>25.8</v>
      </c>
      <c r="O393">
        <v>38.5</v>
      </c>
      <c r="P393">
        <v>22.6</v>
      </c>
      <c r="Q393" t="s">
        <v>572</v>
      </c>
      <c r="R393" t="s">
        <v>1627</v>
      </c>
      <c r="S393" t="s">
        <v>574</v>
      </c>
      <c r="T393">
        <v>6020</v>
      </c>
      <c r="U393">
        <v>28.7</v>
      </c>
      <c r="V393">
        <v>761</v>
      </c>
      <c r="W393">
        <v>29.8</v>
      </c>
      <c r="X393">
        <v>478</v>
      </c>
      <c r="Y393">
        <v>56.7</v>
      </c>
      <c r="Z393">
        <v>854</v>
      </c>
      <c r="AA393">
        <v>60.7</v>
      </c>
      <c r="AB393">
        <v>630</v>
      </c>
      <c r="AC393">
        <v>90.8</v>
      </c>
      <c r="AD393">
        <v>120</v>
      </c>
      <c r="AE393" t="s">
        <v>57</v>
      </c>
      <c r="AF393">
        <v>0</v>
      </c>
      <c r="AG393" t="s">
        <v>1628</v>
      </c>
      <c r="AH393">
        <v>589268</v>
      </c>
      <c r="AI393" t="s">
        <v>140</v>
      </c>
      <c r="AJ393" s="1">
        <v>14849</v>
      </c>
      <c r="AK393">
        <v>34.1</v>
      </c>
      <c r="AL393" s="2">
        <v>0.35</v>
      </c>
      <c r="AN393" t="s">
        <v>1627</v>
      </c>
      <c r="AO393" t="s">
        <v>1629</v>
      </c>
      <c r="AP393" t="b">
        <v>0</v>
      </c>
      <c r="AQ393" t="b">
        <v>0</v>
      </c>
      <c r="AR393" t="b">
        <v>0</v>
      </c>
      <c r="AS393" t="s">
        <v>1630</v>
      </c>
    </row>
    <row r="394" spans="1:45" x14ac:dyDescent="0.3">
      <c r="A394">
        <v>552</v>
      </c>
      <c r="B394" t="s">
        <v>1571</v>
      </c>
      <c r="C394" t="s">
        <v>1631</v>
      </c>
      <c r="D394" t="s">
        <v>731</v>
      </c>
      <c r="E394" t="s">
        <v>732</v>
      </c>
      <c r="F394" t="s">
        <v>388</v>
      </c>
      <c r="G394">
        <v>22.6</v>
      </c>
      <c r="H394">
        <v>15.7</v>
      </c>
      <c r="I394">
        <v>13.4</v>
      </c>
      <c r="J394">
        <v>5.9</v>
      </c>
      <c r="K394">
        <v>100</v>
      </c>
      <c r="L394">
        <v>100</v>
      </c>
      <c r="M394">
        <v>27.5</v>
      </c>
      <c r="N394">
        <v>5.9</v>
      </c>
      <c r="O394">
        <v>5.2</v>
      </c>
      <c r="P394">
        <v>22.5</v>
      </c>
      <c r="Q394" t="s">
        <v>1475</v>
      </c>
      <c r="R394" t="s">
        <v>1631</v>
      </c>
      <c r="T394">
        <v>1000024</v>
      </c>
      <c r="V394">
        <v>0</v>
      </c>
      <c r="X394">
        <v>0</v>
      </c>
      <c r="Z394">
        <v>0</v>
      </c>
      <c r="AB394">
        <v>0</v>
      </c>
      <c r="AD394">
        <v>0</v>
      </c>
      <c r="AE394" t="s">
        <v>57</v>
      </c>
      <c r="AF394">
        <v>0</v>
      </c>
      <c r="AG394" t="s">
        <v>1632</v>
      </c>
      <c r="AH394">
        <v>700574</v>
      </c>
      <c r="AI394" t="s">
        <v>732</v>
      </c>
      <c r="AJ394" s="1">
        <v>2913</v>
      </c>
      <c r="AK394">
        <v>14.6</v>
      </c>
      <c r="AL394" s="2">
        <v>0.6</v>
      </c>
      <c r="AM394" s="3">
        <v>2.2819444444444446</v>
      </c>
      <c r="AN394" t="s">
        <v>1631</v>
      </c>
      <c r="AO394" t="s">
        <v>1633</v>
      </c>
      <c r="AP394" t="b">
        <v>0</v>
      </c>
      <c r="AQ394" t="b">
        <v>0</v>
      </c>
      <c r="AR394" t="b">
        <v>0</v>
      </c>
    </row>
    <row r="395" spans="1:45" x14ac:dyDescent="0.3">
      <c r="A395">
        <v>552</v>
      </c>
      <c r="C395" t="s">
        <v>1634</v>
      </c>
      <c r="D395" t="s">
        <v>1134</v>
      </c>
      <c r="E395" t="s">
        <v>1135</v>
      </c>
      <c r="F395" t="s">
        <v>56</v>
      </c>
      <c r="G395">
        <v>5.9</v>
      </c>
      <c r="H395">
        <v>5</v>
      </c>
      <c r="I395">
        <v>3.4</v>
      </c>
      <c r="J395">
        <v>81.7</v>
      </c>
      <c r="K395">
        <v>1.5</v>
      </c>
      <c r="L395">
        <v>6.8</v>
      </c>
      <c r="M395">
        <v>71.8</v>
      </c>
      <c r="N395">
        <v>5.3</v>
      </c>
      <c r="O395">
        <v>1.2</v>
      </c>
      <c r="P395">
        <v>22.5</v>
      </c>
      <c r="Q395" t="s">
        <v>572</v>
      </c>
      <c r="R395" t="s">
        <v>1634</v>
      </c>
      <c r="S395" t="s">
        <v>574</v>
      </c>
      <c r="T395">
        <v>5890</v>
      </c>
      <c r="U395">
        <v>26.7</v>
      </c>
      <c r="V395">
        <v>896</v>
      </c>
      <c r="W395">
        <v>23.4</v>
      </c>
      <c r="X395">
        <v>673</v>
      </c>
      <c r="Y395">
        <v>80.099999999999994</v>
      </c>
      <c r="Z395">
        <v>319</v>
      </c>
      <c r="AA395">
        <v>43.1</v>
      </c>
      <c r="AB395">
        <v>920</v>
      </c>
      <c r="AC395">
        <v>40.799999999999997</v>
      </c>
      <c r="AD395">
        <v>1091</v>
      </c>
      <c r="AE395" t="s">
        <v>57</v>
      </c>
      <c r="AF395">
        <v>0</v>
      </c>
      <c r="AG395" t="s">
        <v>1635</v>
      </c>
      <c r="AH395">
        <v>624351</v>
      </c>
      <c r="AI395" t="s">
        <v>1137</v>
      </c>
      <c r="AJ395" s="1">
        <v>20177</v>
      </c>
      <c r="AK395">
        <v>26.7</v>
      </c>
      <c r="AL395" s="2">
        <v>0.04</v>
      </c>
      <c r="AM395" s="3">
        <v>2.2000000000000002</v>
      </c>
      <c r="AN395" t="s">
        <v>1634</v>
      </c>
      <c r="AO395" t="s">
        <v>1636</v>
      </c>
      <c r="AP395" t="b">
        <v>0</v>
      </c>
      <c r="AQ395" t="b">
        <v>0</v>
      </c>
      <c r="AR395" t="b">
        <v>0</v>
      </c>
    </row>
    <row r="396" spans="1:45" x14ac:dyDescent="0.3">
      <c r="A396">
        <v>554</v>
      </c>
      <c r="B396">
        <v>551</v>
      </c>
      <c r="C396" t="s">
        <v>1637</v>
      </c>
      <c r="D396" t="s">
        <v>273</v>
      </c>
      <c r="E396" t="s">
        <v>274</v>
      </c>
      <c r="F396" t="s">
        <v>47</v>
      </c>
      <c r="G396">
        <v>5.8</v>
      </c>
      <c r="H396">
        <v>3.3</v>
      </c>
      <c r="I396">
        <v>82.1</v>
      </c>
      <c r="J396">
        <v>15.4</v>
      </c>
      <c r="K396">
        <v>74.2</v>
      </c>
      <c r="L396">
        <v>25.3</v>
      </c>
      <c r="M396">
        <v>69.599999999999994</v>
      </c>
      <c r="N396">
        <v>2.4</v>
      </c>
      <c r="O396">
        <v>26.8</v>
      </c>
      <c r="P396">
        <v>22.4</v>
      </c>
      <c r="Q396" t="s">
        <v>659</v>
      </c>
      <c r="R396" t="s">
        <v>1638</v>
      </c>
      <c r="S396" t="s">
        <v>660</v>
      </c>
      <c r="T396">
        <v>3690</v>
      </c>
      <c r="U396">
        <v>33.5</v>
      </c>
      <c r="V396">
        <v>519</v>
      </c>
      <c r="W396">
        <v>38.1</v>
      </c>
      <c r="X396">
        <v>283</v>
      </c>
      <c r="Y396">
        <v>69.099999999999994</v>
      </c>
      <c r="Z396">
        <v>577</v>
      </c>
      <c r="AA396">
        <v>83.9</v>
      </c>
      <c r="AB396">
        <v>219</v>
      </c>
      <c r="AC396">
        <v>71.599999999999994</v>
      </c>
      <c r="AD396">
        <v>381</v>
      </c>
      <c r="AE396" t="s">
        <v>57</v>
      </c>
      <c r="AF396">
        <v>0</v>
      </c>
      <c r="AG396" t="s">
        <v>1639</v>
      </c>
      <c r="AH396">
        <v>587910</v>
      </c>
      <c r="AI396" t="s">
        <v>274</v>
      </c>
      <c r="AJ396" s="1">
        <v>5749</v>
      </c>
      <c r="AK396">
        <v>30.9</v>
      </c>
      <c r="AL396" s="2">
        <v>0.14000000000000001</v>
      </c>
      <c r="AM396" s="3">
        <v>2.1180555555555554</v>
      </c>
      <c r="AN396" t="s">
        <v>1638</v>
      </c>
      <c r="AO396" t="s">
        <v>1640</v>
      </c>
      <c r="AP396" t="b">
        <v>0</v>
      </c>
      <c r="AQ396" t="b">
        <v>0</v>
      </c>
      <c r="AR396" t="b">
        <v>0</v>
      </c>
    </row>
    <row r="397" spans="1:45" x14ac:dyDescent="0.3">
      <c r="A397">
        <v>554</v>
      </c>
      <c r="B397" t="s">
        <v>1641</v>
      </c>
      <c r="C397" t="s">
        <v>1642</v>
      </c>
      <c r="D397" t="s">
        <v>1214</v>
      </c>
      <c r="E397" t="s">
        <v>1215</v>
      </c>
      <c r="F397" t="s">
        <v>47</v>
      </c>
      <c r="G397">
        <v>21</v>
      </c>
      <c r="H397">
        <v>30.7</v>
      </c>
      <c r="I397">
        <v>18.8</v>
      </c>
      <c r="J397">
        <v>5.6</v>
      </c>
      <c r="K397">
        <v>38.200000000000003</v>
      </c>
      <c r="L397">
        <v>67.7</v>
      </c>
      <c r="M397">
        <v>55.5</v>
      </c>
      <c r="N397">
        <v>4.3</v>
      </c>
      <c r="O397">
        <v>24.5</v>
      </c>
      <c r="P397">
        <v>22.4</v>
      </c>
      <c r="Q397" t="s">
        <v>679</v>
      </c>
      <c r="R397" t="s">
        <v>1643</v>
      </c>
      <c r="S397" t="s">
        <v>680</v>
      </c>
      <c r="T397">
        <v>8930</v>
      </c>
      <c r="U397">
        <v>19.8</v>
      </c>
      <c r="V397">
        <v>1389</v>
      </c>
      <c r="W397">
        <v>13.6</v>
      </c>
      <c r="X397">
        <v>1239</v>
      </c>
      <c r="Y397">
        <v>67.3</v>
      </c>
      <c r="Z397">
        <v>615</v>
      </c>
      <c r="AA397">
        <v>40.799999999999997</v>
      </c>
      <c r="AB397">
        <v>960</v>
      </c>
      <c r="AC397">
        <v>61.1</v>
      </c>
      <c r="AD397">
        <v>559</v>
      </c>
      <c r="AE397" t="s">
        <v>57</v>
      </c>
      <c r="AF397">
        <v>0</v>
      </c>
      <c r="AG397" t="s">
        <v>1644</v>
      </c>
      <c r="AH397">
        <v>131603</v>
      </c>
      <c r="AI397" t="s">
        <v>1215</v>
      </c>
      <c r="AJ397" s="1">
        <v>21161</v>
      </c>
      <c r="AK397">
        <v>13.3</v>
      </c>
      <c r="AL397" s="2">
        <v>0.17</v>
      </c>
      <c r="AM397" s="3">
        <v>2.3638888888888889</v>
      </c>
      <c r="AN397" t="s">
        <v>1643</v>
      </c>
      <c r="AO397" t="s">
        <v>1645</v>
      </c>
      <c r="AP397" t="b">
        <v>0</v>
      </c>
      <c r="AQ397" t="b">
        <v>0</v>
      </c>
      <c r="AR397" t="b">
        <v>0</v>
      </c>
    </row>
    <row r="398" spans="1:45" x14ac:dyDescent="0.3">
      <c r="A398">
        <v>554</v>
      </c>
      <c r="B398">
        <v>538</v>
      </c>
      <c r="C398" t="s">
        <v>1646</v>
      </c>
      <c r="D398" t="s">
        <v>541</v>
      </c>
      <c r="E398" t="s">
        <v>542</v>
      </c>
      <c r="F398" t="s">
        <v>47</v>
      </c>
      <c r="G398">
        <v>22</v>
      </c>
      <c r="H398">
        <v>25.4</v>
      </c>
      <c r="I398">
        <v>38.799999999999997</v>
      </c>
      <c r="J398">
        <v>8.1999999999999993</v>
      </c>
      <c r="K398">
        <v>19.399999999999999</v>
      </c>
      <c r="L398">
        <v>79.3</v>
      </c>
      <c r="M398">
        <v>34.1</v>
      </c>
      <c r="N398">
        <v>12.3</v>
      </c>
      <c r="O398">
        <v>5.3</v>
      </c>
      <c r="P398">
        <v>22.4</v>
      </c>
      <c r="Q398" t="s">
        <v>372</v>
      </c>
      <c r="R398" t="s">
        <v>1647</v>
      </c>
      <c r="S398" t="s">
        <v>374</v>
      </c>
      <c r="T398">
        <v>4940</v>
      </c>
      <c r="U398">
        <v>38.4</v>
      </c>
      <c r="V398">
        <v>352</v>
      </c>
      <c r="W398">
        <v>27.6</v>
      </c>
      <c r="X398">
        <v>526</v>
      </c>
      <c r="Y398">
        <v>69.7</v>
      </c>
      <c r="Z398">
        <v>562</v>
      </c>
      <c r="AA398">
        <v>28.1</v>
      </c>
      <c r="AB398">
        <v>1235</v>
      </c>
      <c r="AC398">
        <v>78.7</v>
      </c>
      <c r="AD398">
        <v>274</v>
      </c>
      <c r="AE398" t="s">
        <v>57</v>
      </c>
      <c r="AF398">
        <v>0</v>
      </c>
      <c r="AG398" t="s">
        <v>1648</v>
      </c>
      <c r="AH398">
        <v>131511</v>
      </c>
      <c r="AI398" t="s">
        <v>542</v>
      </c>
      <c r="AJ398" s="1">
        <v>12229</v>
      </c>
      <c r="AK398">
        <v>11.5</v>
      </c>
      <c r="AL398" s="2">
        <v>0.3</v>
      </c>
      <c r="AM398" s="3">
        <v>3.0604166666666668</v>
      </c>
      <c r="AN398" t="s">
        <v>1647</v>
      </c>
      <c r="AO398" t="s">
        <v>1649</v>
      </c>
      <c r="AP398" t="b">
        <v>0</v>
      </c>
      <c r="AQ398" t="b">
        <v>0</v>
      </c>
      <c r="AR398" t="b">
        <v>0</v>
      </c>
    </row>
    <row r="399" spans="1:45" x14ac:dyDescent="0.3">
      <c r="A399">
        <v>554</v>
      </c>
      <c r="B399" t="s">
        <v>1650</v>
      </c>
      <c r="C399" t="s">
        <v>1651</v>
      </c>
      <c r="D399" t="s">
        <v>1652</v>
      </c>
      <c r="E399" t="s">
        <v>1653</v>
      </c>
      <c r="F399" t="s">
        <v>77</v>
      </c>
      <c r="G399">
        <v>23</v>
      </c>
      <c r="H399">
        <v>45.6</v>
      </c>
      <c r="I399">
        <v>11.2</v>
      </c>
      <c r="J399">
        <v>2.9</v>
      </c>
      <c r="K399">
        <v>1.6</v>
      </c>
      <c r="L399">
        <v>1</v>
      </c>
      <c r="M399">
        <v>52</v>
      </c>
      <c r="N399">
        <v>93.7</v>
      </c>
      <c r="O399">
        <v>11.8</v>
      </c>
      <c r="P399">
        <v>22.4</v>
      </c>
      <c r="Q399" t="s">
        <v>679</v>
      </c>
      <c r="R399" t="s">
        <v>1651</v>
      </c>
      <c r="S399" t="s">
        <v>680</v>
      </c>
      <c r="T399">
        <v>8550</v>
      </c>
      <c r="U399">
        <v>17.5</v>
      </c>
      <c r="V399">
        <v>1594</v>
      </c>
      <c r="W399">
        <v>10</v>
      </c>
      <c r="X399">
        <v>1639</v>
      </c>
      <c r="Y399">
        <v>68.8</v>
      </c>
      <c r="Z399">
        <v>585</v>
      </c>
      <c r="AA399">
        <v>18.100000000000001</v>
      </c>
      <c r="AB399">
        <v>1657</v>
      </c>
      <c r="AC399">
        <v>48.5</v>
      </c>
      <c r="AD399">
        <v>850</v>
      </c>
      <c r="AE399" t="s">
        <v>57</v>
      </c>
      <c r="AF399">
        <v>0</v>
      </c>
      <c r="AG399" t="s">
        <v>1654</v>
      </c>
      <c r="AH399">
        <v>131689</v>
      </c>
      <c r="AI399" t="s">
        <v>1653</v>
      </c>
      <c r="AJ399" s="1">
        <v>216258</v>
      </c>
      <c r="AK399">
        <v>15.3</v>
      </c>
      <c r="AL399" s="2">
        <v>0.03</v>
      </c>
      <c r="AM399" s="3">
        <v>2.1180555555555554</v>
      </c>
      <c r="AN399" t="s">
        <v>1651</v>
      </c>
      <c r="AO399" t="s">
        <v>1655</v>
      </c>
      <c r="AP399" t="b">
        <v>0</v>
      </c>
      <c r="AQ399" t="b">
        <v>0</v>
      </c>
      <c r="AR399" t="b">
        <v>0</v>
      </c>
    </row>
    <row r="400" spans="1:45" x14ac:dyDescent="0.3">
      <c r="A400">
        <v>554</v>
      </c>
      <c r="B400">
        <v>542</v>
      </c>
      <c r="C400" t="s">
        <v>1656</v>
      </c>
      <c r="D400" t="s">
        <v>150</v>
      </c>
      <c r="E400" t="s">
        <v>151</v>
      </c>
      <c r="F400" t="s">
        <v>47</v>
      </c>
      <c r="G400">
        <v>7.4</v>
      </c>
      <c r="H400">
        <v>5.5</v>
      </c>
      <c r="I400">
        <v>78.5</v>
      </c>
      <c r="J400">
        <v>31.2</v>
      </c>
      <c r="K400">
        <v>39.6</v>
      </c>
      <c r="L400">
        <v>21</v>
      </c>
      <c r="M400">
        <v>61.1</v>
      </c>
      <c r="N400">
        <v>2.9</v>
      </c>
      <c r="O400">
        <v>2.1</v>
      </c>
      <c r="P400">
        <v>22.4</v>
      </c>
      <c r="Q400">
        <f>193</f>
        <v>193</v>
      </c>
      <c r="R400" t="s">
        <v>1657</v>
      </c>
      <c r="S400">
        <v>59</v>
      </c>
      <c r="T400">
        <v>1970</v>
      </c>
      <c r="U400">
        <v>40.6</v>
      </c>
      <c r="V400">
        <v>292</v>
      </c>
      <c r="W400">
        <v>41.2</v>
      </c>
      <c r="X400">
        <v>233</v>
      </c>
      <c r="Y400">
        <v>87.9</v>
      </c>
      <c r="Z400">
        <v>156</v>
      </c>
      <c r="AA400">
        <v>99.6</v>
      </c>
      <c r="AB400">
        <v>56</v>
      </c>
      <c r="AC400">
        <v>63</v>
      </c>
      <c r="AD400">
        <v>518</v>
      </c>
      <c r="AE400" t="s">
        <v>57</v>
      </c>
      <c r="AF400">
        <v>0</v>
      </c>
      <c r="AG400" t="s">
        <v>1658</v>
      </c>
      <c r="AH400">
        <v>687</v>
      </c>
      <c r="AI400" t="s">
        <v>151</v>
      </c>
      <c r="AJ400" s="1">
        <v>10301</v>
      </c>
      <c r="AK400">
        <v>26.4</v>
      </c>
      <c r="AL400" s="2">
        <v>0.13</v>
      </c>
      <c r="AM400" s="3">
        <v>2.1590277777777778</v>
      </c>
      <c r="AN400" t="s">
        <v>1657</v>
      </c>
      <c r="AO400" t="s">
        <v>1659</v>
      </c>
      <c r="AP400" t="b">
        <v>0</v>
      </c>
      <c r="AQ400" t="b">
        <v>0</v>
      </c>
      <c r="AR400" t="b">
        <v>0</v>
      </c>
    </row>
    <row r="401" spans="1:45" x14ac:dyDescent="0.3">
      <c r="A401">
        <v>559</v>
      </c>
      <c r="B401">
        <v>534</v>
      </c>
      <c r="C401" t="s">
        <v>1660</v>
      </c>
      <c r="D401" t="s">
        <v>378</v>
      </c>
      <c r="E401" t="s">
        <v>379</v>
      </c>
      <c r="F401" t="s">
        <v>56</v>
      </c>
      <c r="G401">
        <v>16</v>
      </c>
      <c r="H401">
        <v>10.9</v>
      </c>
      <c r="I401">
        <v>74.3</v>
      </c>
      <c r="J401">
        <v>2.9</v>
      </c>
      <c r="K401">
        <v>14.1</v>
      </c>
      <c r="L401">
        <v>84</v>
      </c>
      <c r="M401">
        <v>64.7</v>
      </c>
      <c r="N401">
        <v>4.9000000000000004</v>
      </c>
      <c r="O401">
        <v>11.2</v>
      </c>
      <c r="P401">
        <v>22.3</v>
      </c>
      <c r="Q401" t="s">
        <v>659</v>
      </c>
      <c r="R401" t="s">
        <v>1661</v>
      </c>
      <c r="S401" t="s">
        <v>660</v>
      </c>
      <c r="T401">
        <v>3860</v>
      </c>
      <c r="U401">
        <v>43.4</v>
      </c>
      <c r="V401">
        <v>235</v>
      </c>
      <c r="W401">
        <v>31.3</v>
      </c>
      <c r="X401">
        <v>434</v>
      </c>
      <c r="Y401">
        <v>67.400000000000006</v>
      </c>
      <c r="Z401">
        <v>613</v>
      </c>
      <c r="AA401">
        <v>61.6</v>
      </c>
      <c r="AB401">
        <v>622</v>
      </c>
      <c r="AC401">
        <v>65.2</v>
      </c>
      <c r="AD401">
        <v>482</v>
      </c>
      <c r="AE401" t="s">
        <v>57</v>
      </c>
      <c r="AF401">
        <v>0</v>
      </c>
      <c r="AG401" t="s">
        <v>1662</v>
      </c>
      <c r="AH401">
        <v>131339</v>
      </c>
      <c r="AI401" t="s">
        <v>381</v>
      </c>
      <c r="AJ401" s="1">
        <v>16400</v>
      </c>
      <c r="AK401">
        <v>10</v>
      </c>
      <c r="AL401" s="2">
        <v>0.33</v>
      </c>
      <c r="AM401" s="3">
        <v>1.7902777777777779</v>
      </c>
      <c r="AN401" t="s">
        <v>1661</v>
      </c>
      <c r="AO401" t="s">
        <v>1663</v>
      </c>
      <c r="AP401" t="b">
        <v>0</v>
      </c>
      <c r="AQ401" t="b">
        <v>0</v>
      </c>
      <c r="AR401" t="b">
        <v>1</v>
      </c>
    </row>
    <row r="402" spans="1:45" x14ac:dyDescent="0.3">
      <c r="A402">
        <v>559</v>
      </c>
      <c r="B402">
        <v>498</v>
      </c>
      <c r="C402" t="s">
        <v>1664</v>
      </c>
      <c r="D402" t="s">
        <v>54</v>
      </c>
      <c r="E402" t="s">
        <v>55</v>
      </c>
      <c r="F402" t="s">
        <v>56</v>
      </c>
      <c r="G402">
        <v>8.1</v>
      </c>
      <c r="H402">
        <v>11.3</v>
      </c>
      <c r="I402">
        <v>9.6</v>
      </c>
      <c r="J402">
        <v>11.5</v>
      </c>
      <c r="K402">
        <v>99.8</v>
      </c>
      <c r="L402">
        <v>77.599999999999994</v>
      </c>
      <c r="M402">
        <v>73.400000000000006</v>
      </c>
      <c r="N402">
        <v>6.8</v>
      </c>
      <c r="O402">
        <v>62.2</v>
      </c>
      <c r="P402">
        <v>22.3</v>
      </c>
      <c r="Q402" t="s">
        <v>696</v>
      </c>
      <c r="R402" t="s">
        <v>1664</v>
      </c>
      <c r="S402" t="s">
        <v>697</v>
      </c>
      <c r="T402">
        <v>7860</v>
      </c>
      <c r="U402">
        <v>21.3</v>
      </c>
      <c r="V402">
        <v>1283</v>
      </c>
      <c r="W402">
        <v>22.4</v>
      </c>
      <c r="X402">
        <v>717</v>
      </c>
      <c r="Y402">
        <v>62</v>
      </c>
      <c r="Z402">
        <v>737</v>
      </c>
      <c r="AA402">
        <v>50.1</v>
      </c>
      <c r="AB402">
        <v>806</v>
      </c>
      <c r="AC402">
        <v>82.4</v>
      </c>
      <c r="AD402">
        <v>215</v>
      </c>
      <c r="AE402" t="s">
        <v>57</v>
      </c>
      <c r="AF402">
        <v>0</v>
      </c>
      <c r="AG402" t="s">
        <v>1665</v>
      </c>
      <c r="AH402">
        <v>128788</v>
      </c>
      <c r="AI402" t="s">
        <v>55</v>
      </c>
      <c r="AJ402" s="1">
        <v>19825</v>
      </c>
      <c r="AK402">
        <v>20.100000000000001</v>
      </c>
      <c r="AL402" s="2">
        <v>0.1</v>
      </c>
      <c r="AM402" s="3">
        <v>2.3638888888888889</v>
      </c>
      <c r="AN402" t="s">
        <v>1664</v>
      </c>
      <c r="AO402" t="s">
        <v>1666</v>
      </c>
      <c r="AP402" t="b">
        <v>0</v>
      </c>
      <c r="AQ402" t="b">
        <v>0</v>
      </c>
      <c r="AR402" t="b">
        <v>0</v>
      </c>
      <c r="AS402" t="s">
        <v>1667</v>
      </c>
    </row>
    <row r="403" spans="1:45" x14ac:dyDescent="0.3">
      <c r="A403">
        <v>559</v>
      </c>
      <c r="B403" t="s">
        <v>1668</v>
      </c>
      <c r="C403" t="s">
        <v>1669</v>
      </c>
      <c r="D403" t="s">
        <v>402</v>
      </c>
      <c r="E403" t="s">
        <v>403</v>
      </c>
      <c r="F403" t="s">
        <v>77</v>
      </c>
      <c r="G403">
        <v>20.7</v>
      </c>
      <c r="H403">
        <v>12.8</v>
      </c>
      <c r="I403">
        <v>54.7</v>
      </c>
      <c r="J403">
        <v>2.2000000000000002</v>
      </c>
      <c r="K403">
        <v>100</v>
      </c>
      <c r="L403">
        <v>16</v>
      </c>
      <c r="M403">
        <v>59.7</v>
      </c>
      <c r="N403">
        <v>6.7</v>
      </c>
      <c r="O403">
        <v>3.1</v>
      </c>
      <c r="P403">
        <v>22.3</v>
      </c>
      <c r="Q403" t="s">
        <v>696</v>
      </c>
      <c r="R403" t="s">
        <v>1670</v>
      </c>
      <c r="S403" t="s">
        <v>697</v>
      </c>
      <c r="T403">
        <v>7870</v>
      </c>
      <c r="U403">
        <v>33.299999999999997</v>
      </c>
      <c r="V403">
        <v>531</v>
      </c>
      <c r="W403">
        <v>14.4</v>
      </c>
      <c r="X403">
        <v>1172</v>
      </c>
      <c r="Y403">
        <v>62.2</v>
      </c>
      <c r="Z403">
        <v>728</v>
      </c>
      <c r="AA403">
        <v>53.2</v>
      </c>
      <c r="AB403">
        <v>748</v>
      </c>
      <c r="AC403">
        <v>73.099999999999994</v>
      </c>
      <c r="AD403">
        <v>363</v>
      </c>
      <c r="AE403" t="s">
        <v>57</v>
      </c>
      <c r="AF403">
        <v>0</v>
      </c>
      <c r="AG403" t="s">
        <v>1671</v>
      </c>
      <c r="AH403">
        <v>623343</v>
      </c>
      <c r="AI403" t="s">
        <v>403</v>
      </c>
      <c r="AJ403" s="1">
        <v>35180</v>
      </c>
      <c r="AK403">
        <v>9.6</v>
      </c>
      <c r="AL403" s="2">
        <v>7.0000000000000007E-2</v>
      </c>
      <c r="AM403" s="3">
        <v>2.2409722222222221</v>
      </c>
      <c r="AN403" t="s">
        <v>1670</v>
      </c>
      <c r="AO403" t="s">
        <v>1672</v>
      </c>
      <c r="AP403" t="b">
        <v>0</v>
      </c>
      <c r="AQ403" t="b">
        <v>0</v>
      </c>
      <c r="AR403" t="b">
        <v>0</v>
      </c>
    </row>
    <row r="404" spans="1:45" x14ac:dyDescent="0.3">
      <c r="A404">
        <v>562</v>
      </c>
      <c r="B404">
        <v>525</v>
      </c>
      <c r="C404" t="s">
        <v>1673</v>
      </c>
      <c r="D404" t="s">
        <v>1261</v>
      </c>
      <c r="E404" t="s">
        <v>1262</v>
      </c>
      <c r="F404" t="s">
        <v>388</v>
      </c>
      <c r="G404">
        <v>15.4</v>
      </c>
      <c r="H404">
        <v>6.3</v>
      </c>
      <c r="I404">
        <v>88.5</v>
      </c>
      <c r="J404">
        <v>9.9</v>
      </c>
      <c r="K404">
        <v>100</v>
      </c>
      <c r="L404">
        <v>5.8</v>
      </c>
      <c r="M404">
        <v>15.9</v>
      </c>
      <c r="N404">
        <v>14.7</v>
      </c>
      <c r="O404">
        <v>1.4</v>
      </c>
      <c r="P404">
        <v>22.2</v>
      </c>
      <c r="Q404" t="s">
        <v>1475</v>
      </c>
      <c r="R404" t="s">
        <v>1673</v>
      </c>
      <c r="T404">
        <v>1000687</v>
      </c>
      <c r="V404">
        <v>0</v>
      </c>
      <c r="X404">
        <v>0</v>
      </c>
      <c r="Z404">
        <v>0</v>
      </c>
      <c r="AB404">
        <v>0</v>
      </c>
      <c r="AD404">
        <v>0</v>
      </c>
      <c r="AE404" t="s">
        <v>57</v>
      </c>
      <c r="AF404">
        <v>0</v>
      </c>
      <c r="AG404" t="s">
        <v>1674</v>
      </c>
      <c r="AH404">
        <v>621570</v>
      </c>
      <c r="AI404" t="s">
        <v>1265</v>
      </c>
      <c r="AJ404" s="1">
        <v>1306</v>
      </c>
      <c r="AK404">
        <v>6.7</v>
      </c>
      <c r="AL404" s="2">
        <v>7.0000000000000007E-2</v>
      </c>
      <c r="AM404" s="3">
        <v>1.9131944444444444</v>
      </c>
      <c r="AN404" t="s">
        <v>1673</v>
      </c>
      <c r="AO404" t="s">
        <v>1675</v>
      </c>
      <c r="AP404" t="b">
        <v>0</v>
      </c>
      <c r="AQ404" t="b">
        <v>0</v>
      </c>
      <c r="AR404" t="b">
        <v>0</v>
      </c>
    </row>
    <row r="405" spans="1:45" x14ac:dyDescent="0.3">
      <c r="A405">
        <v>564</v>
      </c>
      <c r="B405" t="s">
        <v>1676</v>
      </c>
      <c r="C405" t="s">
        <v>1677</v>
      </c>
      <c r="D405" t="s">
        <v>1678</v>
      </c>
      <c r="E405" t="s">
        <v>1679</v>
      </c>
      <c r="F405" t="s">
        <v>56</v>
      </c>
      <c r="G405">
        <v>23.3</v>
      </c>
      <c r="H405">
        <v>22.6</v>
      </c>
      <c r="I405">
        <v>10.7</v>
      </c>
      <c r="J405">
        <v>6.1</v>
      </c>
      <c r="K405">
        <v>5.2</v>
      </c>
      <c r="L405">
        <v>11</v>
      </c>
      <c r="M405">
        <v>71.3</v>
      </c>
      <c r="N405">
        <v>60.9</v>
      </c>
      <c r="O405">
        <v>61.9</v>
      </c>
      <c r="P405">
        <v>22.1</v>
      </c>
      <c r="Q405" t="s">
        <v>679</v>
      </c>
      <c r="R405" t="s">
        <v>1677</v>
      </c>
      <c r="S405" t="s">
        <v>680</v>
      </c>
      <c r="T405">
        <v>8560</v>
      </c>
      <c r="U405">
        <v>28.6</v>
      </c>
      <c r="V405">
        <v>764</v>
      </c>
      <c r="W405">
        <v>19.2</v>
      </c>
      <c r="X405">
        <v>855</v>
      </c>
      <c r="Y405">
        <v>57.3</v>
      </c>
      <c r="Z405">
        <v>836</v>
      </c>
      <c r="AA405">
        <v>33.4</v>
      </c>
      <c r="AB405">
        <v>1124</v>
      </c>
      <c r="AC405">
        <v>51.3</v>
      </c>
      <c r="AD405">
        <v>760</v>
      </c>
      <c r="AE405" t="s">
        <v>57</v>
      </c>
      <c r="AF405">
        <v>11</v>
      </c>
      <c r="AG405" t="s">
        <v>1680</v>
      </c>
      <c r="AH405">
        <v>131314</v>
      </c>
      <c r="AI405" t="s">
        <v>1679</v>
      </c>
      <c r="AJ405" s="1">
        <v>30414</v>
      </c>
      <c r="AK405">
        <v>17.8</v>
      </c>
      <c r="AL405" s="2">
        <v>0.11</v>
      </c>
      <c r="AM405" s="3">
        <v>2.5687500000000001</v>
      </c>
      <c r="AN405" t="s">
        <v>1677</v>
      </c>
      <c r="AO405" t="s">
        <v>1681</v>
      </c>
      <c r="AP405" t="b">
        <v>0</v>
      </c>
      <c r="AQ405" t="b">
        <v>0</v>
      </c>
      <c r="AR405" t="b">
        <v>0</v>
      </c>
    </row>
    <row r="406" spans="1:45" x14ac:dyDescent="0.3">
      <c r="A406">
        <v>565</v>
      </c>
      <c r="B406">
        <v>444</v>
      </c>
      <c r="C406" t="s">
        <v>1682</v>
      </c>
      <c r="D406" t="s">
        <v>45</v>
      </c>
      <c r="E406" t="s">
        <v>46</v>
      </c>
      <c r="F406" t="s">
        <v>56</v>
      </c>
      <c r="G406">
        <v>14.4</v>
      </c>
      <c r="H406">
        <v>8.1</v>
      </c>
      <c r="I406">
        <v>18.2</v>
      </c>
      <c r="J406">
        <v>29.8</v>
      </c>
      <c r="K406">
        <v>27.4</v>
      </c>
      <c r="L406">
        <v>19.399999999999999</v>
      </c>
      <c r="M406">
        <v>88</v>
      </c>
      <c r="N406">
        <v>23.3</v>
      </c>
      <c r="O406">
        <v>37.6</v>
      </c>
      <c r="P406">
        <v>22</v>
      </c>
      <c r="Q406" t="s">
        <v>659</v>
      </c>
      <c r="R406" t="s">
        <v>1682</v>
      </c>
      <c r="S406" t="s">
        <v>660</v>
      </c>
      <c r="T406">
        <v>3620</v>
      </c>
      <c r="U406">
        <v>41.2</v>
      </c>
      <c r="V406">
        <v>274</v>
      </c>
      <c r="W406">
        <v>30.2</v>
      </c>
      <c r="X406">
        <v>465</v>
      </c>
      <c r="Y406">
        <v>72.8</v>
      </c>
      <c r="Z406">
        <v>486</v>
      </c>
      <c r="AA406">
        <v>68.7</v>
      </c>
      <c r="AB406">
        <v>462</v>
      </c>
      <c r="AC406">
        <v>64.599999999999994</v>
      </c>
      <c r="AD406">
        <v>492</v>
      </c>
      <c r="AE406" t="s">
        <v>208</v>
      </c>
      <c r="AF406">
        <v>0</v>
      </c>
      <c r="AG406" t="s">
        <v>1683</v>
      </c>
      <c r="AH406">
        <v>879</v>
      </c>
      <c r="AI406" t="s">
        <v>46</v>
      </c>
      <c r="AJ406" s="1">
        <v>28128</v>
      </c>
      <c r="AK406">
        <v>13.1</v>
      </c>
      <c r="AL406" s="2">
        <v>0.11</v>
      </c>
      <c r="AM406" s="3">
        <v>2.2409722222222221</v>
      </c>
      <c r="AN406" t="s">
        <v>1682</v>
      </c>
      <c r="AO406" t="s">
        <v>1684</v>
      </c>
      <c r="AP406" t="b">
        <v>0</v>
      </c>
      <c r="AQ406" t="b">
        <v>0</v>
      </c>
      <c r="AR406" t="b">
        <v>0</v>
      </c>
      <c r="AS406" t="s">
        <v>1685</v>
      </c>
    </row>
    <row r="407" spans="1:45" x14ac:dyDescent="0.3">
      <c r="A407">
        <v>567</v>
      </c>
      <c r="B407">
        <v>571</v>
      </c>
      <c r="C407" t="s">
        <v>1686</v>
      </c>
      <c r="D407" t="s">
        <v>796</v>
      </c>
      <c r="E407" t="s">
        <v>797</v>
      </c>
      <c r="F407" t="s">
        <v>77</v>
      </c>
      <c r="G407">
        <v>34.799999999999997</v>
      </c>
      <c r="H407">
        <v>17.100000000000001</v>
      </c>
      <c r="I407">
        <v>17.3</v>
      </c>
      <c r="J407">
        <v>4.2</v>
      </c>
      <c r="K407">
        <v>4.8</v>
      </c>
      <c r="L407">
        <v>4.2</v>
      </c>
      <c r="M407">
        <v>62.5</v>
      </c>
      <c r="N407">
        <v>19.100000000000001</v>
      </c>
      <c r="O407">
        <v>56.1</v>
      </c>
      <c r="P407">
        <v>21.9</v>
      </c>
      <c r="Q407" t="s">
        <v>679</v>
      </c>
      <c r="R407" t="s">
        <v>1686</v>
      </c>
      <c r="S407" t="s">
        <v>680</v>
      </c>
      <c r="T407">
        <v>8390</v>
      </c>
      <c r="U407">
        <v>28.5</v>
      </c>
      <c r="V407">
        <v>772</v>
      </c>
      <c r="W407">
        <v>19.100000000000001</v>
      </c>
      <c r="X407">
        <v>858</v>
      </c>
      <c r="Y407">
        <v>46.3</v>
      </c>
      <c r="Z407">
        <v>1086</v>
      </c>
      <c r="AA407">
        <v>58.1</v>
      </c>
      <c r="AB407">
        <v>678</v>
      </c>
      <c r="AC407">
        <v>39.5</v>
      </c>
      <c r="AD407">
        <v>1131</v>
      </c>
      <c r="AE407" t="s">
        <v>57</v>
      </c>
      <c r="AF407">
        <v>0</v>
      </c>
      <c r="AG407" t="s">
        <v>1687</v>
      </c>
      <c r="AH407">
        <v>997</v>
      </c>
      <c r="AI407" t="s">
        <v>797</v>
      </c>
      <c r="AJ407" s="1">
        <v>33649</v>
      </c>
      <c r="AK407">
        <v>13.6</v>
      </c>
      <c r="AL407" s="2">
        <v>0.04</v>
      </c>
      <c r="AM407" s="3">
        <v>2.5687500000000001</v>
      </c>
      <c r="AN407" t="s">
        <v>1686</v>
      </c>
      <c r="AO407" t="s">
        <v>1688</v>
      </c>
      <c r="AP407" t="b">
        <v>0</v>
      </c>
      <c r="AQ407" t="b">
        <v>0</v>
      </c>
      <c r="AR407" t="b">
        <v>0</v>
      </c>
    </row>
    <row r="408" spans="1:45" x14ac:dyDescent="0.3">
      <c r="A408">
        <v>567</v>
      </c>
      <c r="B408">
        <v>577</v>
      </c>
      <c r="C408" t="s">
        <v>1689</v>
      </c>
      <c r="D408" t="s">
        <v>1690</v>
      </c>
      <c r="E408" t="s">
        <v>1691</v>
      </c>
      <c r="F408" t="s">
        <v>77</v>
      </c>
      <c r="G408">
        <v>29</v>
      </c>
      <c r="H408">
        <v>34.4</v>
      </c>
      <c r="I408">
        <v>10.1</v>
      </c>
      <c r="J408">
        <v>2.2000000000000002</v>
      </c>
      <c r="K408">
        <v>43.8</v>
      </c>
      <c r="L408">
        <v>29.5</v>
      </c>
      <c r="M408">
        <v>43.7</v>
      </c>
      <c r="N408">
        <v>29.9</v>
      </c>
      <c r="O408">
        <v>5.8</v>
      </c>
      <c r="P408">
        <v>21.9</v>
      </c>
      <c r="Q408" t="s">
        <v>679</v>
      </c>
      <c r="R408" t="s">
        <v>1689</v>
      </c>
      <c r="S408" t="s">
        <v>680</v>
      </c>
      <c r="T408">
        <v>9100</v>
      </c>
      <c r="U408">
        <v>42.8</v>
      </c>
      <c r="V408">
        <v>246</v>
      </c>
      <c r="W408">
        <v>22.3</v>
      </c>
      <c r="X408">
        <v>718</v>
      </c>
      <c r="Y408">
        <v>23.6</v>
      </c>
      <c r="Z408">
        <v>1592</v>
      </c>
      <c r="AA408">
        <v>17.7</v>
      </c>
      <c r="AB408">
        <v>1686</v>
      </c>
      <c r="AC408">
        <v>78.8</v>
      </c>
      <c r="AD408">
        <v>266</v>
      </c>
      <c r="AE408" t="s">
        <v>57</v>
      </c>
      <c r="AF408">
        <v>0</v>
      </c>
      <c r="AG408" t="s">
        <v>1692</v>
      </c>
      <c r="AH408">
        <v>624447</v>
      </c>
      <c r="AI408" t="s">
        <v>1691</v>
      </c>
      <c r="AJ408" s="1">
        <v>46704</v>
      </c>
      <c r="AK408">
        <v>14.6</v>
      </c>
      <c r="AL408" s="2">
        <v>0.16</v>
      </c>
      <c r="AM408" s="3">
        <v>2.9375</v>
      </c>
      <c r="AN408" t="s">
        <v>1689</v>
      </c>
      <c r="AO408" t="s">
        <v>1693</v>
      </c>
      <c r="AP408" t="b">
        <v>0</v>
      </c>
      <c r="AQ408" t="b">
        <v>0</v>
      </c>
      <c r="AR408" t="b">
        <v>0</v>
      </c>
    </row>
    <row r="409" spans="1:45" x14ac:dyDescent="0.3">
      <c r="A409">
        <v>570</v>
      </c>
      <c r="B409">
        <v>556</v>
      </c>
      <c r="C409" t="s">
        <v>1694</v>
      </c>
      <c r="D409" t="s">
        <v>849</v>
      </c>
      <c r="E409" t="s">
        <v>850</v>
      </c>
      <c r="F409" t="s">
        <v>388</v>
      </c>
      <c r="G409">
        <v>5.6</v>
      </c>
      <c r="H409">
        <v>9.3000000000000007</v>
      </c>
      <c r="I409">
        <v>98.4</v>
      </c>
      <c r="J409">
        <v>13.5</v>
      </c>
      <c r="K409">
        <v>23.9</v>
      </c>
      <c r="L409">
        <v>78.400000000000006</v>
      </c>
      <c r="M409">
        <v>34.9</v>
      </c>
      <c r="N409">
        <v>4.2</v>
      </c>
      <c r="O409">
        <v>3.4</v>
      </c>
      <c r="P409">
        <v>21.8</v>
      </c>
      <c r="Q409" t="s">
        <v>733</v>
      </c>
      <c r="R409" t="s">
        <v>1694</v>
      </c>
      <c r="S409" t="s">
        <v>735</v>
      </c>
      <c r="T409">
        <v>10320</v>
      </c>
      <c r="U409">
        <v>32.799999999999997</v>
      </c>
      <c r="V409">
        <v>551</v>
      </c>
      <c r="W409">
        <v>14.7</v>
      </c>
      <c r="X409">
        <v>1145</v>
      </c>
      <c r="Y409">
        <v>29</v>
      </c>
      <c r="Z409">
        <v>1469</v>
      </c>
      <c r="AA409">
        <v>45.7</v>
      </c>
      <c r="AB409">
        <v>882</v>
      </c>
      <c r="AC409">
        <v>51</v>
      </c>
      <c r="AD409">
        <v>770</v>
      </c>
      <c r="AE409" t="s">
        <v>57</v>
      </c>
      <c r="AF409">
        <v>0</v>
      </c>
      <c r="AG409" t="s">
        <v>1695</v>
      </c>
      <c r="AH409">
        <v>131697</v>
      </c>
      <c r="AI409" t="s">
        <v>850</v>
      </c>
      <c r="AJ409" s="1">
        <v>4061</v>
      </c>
      <c r="AK409">
        <v>8.3000000000000007</v>
      </c>
      <c r="AL409" s="2">
        <v>0.23</v>
      </c>
      <c r="AM409" s="3">
        <v>2.4048611111111109</v>
      </c>
      <c r="AN409" t="s">
        <v>1694</v>
      </c>
      <c r="AO409" t="s">
        <v>1696</v>
      </c>
      <c r="AP409" t="b">
        <v>0</v>
      </c>
      <c r="AQ409" t="b">
        <v>0</v>
      </c>
      <c r="AR409" t="b">
        <v>0</v>
      </c>
    </row>
    <row r="410" spans="1:45" x14ac:dyDescent="0.3">
      <c r="A410">
        <v>570</v>
      </c>
      <c r="B410" t="s">
        <v>1668</v>
      </c>
      <c r="C410" t="s">
        <v>1697</v>
      </c>
      <c r="D410" t="s">
        <v>1678</v>
      </c>
      <c r="E410" t="s">
        <v>1679</v>
      </c>
      <c r="F410" t="s">
        <v>56</v>
      </c>
      <c r="G410">
        <v>18.5</v>
      </c>
      <c r="H410">
        <v>16.8</v>
      </c>
      <c r="I410">
        <v>37</v>
      </c>
      <c r="J410">
        <v>4.8</v>
      </c>
      <c r="K410">
        <v>11.8</v>
      </c>
      <c r="L410">
        <v>41.2</v>
      </c>
      <c r="M410">
        <v>73.099999999999994</v>
      </c>
      <c r="N410">
        <v>15</v>
      </c>
      <c r="O410">
        <v>61.9</v>
      </c>
      <c r="P410">
        <v>21.8</v>
      </c>
      <c r="Q410" t="s">
        <v>733</v>
      </c>
      <c r="R410" t="s">
        <v>1697</v>
      </c>
      <c r="S410" t="s">
        <v>735</v>
      </c>
      <c r="T410">
        <v>11730</v>
      </c>
      <c r="U410">
        <v>29.9</v>
      </c>
      <c r="V410">
        <v>697</v>
      </c>
      <c r="W410">
        <v>15.8</v>
      </c>
      <c r="X410">
        <v>1063</v>
      </c>
      <c r="Y410">
        <v>40.5</v>
      </c>
      <c r="Z410">
        <v>1215</v>
      </c>
      <c r="AA410">
        <v>48.1</v>
      </c>
      <c r="AB410">
        <v>840</v>
      </c>
      <c r="AC410">
        <v>57.8</v>
      </c>
      <c r="AD410">
        <v>627</v>
      </c>
      <c r="AE410" t="s">
        <v>57</v>
      </c>
      <c r="AF410">
        <v>0</v>
      </c>
      <c r="AG410" t="s">
        <v>1698</v>
      </c>
      <c r="AH410">
        <v>1005</v>
      </c>
      <c r="AI410" t="s">
        <v>1679</v>
      </c>
      <c r="AJ410" s="1">
        <v>20050</v>
      </c>
      <c r="AK410">
        <v>12.3</v>
      </c>
      <c r="AL410" s="2">
        <v>0.2</v>
      </c>
      <c r="AM410" s="3">
        <v>2.3638888888888889</v>
      </c>
      <c r="AN410" t="s">
        <v>1697</v>
      </c>
      <c r="AO410" t="s">
        <v>1699</v>
      </c>
      <c r="AP410" t="b">
        <v>0</v>
      </c>
      <c r="AQ410" t="b">
        <v>0</v>
      </c>
      <c r="AR410" t="b">
        <v>0</v>
      </c>
    </row>
    <row r="411" spans="1:45" x14ac:dyDescent="0.3">
      <c r="A411">
        <v>570</v>
      </c>
      <c r="B411" t="s">
        <v>1700</v>
      </c>
      <c r="C411" t="s">
        <v>1701</v>
      </c>
      <c r="D411" t="s">
        <v>1047</v>
      </c>
      <c r="E411" t="s">
        <v>737</v>
      </c>
      <c r="F411" t="s">
        <v>77</v>
      </c>
      <c r="G411">
        <v>15.6</v>
      </c>
      <c r="H411">
        <v>52.2</v>
      </c>
      <c r="I411">
        <v>4.5</v>
      </c>
      <c r="J411">
        <v>11.6</v>
      </c>
      <c r="K411">
        <v>3.2</v>
      </c>
      <c r="L411">
        <v>1.3</v>
      </c>
      <c r="M411">
        <v>62.2</v>
      </c>
      <c r="N411">
        <v>81.400000000000006</v>
      </c>
      <c r="O411">
        <v>4.3</v>
      </c>
      <c r="P411">
        <v>21.8</v>
      </c>
      <c r="Q411" t="s">
        <v>679</v>
      </c>
      <c r="R411" t="s">
        <v>1701</v>
      </c>
      <c r="S411" t="s">
        <v>680</v>
      </c>
      <c r="T411">
        <v>9520</v>
      </c>
      <c r="U411">
        <v>27.7</v>
      </c>
      <c r="V411">
        <v>825</v>
      </c>
      <c r="W411">
        <v>14.7</v>
      </c>
      <c r="X411">
        <v>1149</v>
      </c>
      <c r="Y411">
        <v>62.4</v>
      </c>
      <c r="Z411">
        <v>723</v>
      </c>
      <c r="AA411">
        <v>24.9</v>
      </c>
      <c r="AB411">
        <v>1341</v>
      </c>
      <c r="AC411">
        <v>46.7</v>
      </c>
      <c r="AD411">
        <v>905</v>
      </c>
      <c r="AE411" t="s">
        <v>57</v>
      </c>
      <c r="AF411">
        <v>0</v>
      </c>
      <c r="AG411" t="s">
        <v>1702</v>
      </c>
      <c r="AH411">
        <v>621513</v>
      </c>
      <c r="AI411" t="s">
        <v>737</v>
      </c>
      <c r="AJ411" s="1">
        <v>28692</v>
      </c>
      <c r="AK411">
        <v>22</v>
      </c>
      <c r="AL411" s="2">
        <v>0.01</v>
      </c>
      <c r="AM411" s="3">
        <v>2.2000000000000002</v>
      </c>
      <c r="AN411" t="s">
        <v>1701</v>
      </c>
      <c r="AO411" t="s">
        <v>1703</v>
      </c>
      <c r="AP411" t="b">
        <v>0</v>
      </c>
      <c r="AQ411" t="b">
        <v>0</v>
      </c>
      <c r="AR411" t="b">
        <v>0</v>
      </c>
    </row>
    <row r="412" spans="1:45" x14ac:dyDescent="0.3">
      <c r="A412">
        <v>573</v>
      </c>
      <c r="B412">
        <v>461</v>
      </c>
      <c r="C412" t="s">
        <v>1704</v>
      </c>
      <c r="D412" t="s">
        <v>45</v>
      </c>
      <c r="E412" t="s">
        <v>46</v>
      </c>
      <c r="F412" t="s">
        <v>77</v>
      </c>
      <c r="G412">
        <v>25.6</v>
      </c>
      <c r="H412">
        <v>18.100000000000001</v>
      </c>
      <c r="I412">
        <v>7.2</v>
      </c>
      <c r="J412">
        <v>24.8</v>
      </c>
      <c r="K412">
        <v>10</v>
      </c>
      <c r="L412">
        <v>4.2</v>
      </c>
      <c r="M412">
        <v>71.900000000000006</v>
      </c>
      <c r="N412">
        <v>18.399999999999999</v>
      </c>
      <c r="O412">
        <v>26.8</v>
      </c>
      <c r="P412">
        <v>21.6</v>
      </c>
      <c r="Q412" t="s">
        <v>486</v>
      </c>
      <c r="R412" t="s">
        <v>1704</v>
      </c>
      <c r="S412" t="s">
        <v>487</v>
      </c>
      <c r="T412">
        <v>2600</v>
      </c>
      <c r="U412">
        <v>38.200000000000003</v>
      </c>
      <c r="V412">
        <v>358</v>
      </c>
      <c r="W412">
        <v>38.6</v>
      </c>
      <c r="X412">
        <v>269</v>
      </c>
      <c r="Y412">
        <v>79.400000000000006</v>
      </c>
      <c r="Z412">
        <v>334</v>
      </c>
      <c r="AA412">
        <v>68.2</v>
      </c>
      <c r="AB412">
        <v>475</v>
      </c>
      <c r="AC412">
        <v>58.8</v>
      </c>
      <c r="AD412">
        <v>610</v>
      </c>
      <c r="AE412" t="s">
        <v>208</v>
      </c>
      <c r="AF412">
        <v>0</v>
      </c>
      <c r="AG412" t="s">
        <v>1705</v>
      </c>
      <c r="AH412">
        <v>131777</v>
      </c>
      <c r="AI412" t="s">
        <v>46</v>
      </c>
      <c r="AJ412" s="1">
        <v>39831</v>
      </c>
      <c r="AK412">
        <v>24.6</v>
      </c>
      <c r="AL412" s="2">
        <v>0.06</v>
      </c>
      <c r="AM412" s="3">
        <v>2.4458333333333333</v>
      </c>
      <c r="AN412" t="s">
        <v>1704</v>
      </c>
      <c r="AO412" t="s">
        <v>1706</v>
      </c>
      <c r="AP412" t="b">
        <v>0</v>
      </c>
      <c r="AQ412" t="b">
        <v>0</v>
      </c>
      <c r="AR412" t="b">
        <v>0</v>
      </c>
      <c r="AS412" t="s">
        <v>1707</v>
      </c>
    </row>
    <row r="413" spans="1:45" x14ac:dyDescent="0.3">
      <c r="A413">
        <v>574</v>
      </c>
      <c r="B413">
        <v>556</v>
      </c>
      <c r="C413" t="s">
        <v>1708</v>
      </c>
      <c r="D413" t="s">
        <v>45</v>
      </c>
      <c r="E413" t="s">
        <v>46</v>
      </c>
      <c r="F413" t="s">
        <v>77</v>
      </c>
      <c r="G413">
        <v>15.3</v>
      </c>
      <c r="H413">
        <v>22.5</v>
      </c>
      <c r="I413">
        <v>11.8</v>
      </c>
      <c r="J413">
        <v>12.6</v>
      </c>
      <c r="K413">
        <v>20.3</v>
      </c>
      <c r="L413">
        <v>12.9</v>
      </c>
      <c r="M413">
        <v>86.7</v>
      </c>
      <c r="N413">
        <v>16.600000000000001</v>
      </c>
      <c r="O413">
        <v>81.2</v>
      </c>
      <c r="P413">
        <v>21.5</v>
      </c>
      <c r="Q413" t="s">
        <v>372</v>
      </c>
      <c r="R413" t="s">
        <v>1708</v>
      </c>
      <c r="S413" t="s">
        <v>374</v>
      </c>
      <c r="T413">
        <v>4280</v>
      </c>
      <c r="U413">
        <v>31</v>
      </c>
      <c r="V413">
        <v>640</v>
      </c>
      <c r="W413">
        <v>29.3</v>
      </c>
      <c r="X413">
        <v>487</v>
      </c>
      <c r="Y413">
        <v>74.2</v>
      </c>
      <c r="Z413">
        <v>461</v>
      </c>
      <c r="AA413">
        <v>61.5</v>
      </c>
      <c r="AB413">
        <v>623</v>
      </c>
      <c r="AC413">
        <v>51</v>
      </c>
      <c r="AD413">
        <v>771</v>
      </c>
      <c r="AE413" t="s">
        <v>208</v>
      </c>
      <c r="AF413">
        <v>0</v>
      </c>
      <c r="AG413" t="s">
        <v>1709</v>
      </c>
      <c r="AH413">
        <v>909</v>
      </c>
      <c r="AI413" t="s">
        <v>46</v>
      </c>
      <c r="AJ413" s="1">
        <v>35006</v>
      </c>
      <c r="AK413">
        <v>22.4</v>
      </c>
      <c r="AL413" s="2">
        <v>0.09</v>
      </c>
      <c r="AM413" s="3">
        <v>2.5277777777777777</v>
      </c>
      <c r="AN413" t="s">
        <v>1708</v>
      </c>
      <c r="AO413" t="s">
        <v>1710</v>
      </c>
      <c r="AP413" t="b">
        <v>0</v>
      </c>
      <c r="AQ413" t="b">
        <v>0</v>
      </c>
      <c r="AR413" t="b">
        <v>0</v>
      </c>
    </row>
    <row r="414" spans="1:45" x14ac:dyDescent="0.3">
      <c r="A414">
        <v>574</v>
      </c>
      <c r="B414" t="s">
        <v>1711</v>
      </c>
      <c r="C414" t="s">
        <v>1712</v>
      </c>
      <c r="D414" t="s">
        <v>1678</v>
      </c>
      <c r="E414" t="s">
        <v>1679</v>
      </c>
      <c r="F414" t="s">
        <v>56</v>
      </c>
      <c r="G414">
        <v>17.899999999999999</v>
      </c>
      <c r="H414">
        <v>13.9</v>
      </c>
      <c r="I414">
        <v>34</v>
      </c>
      <c r="J414">
        <v>3.9</v>
      </c>
      <c r="K414">
        <v>10.6</v>
      </c>
      <c r="L414">
        <v>70</v>
      </c>
      <c r="M414">
        <v>76.7</v>
      </c>
      <c r="N414">
        <v>21.4</v>
      </c>
      <c r="O414">
        <v>39.5</v>
      </c>
      <c r="P414">
        <v>21.5</v>
      </c>
      <c r="Q414" t="s">
        <v>696</v>
      </c>
      <c r="R414" t="s">
        <v>1712</v>
      </c>
      <c r="S414" t="s">
        <v>697</v>
      </c>
      <c r="T414">
        <v>6400</v>
      </c>
      <c r="U414">
        <v>41.2</v>
      </c>
      <c r="V414">
        <v>275</v>
      </c>
      <c r="W414">
        <v>22.5</v>
      </c>
      <c r="X414">
        <v>706</v>
      </c>
      <c r="Y414">
        <v>40.700000000000003</v>
      </c>
      <c r="Z414">
        <v>1209</v>
      </c>
      <c r="AA414">
        <v>51.1</v>
      </c>
      <c r="AB414">
        <v>789</v>
      </c>
      <c r="AC414">
        <v>59.7</v>
      </c>
      <c r="AD414">
        <v>590</v>
      </c>
      <c r="AE414" t="s">
        <v>57</v>
      </c>
      <c r="AF414">
        <v>6</v>
      </c>
      <c r="AG414" t="s">
        <v>1713</v>
      </c>
      <c r="AH414">
        <v>986</v>
      </c>
      <c r="AI414" t="s">
        <v>1679</v>
      </c>
      <c r="AJ414" s="1">
        <v>19964</v>
      </c>
      <c r="AK414">
        <v>12</v>
      </c>
      <c r="AL414" s="2">
        <v>0.24</v>
      </c>
      <c r="AM414" s="3">
        <v>2.3638888888888889</v>
      </c>
      <c r="AN414" t="s">
        <v>1712</v>
      </c>
      <c r="AO414" t="s">
        <v>1714</v>
      </c>
      <c r="AP414" t="b">
        <v>0</v>
      </c>
      <c r="AQ414" t="b">
        <v>0</v>
      </c>
      <c r="AR414" t="b">
        <v>0</v>
      </c>
    </row>
    <row r="415" spans="1:45" x14ac:dyDescent="0.3">
      <c r="A415">
        <v>576</v>
      </c>
      <c r="B415">
        <v>509</v>
      </c>
      <c r="C415" t="s">
        <v>1715</v>
      </c>
      <c r="D415" t="s">
        <v>166</v>
      </c>
      <c r="E415" t="s">
        <v>167</v>
      </c>
      <c r="F415" t="s">
        <v>47</v>
      </c>
      <c r="G415">
        <v>17.5</v>
      </c>
      <c r="H415">
        <v>45.5</v>
      </c>
      <c r="I415">
        <v>56.7</v>
      </c>
      <c r="J415">
        <v>5.0999999999999996</v>
      </c>
      <c r="K415">
        <v>7.1</v>
      </c>
      <c r="L415">
        <v>19.600000000000001</v>
      </c>
      <c r="M415">
        <v>13.8</v>
      </c>
      <c r="N415">
        <v>16</v>
      </c>
      <c r="O415">
        <v>17.7</v>
      </c>
      <c r="P415">
        <v>21.4</v>
      </c>
      <c r="Q415" t="s">
        <v>679</v>
      </c>
      <c r="R415" t="s">
        <v>1715</v>
      </c>
      <c r="S415" t="s">
        <v>680</v>
      </c>
      <c r="T415">
        <v>9750</v>
      </c>
      <c r="U415">
        <v>27.2</v>
      </c>
      <c r="V415">
        <v>865</v>
      </c>
      <c r="W415">
        <v>30.6</v>
      </c>
      <c r="X415">
        <v>452</v>
      </c>
      <c r="Y415">
        <v>39.799999999999997</v>
      </c>
      <c r="Z415">
        <v>1225</v>
      </c>
      <c r="AA415">
        <v>73.3</v>
      </c>
      <c r="AB415">
        <v>362</v>
      </c>
      <c r="AC415">
        <v>45</v>
      </c>
      <c r="AD415">
        <v>960</v>
      </c>
      <c r="AE415" t="s">
        <v>57</v>
      </c>
      <c r="AF415">
        <v>0</v>
      </c>
      <c r="AG415" t="s">
        <v>1716</v>
      </c>
      <c r="AH415">
        <v>939</v>
      </c>
      <c r="AI415" t="s">
        <v>167</v>
      </c>
      <c r="AJ415" s="1">
        <v>9688</v>
      </c>
      <c r="AK415">
        <v>23.9</v>
      </c>
      <c r="AL415" s="2">
        <v>0.19</v>
      </c>
      <c r="AM415" s="3">
        <v>1.9951388888888888</v>
      </c>
      <c r="AN415" t="s">
        <v>1715</v>
      </c>
      <c r="AO415" t="s">
        <v>1717</v>
      </c>
      <c r="AP415" t="b">
        <v>0</v>
      </c>
      <c r="AQ415" t="b">
        <v>0</v>
      </c>
      <c r="AR415" t="b">
        <v>0</v>
      </c>
    </row>
    <row r="416" spans="1:45" x14ac:dyDescent="0.3">
      <c r="A416">
        <v>576</v>
      </c>
      <c r="B416" t="s">
        <v>1718</v>
      </c>
      <c r="C416" t="s">
        <v>1719</v>
      </c>
      <c r="D416" t="s">
        <v>87</v>
      </c>
      <c r="E416" t="s">
        <v>88</v>
      </c>
      <c r="F416" t="s">
        <v>47</v>
      </c>
      <c r="G416">
        <v>4.4000000000000004</v>
      </c>
      <c r="H416">
        <v>2.8</v>
      </c>
      <c r="I416">
        <v>2.9</v>
      </c>
      <c r="J416">
        <v>46.3</v>
      </c>
      <c r="K416">
        <v>81.099999999999994</v>
      </c>
      <c r="L416">
        <v>44.8</v>
      </c>
      <c r="M416">
        <v>44.2</v>
      </c>
      <c r="N416">
        <v>4.8</v>
      </c>
      <c r="O416">
        <v>48.2</v>
      </c>
      <c r="P416">
        <v>21.4</v>
      </c>
      <c r="Q416" t="s">
        <v>572</v>
      </c>
      <c r="R416" t="s">
        <v>1720</v>
      </c>
      <c r="S416" t="s">
        <v>574</v>
      </c>
      <c r="T416">
        <v>5870</v>
      </c>
      <c r="U416">
        <v>23.5</v>
      </c>
      <c r="V416">
        <v>1114</v>
      </c>
      <c r="W416">
        <v>27.7</v>
      </c>
      <c r="X416">
        <v>521</v>
      </c>
      <c r="Y416">
        <v>65.400000000000006</v>
      </c>
      <c r="Z416">
        <v>669</v>
      </c>
      <c r="AA416">
        <v>52.8</v>
      </c>
      <c r="AB416">
        <v>757</v>
      </c>
      <c r="AC416">
        <v>73.7</v>
      </c>
      <c r="AD416">
        <v>355</v>
      </c>
      <c r="AE416" t="s">
        <v>57</v>
      </c>
      <c r="AF416">
        <v>0</v>
      </c>
      <c r="AG416" t="s">
        <v>1721</v>
      </c>
      <c r="AH416">
        <v>131754</v>
      </c>
      <c r="AI416" t="s">
        <v>88</v>
      </c>
      <c r="AJ416" s="1">
        <v>10381</v>
      </c>
      <c r="AK416">
        <v>48.7</v>
      </c>
      <c r="AL416" s="2">
        <v>0.23</v>
      </c>
      <c r="AM416" s="3">
        <v>2.7736111111111112</v>
      </c>
      <c r="AN416" t="s">
        <v>1720</v>
      </c>
      <c r="AO416" t="s">
        <v>1722</v>
      </c>
      <c r="AP416" t="b">
        <v>0</v>
      </c>
      <c r="AQ416" t="b">
        <v>0</v>
      </c>
      <c r="AR416" t="b">
        <v>0</v>
      </c>
      <c r="AS416" t="s">
        <v>1723</v>
      </c>
    </row>
    <row r="417" spans="1:45" x14ac:dyDescent="0.3">
      <c r="A417">
        <v>580</v>
      </c>
      <c r="B417" t="s">
        <v>1668</v>
      </c>
      <c r="C417" t="s">
        <v>1724</v>
      </c>
      <c r="D417" t="s">
        <v>758</v>
      </c>
      <c r="E417" t="s">
        <v>759</v>
      </c>
      <c r="F417" t="s">
        <v>47</v>
      </c>
      <c r="G417">
        <v>31</v>
      </c>
      <c r="H417">
        <v>14.4</v>
      </c>
      <c r="I417">
        <v>10</v>
      </c>
      <c r="J417">
        <v>28.9</v>
      </c>
      <c r="L417">
        <v>1.3</v>
      </c>
      <c r="M417">
        <v>47.4</v>
      </c>
      <c r="N417">
        <v>14.7</v>
      </c>
      <c r="O417">
        <v>19.7</v>
      </c>
      <c r="P417">
        <v>21.3</v>
      </c>
      <c r="Q417" t="s">
        <v>696</v>
      </c>
      <c r="R417" t="s">
        <v>1724</v>
      </c>
      <c r="S417" t="s">
        <v>697</v>
      </c>
      <c r="T417">
        <v>6800</v>
      </c>
      <c r="U417">
        <v>41.9</v>
      </c>
      <c r="V417">
        <v>264</v>
      </c>
      <c r="W417">
        <v>24.3</v>
      </c>
      <c r="X417">
        <v>638</v>
      </c>
      <c r="Y417">
        <v>51.8</v>
      </c>
      <c r="Z417">
        <v>971</v>
      </c>
      <c r="AA417">
        <v>33.9</v>
      </c>
      <c r="AB417">
        <v>1112</v>
      </c>
      <c r="AC417">
        <v>23.7</v>
      </c>
      <c r="AD417">
        <v>1752</v>
      </c>
      <c r="AE417" t="s">
        <v>57</v>
      </c>
      <c r="AF417">
        <v>0</v>
      </c>
      <c r="AG417" t="s">
        <v>1725</v>
      </c>
      <c r="AH417">
        <v>985</v>
      </c>
      <c r="AI417" t="s">
        <v>759</v>
      </c>
      <c r="AJ417" s="1">
        <v>9737</v>
      </c>
      <c r="AK417">
        <v>16.100000000000001</v>
      </c>
      <c r="AL417" s="2">
        <v>0.01</v>
      </c>
      <c r="AM417" s="3">
        <v>1.9131944444444444</v>
      </c>
      <c r="AN417" t="s">
        <v>1724</v>
      </c>
      <c r="AO417" t="s">
        <v>1726</v>
      </c>
      <c r="AP417" t="b">
        <v>0</v>
      </c>
      <c r="AQ417" t="b">
        <v>0</v>
      </c>
      <c r="AR417" t="b">
        <v>0</v>
      </c>
    </row>
    <row r="418" spans="1:45" x14ac:dyDescent="0.3">
      <c r="A418">
        <v>587</v>
      </c>
      <c r="B418">
        <v>567</v>
      </c>
      <c r="C418" t="s">
        <v>1727</v>
      </c>
      <c r="D418" t="s">
        <v>87</v>
      </c>
      <c r="E418" t="s">
        <v>88</v>
      </c>
      <c r="F418" t="s">
        <v>388</v>
      </c>
      <c r="G418">
        <v>4.3</v>
      </c>
      <c r="H418">
        <v>4.5999999999999996</v>
      </c>
      <c r="I418">
        <v>47.8</v>
      </c>
      <c r="J418">
        <v>28.8</v>
      </c>
      <c r="K418">
        <v>70.400000000000006</v>
      </c>
      <c r="L418">
        <v>86.6</v>
      </c>
      <c r="M418">
        <v>26.5</v>
      </c>
      <c r="N418">
        <v>8.4</v>
      </c>
      <c r="O418">
        <v>1</v>
      </c>
      <c r="P418">
        <v>21.1</v>
      </c>
      <c r="Q418" t="s">
        <v>372</v>
      </c>
      <c r="R418" t="s">
        <v>1727</v>
      </c>
      <c r="S418" t="s">
        <v>374</v>
      </c>
      <c r="T418">
        <v>4070</v>
      </c>
      <c r="U418">
        <v>28.2</v>
      </c>
      <c r="V418">
        <v>795</v>
      </c>
      <c r="W418">
        <v>23.1</v>
      </c>
      <c r="X418">
        <v>681</v>
      </c>
      <c r="Y418">
        <v>82.5</v>
      </c>
      <c r="Z418">
        <v>271</v>
      </c>
      <c r="AA418">
        <v>23.1</v>
      </c>
      <c r="AB418">
        <v>1397</v>
      </c>
      <c r="AC418">
        <v>82.3</v>
      </c>
      <c r="AD418">
        <v>217</v>
      </c>
      <c r="AE418" t="s">
        <v>57</v>
      </c>
      <c r="AF418">
        <v>0</v>
      </c>
      <c r="AG418" t="s">
        <v>1728</v>
      </c>
      <c r="AH418">
        <v>131609</v>
      </c>
      <c r="AI418" t="s">
        <v>88</v>
      </c>
      <c r="AJ418" s="1">
        <v>3170</v>
      </c>
      <c r="AK418">
        <v>11.2</v>
      </c>
      <c r="AL418" s="2">
        <v>0.34</v>
      </c>
      <c r="AM418" s="3">
        <v>2.2819444444444446</v>
      </c>
      <c r="AN418" t="s">
        <v>1727</v>
      </c>
      <c r="AO418" t="s">
        <v>1729</v>
      </c>
      <c r="AP418" t="b">
        <v>0</v>
      </c>
      <c r="AQ418" t="b">
        <v>0</v>
      </c>
      <c r="AR418" t="b">
        <v>0</v>
      </c>
      <c r="AS418" t="s">
        <v>1730</v>
      </c>
    </row>
    <row r="419" spans="1:45" x14ac:dyDescent="0.3">
      <c r="A419">
        <v>587</v>
      </c>
      <c r="B419" t="s">
        <v>1731</v>
      </c>
      <c r="C419" t="s">
        <v>1732</v>
      </c>
      <c r="D419" t="s">
        <v>758</v>
      </c>
      <c r="E419" t="s">
        <v>759</v>
      </c>
      <c r="F419" t="s">
        <v>388</v>
      </c>
      <c r="G419">
        <v>10</v>
      </c>
      <c r="H419">
        <v>14.9</v>
      </c>
      <c r="I419">
        <v>8.1</v>
      </c>
      <c r="J419">
        <v>55.9</v>
      </c>
      <c r="K419">
        <v>33.299999999999997</v>
      </c>
      <c r="L419">
        <v>1.7</v>
      </c>
      <c r="M419">
        <v>44.8</v>
      </c>
      <c r="N419">
        <v>2</v>
      </c>
      <c r="O419">
        <v>16.3</v>
      </c>
      <c r="P419">
        <v>21.1</v>
      </c>
      <c r="Q419" t="s">
        <v>572</v>
      </c>
      <c r="R419" t="s">
        <v>1732</v>
      </c>
      <c r="S419" t="s">
        <v>574</v>
      </c>
      <c r="T419">
        <v>5840</v>
      </c>
      <c r="U419">
        <v>27.6</v>
      </c>
      <c r="V419">
        <v>836</v>
      </c>
      <c r="W419">
        <v>17.899999999999999</v>
      </c>
      <c r="X419">
        <v>926</v>
      </c>
      <c r="Y419">
        <v>85.2</v>
      </c>
      <c r="Z419">
        <v>207</v>
      </c>
      <c r="AA419">
        <v>17.7</v>
      </c>
      <c r="AB419">
        <v>1689</v>
      </c>
      <c r="AC419">
        <v>70</v>
      </c>
      <c r="AD419">
        <v>407</v>
      </c>
      <c r="AE419" t="s">
        <v>57</v>
      </c>
      <c r="AF419">
        <v>0</v>
      </c>
      <c r="AG419" t="s">
        <v>1733</v>
      </c>
      <c r="AH419">
        <v>589259</v>
      </c>
      <c r="AI419" t="s">
        <v>759</v>
      </c>
      <c r="AJ419" s="1">
        <v>3251</v>
      </c>
      <c r="AK419">
        <v>15.3</v>
      </c>
      <c r="AL419" s="2">
        <v>0.01</v>
      </c>
      <c r="AM419" s="3">
        <v>1.9951388888888888</v>
      </c>
      <c r="AN419" t="s">
        <v>1734</v>
      </c>
      <c r="AO419" t="s">
        <v>1735</v>
      </c>
      <c r="AP419" t="b">
        <v>0</v>
      </c>
      <c r="AQ419" t="b">
        <v>0</v>
      </c>
      <c r="AR419" t="b">
        <v>0</v>
      </c>
    </row>
    <row r="420" spans="1:45" x14ac:dyDescent="0.3">
      <c r="A420">
        <v>587</v>
      </c>
      <c r="B420">
        <v>514</v>
      </c>
      <c r="C420" t="s">
        <v>1736</v>
      </c>
      <c r="D420" t="s">
        <v>45</v>
      </c>
      <c r="E420" t="s">
        <v>46</v>
      </c>
      <c r="F420" t="s">
        <v>77</v>
      </c>
      <c r="G420">
        <v>20.6</v>
      </c>
      <c r="H420">
        <v>18.600000000000001</v>
      </c>
      <c r="I420">
        <v>9.8000000000000007</v>
      </c>
      <c r="J420">
        <v>24.4</v>
      </c>
      <c r="K420">
        <v>6.7</v>
      </c>
      <c r="L420">
        <v>4.5</v>
      </c>
      <c r="M420">
        <v>83.7</v>
      </c>
      <c r="N420">
        <v>21.5</v>
      </c>
      <c r="O420">
        <v>30.7</v>
      </c>
      <c r="P420">
        <v>21.1</v>
      </c>
      <c r="Q420" t="s">
        <v>659</v>
      </c>
      <c r="R420" t="s">
        <v>1737</v>
      </c>
      <c r="S420" t="s">
        <v>660</v>
      </c>
      <c r="T420">
        <v>3680</v>
      </c>
      <c r="U420">
        <v>41.2</v>
      </c>
      <c r="V420">
        <v>276</v>
      </c>
      <c r="W420">
        <v>40.5</v>
      </c>
      <c r="X420">
        <v>243</v>
      </c>
      <c r="Y420">
        <v>68.2</v>
      </c>
      <c r="Z420">
        <v>598</v>
      </c>
      <c r="AA420">
        <v>69.8</v>
      </c>
      <c r="AB420">
        <v>435</v>
      </c>
      <c r="AC420">
        <v>43.9</v>
      </c>
      <c r="AD420">
        <v>991</v>
      </c>
      <c r="AE420" t="s">
        <v>208</v>
      </c>
      <c r="AF420">
        <v>0</v>
      </c>
      <c r="AG420" t="s">
        <v>1738</v>
      </c>
      <c r="AH420">
        <v>675</v>
      </c>
      <c r="AI420" t="s">
        <v>46</v>
      </c>
      <c r="AJ420" s="1">
        <v>37565</v>
      </c>
      <c r="AK420">
        <v>15.7</v>
      </c>
      <c r="AL420" s="2">
        <v>0.06</v>
      </c>
      <c r="AM420" s="3">
        <v>2.4458333333333333</v>
      </c>
      <c r="AN420" t="s">
        <v>1737</v>
      </c>
      <c r="AO420" t="s">
        <v>1739</v>
      </c>
      <c r="AP420" t="b">
        <v>0</v>
      </c>
      <c r="AQ420" t="b">
        <v>0</v>
      </c>
      <c r="AR420" t="b">
        <v>0</v>
      </c>
      <c r="AS420" t="s">
        <v>1740</v>
      </c>
    </row>
    <row r="421" spans="1:45" x14ac:dyDescent="0.3">
      <c r="A421">
        <v>587</v>
      </c>
      <c r="B421" t="s">
        <v>1442</v>
      </c>
      <c r="C421" t="s">
        <v>1741</v>
      </c>
      <c r="D421" t="s">
        <v>649</v>
      </c>
      <c r="E421" t="s">
        <v>650</v>
      </c>
      <c r="F421" t="s">
        <v>77</v>
      </c>
      <c r="G421">
        <v>12.6</v>
      </c>
      <c r="H421">
        <v>10.199999999999999</v>
      </c>
      <c r="I421">
        <v>5.5</v>
      </c>
      <c r="J421">
        <v>24.5</v>
      </c>
      <c r="K421">
        <v>24.5</v>
      </c>
      <c r="L421">
        <v>1.6</v>
      </c>
      <c r="M421">
        <v>93.7</v>
      </c>
      <c r="N421">
        <v>71.2</v>
      </c>
      <c r="O421">
        <v>37.9</v>
      </c>
      <c r="P421">
        <v>21.1</v>
      </c>
      <c r="Q421" t="s">
        <v>572</v>
      </c>
      <c r="R421" t="s">
        <v>1742</v>
      </c>
      <c r="S421" t="s">
        <v>574</v>
      </c>
      <c r="T421">
        <v>5500</v>
      </c>
      <c r="U421">
        <v>31.5</v>
      </c>
      <c r="V421">
        <v>614</v>
      </c>
      <c r="W421">
        <v>34.799999999999997</v>
      </c>
      <c r="X421">
        <v>354</v>
      </c>
      <c r="Y421">
        <v>63.7</v>
      </c>
      <c r="Z421">
        <v>698</v>
      </c>
      <c r="AA421">
        <v>39.700000000000003</v>
      </c>
      <c r="AB421">
        <v>985</v>
      </c>
      <c r="AC421">
        <v>55.9</v>
      </c>
      <c r="AD421">
        <v>662</v>
      </c>
      <c r="AE421" t="s">
        <v>57</v>
      </c>
      <c r="AF421">
        <v>11</v>
      </c>
      <c r="AG421" t="s">
        <v>1743</v>
      </c>
      <c r="AH421">
        <v>902</v>
      </c>
      <c r="AI421" t="s">
        <v>650</v>
      </c>
      <c r="AJ421" s="1">
        <v>33039</v>
      </c>
      <c r="AK421">
        <v>27.6</v>
      </c>
      <c r="AL421" s="2">
        <v>0.02</v>
      </c>
      <c r="AM421" s="3">
        <v>2.5277777777777777</v>
      </c>
      <c r="AN421" t="s">
        <v>1744</v>
      </c>
      <c r="AO421" t="s">
        <v>1745</v>
      </c>
      <c r="AP421" t="b">
        <v>0</v>
      </c>
      <c r="AQ421" t="b">
        <v>0</v>
      </c>
      <c r="AR421" t="b">
        <v>0</v>
      </c>
    </row>
    <row r="422" spans="1:45" x14ac:dyDescent="0.3">
      <c r="A422">
        <v>592</v>
      </c>
      <c r="B422" t="s">
        <v>1746</v>
      </c>
      <c r="C422" t="s">
        <v>1747</v>
      </c>
      <c r="D422" t="s">
        <v>1159</v>
      </c>
      <c r="E422" t="s">
        <v>1160</v>
      </c>
      <c r="F422" t="s">
        <v>77</v>
      </c>
      <c r="G422">
        <v>24</v>
      </c>
      <c r="H422">
        <v>32.200000000000003</v>
      </c>
      <c r="I422">
        <v>11.3</v>
      </c>
      <c r="J422">
        <v>1.9</v>
      </c>
      <c r="K422">
        <v>23.1</v>
      </c>
      <c r="L422">
        <v>7.5</v>
      </c>
      <c r="M422">
        <v>74.2</v>
      </c>
      <c r="N422">
        <v>56.3</v>
      </c>
      <c r="O422">
        <v>9.8000000000000007</v>
      </c>
      <c r="P422">
        <v>21</v>
      </c>
      <c r="Q422" t="s">
        <v>733</v>
      </c>
      <c r="R422" t="s">
        <v>1748</v>
      </c>
      <c r="S422" t="s">
        <v>735</v>
      </c>
      <c r="T422">
        <v>10060</v>
      </c>
      <c r="U422">
        <v>27.9</v>
      </c>
      <c r="V422">
        <v>808</v>
      </c>
      <c r="W422">
        <v>15.3</v>
      </c>
      <c r="X422">
        <v>1090</v>
      </c>
      <c r="Y422">
        <v>45.8</v>
      </c>
      <c r="Z422">
        <v>1101</v>
      </c>
      <c r="AA422">
        <v>48</v>
      </c>
      <c r="AB422">
        <v>843</v>
      </c>
      <c r="AC422">
        <v>51.8</v>
      </c>
      <c r="AD422">
        <v>744</v>
      </c>
      <c r="AE422" t="s">
        <v>57</v>
      </c>
      <c r="AF422">
        <v>0</v>
      </c>
      <c r="AG422" t="s">
        <v>1749</v>
      </c>
      <c r="AH422">
        <v>131494</v>
      </c>
      <c r="AI422" t="s">
        <v>1160</v>
      </c>
      <c r="AJ422" s="1">
        <v>152995</v>
      </c>
      <c r="AK422">
        <v>13.3</v>
      </c>
      <c r="AL422" s="2">
        <v>0.06</v>
      </c>
      <c r="AM422" s="3">
        <v>2.2000000000000002</v>
      </c>
      <c r="AN422" t="s">
        <v>1748</v>
      </c>
      <c r="AO422" t="s">
        <v>1750</v>
      </c>
      <c r="AP422" t="b">
        <v>0</v>
      </c>
      <c r="AQ422" t="b">
        <v>0</v>
      </c>
      <c r="AR422" t="b">
        <v>0</v>
      </c>
    </row>
    <row r="423" spans="1:45" x14ac:dyDescent="0.3">
      <c r="A423">
        <v>592</v>
      </c>
      <c r="B423">
        <v>595</v>
      </c>
      <c r="C423" t="s">
        <v>1751</v>
      </c>
      <c r="D423" t="s">
        <v>54</v>
      </c>
      <c r="E423" t="s">
        <v>55</v>
      </c>
      <c r="F423" t="s">
        <v>77</v>
      </c>
      <c r="G423">
        <v>10.6</v>
      </c>
      <c r="H423">
        <v>15.1</v>
      </c>
      <c r="I423">
        <v>10.6</v>
      </c>
      <c r="J423">
        <v>5.0999999999999996</v>
      </c>
      <c r="K423">
        <v>57.1</v>
      </c>
      <c r="L423">
        <v>74</v>
      </c>
      <c r="M423">
        <v>84.6</v>
      </c>
      <c r="N423">
        <v>12</v>
      </c>
      <c r="O423">
        <v>64.099999999999994</v>
      </c>
      <c r="P423">
        <v>21</v>
      </c>
      <c r="Q423" t="s">
        <v>572</v>
      </c>
      <c r="R423" t="s">
        <v>1751</v>
      </c>
      <c r="S423" t="s">
        <v>574</v>
      </c>
      <c r="T423">
        <v>5720</v>
      </c>
      <c r="U423">
        <v>20.7</v>
      </c>
      <c r="V423">
        <v>1322</v>
      </c>
      <c r="W423">
        <v>14.3</v>
      </c>
      <c r="X423">
        <v>1179</v>
      </c>
      <c r="Y423">
        <v>84.6</v>
      </c>
      <c r="Z423">
        <v>221</v>
      </c>
      <c r="AA423">
        <v>37.299999999999997</v>
      </c>
      <c r="AB423">
        <v>1035</v>
      </c>
      <c r="AC423">
        <v>88.5</v>
      </c>
      <c r="AD423">
        <v>143</v>
      </c>
      <c r="AE423" t="s">
        <v>57</v>
      </c>
      <c r="AF423">
        <v>0</v>
      </c>
      <c r="AG423" t="s">
        <v>1752</v>
      </c>
      <c r="AH423">
        <v>131450</v>
      </c>
      <c r="AI423" t="s">
        <v>55</v>
      </c>
      <c r="AJ423" s="1">
        <v>32545</v>
      </c>
      <c r="AK423">
        <v>15.4</v>
      </c>
      <c r="AL423" s="2">
        <v>0.21</v>
      </c>
      <c r="AM423" s="3">
        <v>2.3229166666666665</v>
      </c>
      <c r="AN423" t="s">
        <v>1751</v>
      </c>
      <c r="AO423" t="s">
        <v>1753</v>
      </c>
      <c r="AP423" t="b">
        <v>0</v>
      </c>
      <c r="AQ423" t="b">
        <v>0</v>
      </c>
      <c r="AR423" t="b">
        <v>0</v>
      </c>
      <c r="AS423" t="s">
        <v>1754</v>
      </c>
    </row>
    <row r="424" spans="1:45" x14ac:dyDescent="0.3">
      <c r="A424">
        <v>595</v>
      </c>
      <c r="B424">
        <v>542</v>
      </c>
      <c r="C424" t="s">
        <v>1755</v>
      </c>
      <c r="D424" t="s">
        <v>378</v>
      </c>
      <c r="E424" t="s">
        <v>379</v>
      </c>
      <c r="F424" t="s">
        <v>47</v>
      </c>
      <c r="G424">
        <v>10.5</v>
      </c>
      <c r="H424">
        <v>13</v>
      </c>
      <c r="I424">
        <v>95.5</v>
      </c>
      <c r="J424">
        <v>5.4</v>
      </c>
      <c r="K424">
        <v>20.3</v>
      </c>
      <c r="L424">
        <v>36.200000000000003</v>
      </c>
      <c r="M424">
        <v>65.3</v>
      </c>
      <c r="N424">
        <v>1.9</v>
      </c>
      <c r="O424">
        <v>1.2</v>
      </c>
      <c r="P424">
        <v>20.9</v>
      </c>
      <c r="Q424" t="s">
        <v>696</v>
      </c>
      <c r="R424" t="s">
        <v>1755</v>
      </c>
      <c r="S424" t="s">
        <v>697</v>
      </c>
      <c r="T424">
        <v>6770</v>
      </c>
      <c r="U424">
        <v>34</v>
      </c>
      <c r="V424">
        <v>493</v>
      </c>
      <c r="W424">
        <v>34.9</v>
      </c>
      <c r="X424">
        <v>351</v>
      </c>
      <c r="Y424">
        <v>40</v>
      </c>
      <c r="Z424">
        <v>1221</v>
      </c>
      <c r="AA424">
        <v>69</v>
      </c>
      <c r="AB424">
        <v>454</v>
      </c>
      <c r="AC424">
        <v>67.099999999999994</v>
      </c>
      <c r="AD424">
        <v>443</v>
      </c>
      <c r="AE424" t="s">
        <v>57</v>
      </c>
      <c r="AF424">
        <v>0</v>
      </c>
      <c r="AG424" t="s">
        <v>1756</v>
      </c>
      <c r="AH424">
        <v>131805</v>
      </c>
      <c r="AI424" t="s">
        <v>381</v>
      </c>
      <c r="AJ424" s="1">
        <v>10902</v>
      </c>
      <c r="AK424">
        <v>14.6</v>
      </c>
      <c r="AL424" s="2">
        <v>0.18</v>
      </c>
      <c r="AM424" t="s">
        <v>318</v>
      </c>
      <c r="AN424" t="s">
        <v>1755</v>
      </c>
      <c r="AO424" t="s">
        <v>1757</v>
      </c>
      <c r="AP424" t="b">
        <v>0</v>
      </c>
      <c r="AQ424" t="b">
        <v>0</v>
      </c>
      <c r="AR424" t="b">
        <v>1</v>
      </c>
    </row>
    <row r="425" spans="1:45" x14ac:dyDescent="0.3">
      <c r="A425">
        <v>596</v>
      </c>
      <c r="B425">
        <v>600</v>
      </c>
      <c r="C425" t="s">
        <v>1758</v>
      </c>
      <c r="D425" t="s">
        <v>796</v>
      </c>
      <c r="E425" t="s">
        <v>797</v>
      </c>
      <c r="F425" t="s">
        <v>56</v>
      </c>
      <c r="G425">
        <v>24.6</v>
      </c>
      <c r="H425">
        <v>19.399999999999999</v>
      </c>
      <c r="I425">
        <v>26.6</v>
      </c>
      <c r="J425">
        <v>2.1</v>
      </c>
      <c r="K425">
        <v>9.1</v>
      </c>
      <c r="L425">
        <v>1.7</v>
      </c>
      <c r="M425">
        <v>41</v>
      </c>
      <c r="N425">
        <v>84.6</v>
      </c>
      <c r="O425">
        <v>33.6</v>
      </c>
      <c r="P425">
        <v>20.8</v>
      </c>
      <c r="Q425" t="s">
        <v>621</v>
      </c>
      <c r="R425" t="s">
        <v>1758</v>
      </c>
      <c r="S425" t="s">
        <v>622</v>
      </c>
      <c r="T425">
        <v>14590</v>
      </c>
      <c r="U425">
        <v>26.3</v>
      </c>
      <c r="V425">
        <v>926</v>
      </c>
      <c r="W425">
        <v>19.100000000000001</v>
      </c>
      <c r="X425">
        <v>860</v>
      </c>
      <c r="Y425">
        <v>25.7</v>
      </c>
      <c r="Z425">
        <v>1548</v>
      </c>
      <c r="AA425">
        <v>30.1</v>
      </c>
      <c r="AB425">
        <v>1179</v>
      </c>
      <c r="AC425">
        <v>38.1</v>
      </c>
      <c r="AD425">
        <v>1190</v>
      </c>
      <c r="AE425" t="s">
        <v>57</v>
      </c>
      <c r="AF425">
        <v>1</v>
      </c>
      <c r="AG425" t="s">
        <v>1759</v>
      </c>
      <c r="AH425">
        <v>622998</v>
      </c>
      <c r="AI425" t="s">
        <v>797</v>
      </c>
      <c r="AJ425" s="1">
        <v>30488</v>
      </c>
      <c r="AK425">
        <v>11.4</v>
      </c>
      <c r="AL425" s="2">
        <v>0.01</v>
      </c>
      <c r="AM425" s="3">
        <v>2.6916666666666669</v>
      </c>
      <c r="AN425" t="s">
        <v>1758</v>
      </c>
      <c r="AO425" t="s">
        <v>1760</v>
      </c>
      <c r="AP425" t="b">
        <v>0</v>
      </c>
      <c r="AQ425" t="b">
        <v>0</v>
      </c>
      <c r="AR425" t="b">
        <v>0</v>
      </c>
    </row>
    <row r="426" spans="1:45" x14ac:dyDescent="0.3">
      <c r="A426">
        <v>596</v>
      </c>
      <c r="B426" t="s">
        <v>1761</v>
      </c>
      <c r="C426" t="s">
        <v>1762</v>
      </c>
      <c r="D426" t="s">
        <v>878</v>
      </c>
      <c r="E426" t="s">
        <v>879</v>
      </c>
      <c r="F426" t="s">
        <v>77</v>
      </c>
      <c r="G426">
        <v>19</v>
      </c>
      <c r="H426">
        <v>41.6</v>
      </c>
      <c r="I426">
        <v>41.4</v>
      </c>
      <c r="J426">
        <v>1.4</v>
      </c>
      <c r="K426">
        <v>34.799999999999997</v>
      </c>
      <c r="L426">
        <v>2.2000000000000002</v>
      </c>
      <c r="M426">
        <v>19.600000000000001</v>
      </c>
      <c r="N426">
        <v>33.4</v>
      </c>
      <c r="O426">
        <v>21.3</v>
      </c>
      <c r="P426">
        <v>20.8</v>
      </c>
      <c r="Q426" t="s">
        <v>1068</v>
      </c>
      <c r="R426" t="s">
        <v>1762</v>
      </c>
      <c r="S426" t="s">
        <v>1070</v>
      </c>
      <c r="T426">
        <v>17840</v>
      </c>
      <c r="U426">
        <v>28.5</v>
      </c>
      <c r="V426">
        <v>776</v>
      </c>
      <c r="W426">
        <v>12.2</v>
      </c>
      <c r="X426">
        <v>1390</v>
      </c>
      <c r="Y426">
        <v>19.2</v>
      </c>
      <c r="Z426">
        <v>1698</v>
      </c>
      <c r="AA426">
        <v>23.6</v>
      </c>
      <c r="AB426">
        <v>1378</v>
      </c>
      <c r="AC426">
        <v>34.299999999999997</v>
      </c>
      <c r="AD426">
        <v>1346</v>
      </c>
      <c r="AE426" t="s">
        <v>57</v>
      </c>
      <c r="AF426">
        <v>0</v>
      </c>
      <c r="AG426" t="s">
        <v>1763</v>
      </c>
      <c r="AH426">
        <v>624537</v>
      </c>
      <c r="AI426" t="s">
        <v>879</v>
      </c>
      <c r="AJ426" s="1">
        <v>35498</v>
      </c>
      <c r="AK426">
        <v>11.3</v>
      </c>
      <c r="AL426" s="2">
        <v>0.01</v>
      </c>
      <c r="AM426" s="3">
        <v>2.4868055555555557</v>
      </c>
      <c r="AN426" t="s">
        <v>1762</v>
      </c>
      <c r="AO426" t="s">
        <v>1764</v>
      </c>
      <c r="AP426" t="b">
        <v>0</v>
      </c>
      <c r="AQ426" t="b">
        <v>0</v>
      </c>
      <c r="AR426" t="b">
        <v>0</v>
      </c>
    </row>
    <row r="427" spans="1:45" x14ac:dyDescent="0.3">
      <c r="A427">
        <v>596</v>
      </c>
      <c r="B427">
        <v>491</v>
      </c>
      <c r="C427" t="s">
        <v>1765</v>
      </c>
      <c r="D427" t="s">
        <v>45</v>
      </c>
      <c r="E427" t="s">
        <v>46</v>
      </c>
      <c r="F427" t="s">
        <v>56</v>
      </c>
      <c r="G427">
        <v>18.399999999999999</v>
      </c>
      <c r="H427">
        <v>8.6999999999999993</v>
      </c>
      <c r="I427">
        <v>41.7</v>
      </c>
      <c r="J427">
        <v>19.100000000000001</v>
      </c>
      <c r="K427">
        <v>15.5</v>
      </c>
      <c r="L427">
        <v>3.7</v>
      </c>
      <c r="M427">
        <v>75.599999999999994</v>
      </c>
      <c r="N427">
        <v>26.6</v>
      </c>
      <c r="O427">
        <v>20.8</v>
      </c>
      <c r="P427">
        <v>20.8</v>
      </c>
      <c r="Q427" t="s">
        <v>292</v>
      </c>
      <c r="R427" t="s">
        <v>1765</v>
      </c>
      <c r="S427" t="s">
        <v>293</v>
      </c>
      <c r="T427">
        <v>2170</v>
      </c>
      <c r="U427">
        <v>46.1</v>
      </c>
      <c r="V427">
        <v>186</v>
      </c>
      <c r="W427">
        <v>37</v>
      </c>
      <c r="X427">
        <v>305</v>
      </c>
      <c r="Y427">
        <v>79.900000000000006</v>
      </c>
      <c r="Z427">
        <v>324</v>
      </c>
      <c r="AA427">
        <v>88.6</v>
      </c>
      <c r="AB427">
        <v>177</v>
      </c>
      <c r="AC427">
        <v>55.8</v>
      </c>
      <c r="AD427">
        <v>664</v>
      </c>
      <c r="AE427" t="s">
        <v>208</v>
      </c>
      <c r="AF427">
        <v>0</v>
      </c>
      <c r="AG427" t="s">
        <v>1766</v>
      </c>
      <c r="AH427">
        <v>606</v>
      </c>
      <c r="AI427" t="s">
        <v>46</v>
      </c>
      <c r="AJ427" s="1">
        <v>28583</v>
      </c>
      <c r="AK427">
        <v>10.9</v>
      </c>
      <c r="AL427" s="2">
        <v>0.06</v>
      </c>
      <c r="AM427" s="3">
        <v>2.3229166666666665</v>
      </c>
      <c r="AN427" t="s">
        <v>1765</v>
      </c>
      <c r="AO427" t="s">
        <v>1767</v>
      </c>
      <c r="AP427" t="b">
        <v>0</v>
      </c>
      <c r="AQ427" t="b">
        <v>0</v>
      </c>
      <c r="AR427" t="b">
        <v>0</v>
      </c>
      <c r="AS427" t="s">
        <v>1768</v>
      </c>
    </row>
    <row r="428" spans="1:45" x14ac:dyDescent="0.3">
      <c r="A428">
        <v>596</v>
      </c>
      <c r="B428" t="s">
        <v>1442</v>
      </c>
      <c r="C428" t="s">
        <v>1769</v>
      </c>
      <c r="D428" t="s">
        <v>1770</v>
      </c>
      <c r="E428" t="s">
        <v>1771</v>
      </c>
      <c r="F428" t="s">
        <v>77</v>
      </c>
      <c r="G428">
        <v>19.899999999999999</v>
      </c>
      <c r="H428">
        <v>9.1999999999999993</v>
      </c>
      <c r="I428">
        <v>33.299999999999997</v>
      </c>
      <c r="J428">
        <v>5.9</v>
      </c>
      <c r="K428">
        <v>4.2</v>
      </c>
      <c r="L428">
        <v>9.6999999999999993</v>
      </c>
      <c r="M428">
        <v>84.8</v>
      </c>
      <c r="N428">
        <v>97.6</v>
      </c>
      <c r="O428">
        <v>4.9000000000000004</v>
      </c>
      <c r="P428">
        <v>20.8</v>
      </c>
      <c r="Q428" t="s">
        <v>679</v>
      </c>
      <c r="R428" t="s">
        <v>1769</v>
      </c>
      <c r="S428" t="s">
        <v>680</v>
      </c>
      <c r="T428">
        <v>9130</v>
      </c>
      <c r="U428">
        <v>24.5</v>
      </c>
      <c r="V428">
        <v>1044</v>
      </c>
      <c r="W428">
        <v>20.100000000000001</v>
      </c>
      <c r="X428">
        <v>805</v>
      </c>
      <c r="Y428">
        <v>54.6</v>
      </c>
      <c r="Z428">
        <v>894</v>
      </c>
      <c r="AA428">
        <v>69.8</v>
      </c>
      <c r="AB428">
        <v>436</v>
      </c>
      <c r="AC428">
        <v>42.4</v>
      </c>
      <c r="AD428">
        <v>1034</v>
      </c>
      <c r="AE428" t="s">
        <v>57</v>
      </c>
      <c r="AF428">
        <v>0</v>
      </c>
      <c r="AG428" t="s">
        <v>1772</v>
      </c>
      <c r="AH428">
        <v>131432</v>
      </c>
      <c r="AI428" t="s">
        <v>1771</v>
      </c>
      <c r="AJ428" s="1">
        <v>40607</v>
      </c>
      <c r="AK428">
        <v>13.8</v>
      </c>
      <c r="AL428" s="2">
        <v>0.09</v>
      </c>
      <c r="AM428" s="3">
        <v>2.5277777777777777</v>
      </c>
      <c r="AN428" t="s">
        <v>1769</v>
      </c>
      <c r="AO428" t="s">
        <v>1773</v>
      </c>
      <c r="AP428" t="b">
        <v>0</v>
      </c>
      <c r="AQ428" t="b">
        <v>0</v>
      </c>
      <c r="AR428" t="b">
        <v>0</v>
      </c>
    </row>
    <row r="429" spans="1:45" x14ac:dyDescent="0.3">
      <c r="A429">
        <v>596</v>
      </c>
      <c r="B429">
        <v>520</v>
      </c>
      <c r="C429" t="s">
        <v>1774</v>
      </c>
      <c r="D429" t="s">
        <v>45</v>
      </c>
      <c r="E429" t="s">
        <v>46</v>
      </c>
      <c r="F429" t="s">
        <v>56</v>
      </c>
      <c r="G429">
        <v>13.1</v>
      </c>
      <c r="H429">
        <v>15.9</v>
      </c>
      <c r="I429">
        <v>3.4</v>
      </c>
      <c r="J429">
        <v>43.3</v>
      </c>
      <c r="K429">
        <v>9.6999999999999993</v>
      </c>
      <c r="L429">
        <v>47.4</v>
      </c>
      <c r="M429">
        <v>60.4</v>
      </c>
      <c r="N429">
        <v>4.9000000000000004</v>
      </c>
      <c r="O429">
        <v>9.5</v>
      </c>
      <c r="P429">
        <v>20.8</v>
      </c>
      <c r="Q429" t="s">
        <v>659</v>
      </c>
      <c r="R429" t="s">
        <v>1775</v>
      </c>
      <c r="S429" t="s">
        <v>660</v>
      </c>
      <c r="T429">
        <v>3960</v>
      </c>
      <c r="U429">
        <v>29.5</v>
      </c>
      <c r="V429">
        <v>723</v>
      </c>
      <c r="W429">
        <v>28.3</v>
      </c>
      <c r="X429">
        <v>511</v>
      </c>
      <c r="Y429">
        <v>84.9</v>
      </c>
      <c r="Z429">
        <v>213</v>
      </c>
      <c r="AA429">
        <v>72.3</v>
      </c>
      <c r="AB429">
        <v>380</v>
      </c>
      <c r="AC429">
        <v>62.7</v>
      </c>
      <c r="AD429">
        <v>531</v>
      </c>
      <c r="AE429" t="s">
        <v>208</v>
      </c>
      <c r="AF429">
        <v>0</v>
      </c>
      <c r="AG429" t="s">
        <v>1776</v>
      </c>
      <c r="AH429">
        <v>733</v>
      </c>
      <c r="AI429" t="s">
        <v>46</v>
      </c>
      <c r="AJ429" s="1">
        <v>24679</v>
      </c>
      <c r="AK429">
        <v>21.6</v>
      </c>
      <c r="AL429" s="2">
        <v>0.15</v>
      </c>
      <c r="AM429" s="3">
        <v>1.8722222222222222</v>
      </c>
      <c r="AN429" t="s">
        <v>1777</v>
      </c>
      <c r="AO429" t="s">
        <v>1778</v>
      </c>
      <c r="AP429" t="b">
        <v>0</v>
      </c>
      <c r="AQ429" t="b">
        <v>0</v>
      </c>
      <c r="AR429" t="b">
        <v>0</v>
      </c>
    </row>
    <row r="430" spans="1:45" x14ac:dyDescent="0.3">
      <c r="A430" t="s">
        <v>1668</v>
      </c>
      <c r="B430" t="s">
        <v>1761</v>
      </c>
      <c r="C430" t="s">
        <v>1779</v>
      </c>
      <c r="D430" t="s">
        <v>442</v>
      </c>
      <c r="E430" t="s">
        <v>443</v>
      </c>
      <c r="F430" t="s">
        <v>56</v>
      </c>
      <c r="G430">
        <v>19.600000000000001</v>
      </c>
      <c r="H430">
        <v>15.8</v>
      </c>
      <c r="I430">
        <v>5.7</v>
      </c>
      <c r="J430">
        <v>12.7</v>
      </c>
      <c r="K430">
        <v>42</v>
      </c>
      <c r="L430">
        <v>8.9</v>
      </c>
      <c r="M430">
        <v>64.599999999999994</v>
      </c>
      <c r="N430">
        <v>12.3</v>
      </c>
      <c r="O430">
        <v>74.5</v>
      </c>
      <c r="P430" t="s">
        <v>1615</v>
      </c>
      <c r="Q430" t="s">
        <v>572</v>
      </c>
      <c r="R430" t="s">
        <v>1780</v>
      </c>
      <c r="S430" t="s">
        <v>574</v>
      </c>
      <c r="T430">
        <v>5190</v>
      </c>
      <c r="U430">
        <v>34.200000000000003</v>
      </c>
      <c r="V430">
        <v>485</v>
      </c>
      <c r="W430">
        <v>36.299999999999997</v>
      </c>
      <c r="X430">
        <v>319</v>
      </c>
      <c r="Y430">
        <v>52.8</v>
      </c>
      <c r="Z430">
        <v>946</v>
      </c>
      <c r="AA430">
        <v>64.7</v>
      </c>
      <c r="AB430">
        <v>554</v>
      </c>
      <c r="AC430">
        <v>63</v>
      </c>
      <c r="AD430">
        <v>517</v>
      </c>
      <c r="AE430" t="s">
        <v>57</v>
      </c>
      <c r="AF430">
        <v>0</v>
      </c>
      <c r="AG430" t="s">
        <v>1781</v>
      </c>
      <c r="AH430">
        <v>131648</v>
      </c>
      <c r="AI430" t="s">
        <v>443</v>
      </c>
      <c r="AJ430" s="1">
        <v>15053</v>
      </c>
      <c r="AK430">
        <v>29.5</v>
      </c>
      <c r="AL430" s="2">
        <v>7.0000000000000007E-2</v>
      </c>
      <c r="AM430" s="3">
        <v>2.7736111111111112</v>
      </c>
      <c r="AN430" t="s">
        <v>1780</v>
      </c>
      <c r="AO430" t="s">
        <v>1782</v>
      </c>
      <c r="AP430" t="b">
        <v>0</v>
      </c>
      <c r="AQ430" t="b">
        <v>0</v>
      </c>
      <c r="AR430" t="b">
        <v>0</v>
      </c>
    </row>
    <row r="431" spans="1:45" x14ac:dyDescent="0.3">
      <c r="A431" t="s">
        <v>1668</v>
      </c>
      <c r="B431">
        <v>469</v>
      </c>
      <c r="C431" t="s">
        <v>1783</v>
      </c>
      <c r="D431" t="s">
        <v>45</v>
      </c>
      <c r="E431" t="s">
        <v>46</v>
      </c>
      <c r="F431" t="s">
        <v>47</v>
      </c>
      <c r="G431">
        <v>12.8</v>
      </c>
      <c r="H431">
        <v>11</v>
      </c>
      <c r="I431">
        <v>14.1</v>
      </c>
      <c r="J431">
        <v>35.9</v>
      </c>
      <c r="K431">
        <v>19.2</v>
      </c>
      <c r="L431">
        <v>97.3</v>
      </c>
      <c r="M431">
        <v>18.899999999999999</v>
      </c>
      <c r="N431">
        <v>12.2</v>
      </c>
      <c r="O431">
        <v>1.6</v>
      </c>
      <c r="P431" t="s">
        <v>1615</v>
      </c>
      <c r="Q431" t="s">
        <v>659</v>
      </c>
      <c r="R431" t="s">
        <v>1783</v>
      </c>
      <c r="S431" t="s">
        <v>660</v>
      </c>
      <c r="T431">
        <v>3730</v>
      </c>
      <c r="U431">
        <v>42.6</v>
      </c>
      <c r="V431">
        <v>251</v>
      </c>
      <c r="W431">
        <v>26.9</v>
      </c>
      <c r="X431">
        <v>543</v>
      </c>
      <c r="Y431">
        <v>67.8</v>
      </c>
      <c r="Z431">
        <v>606</v>
      </c>
      <c r="AA431">
        <v>91.5</v>
      </c>
      <c r="AB431">
        <v>149</v>
      </c>
      <c r="AC431">
        <v>73.2</v>
      </c>
      <c r="AD431">
        <v>359</v>
      </c>
      <c r="AE431" t="s">
        <v>49</v>
      </c>
      <c r="AF431">
        <v>0</v>
      </c>
      <c r="AG431" t="s">
        <v>1784</v>
      </c>
      <c r="AH431">
        <v>1028</v>
      </c>
      <c r="AI431" t="s">
        <v>46</v>
      </c>
      <c r="AJ431" s="1">
        <v>6107</v>
      </c>
      <c r="AK431">
        <v>12.2</v>
      </c>
      <c r="AL431" s="2">
        <v>0.36</v>
      </c>
      <c r="AM431" t="s">
        <v>153</v>
      </c>
      <c r="AN431" t="s">
        <v>1783</v>
      </c>
      <c r="AO431" t="s">
        <v>1785</v>
      </c>
      <c r="AP431" t="b">
        <v>0</v>
      </c>
      <c r="AQ431" t="b">
        <v>0</v>
      </c>
      <c r="AR431" t="b">
        <v>0</v>
      </c>
      <c r="AS431" t="s">
        <v>1786</v>
      </c>
    </row>
    <row r="432" spans="1:45" x14ac:dyDescent="0.3">
      <c r="A432" t="s">
        <v>1668</v>
      </c>
      <c r="B432" t="s">
        <v>1787</v>
      </c>
      <c r="C432" t="s">
        <v>1788</v>
      </c>
      <c r="D432" t="s">
        <v>402</v>
      </c>
      <c r="E432" t="s">
        <v>403</v>
      </c>
      <c r="F432" t="s">
        <v>56</v>
      </c>
      <c r="G432">
        <v>16.600000000000001</v>
      </c>
      <c r="H432">
        <v>8.3000000000000007</v>
      </c>
      <c r="I432">
        <v>49.8</v>
      </c>
      <c r="J432">
        <v>2.7</v>
      </c>
      <c r="K432">
        <v>100</v>
      </c>
      <c r="L432">
        <v>18</v>
      </c>
      <c r="M432">
        <v>78.3</v>
      </c>
      <c r="N432">
        <v>2.2000000000000002</v>
      </c>
      <c r="O432">
        <v>2.2999999999999998</v>
      </c>
      <c r="P432" t="s">
        <v>1615</v>
      </c>
      <c r="Q432" t="s">
        <v>572</v>
      </c>
      <c r="R432" t="s">
        <v>1788</v>
      </c>
      <c r="S432" t="s">
        <v>574</v>
      </c>
      <c r="T432">
        <v>5480</v>
      </c>
      <c r="U432">
        <v>29.8</v>
      </c>
      <c r="V432">
        <v>698</v>
      </c>
      <c r="W432">
        <v>20.100000000000001</v>
      </c>
      <c r="X432">
        <v>804</v>
      </c>
      <c r="Y432">
        <v>70.3</v>
      </c>
      <c r="Z432">
        <v>554</v>
      </c>
      <c r="AA432">
        <v>48.6</v>
      </c>
      <c r="AB432">
        <v>831</v>
      </c>
      <c r="AC432">
        <v>91</v>
      </c>
      <c r="AD432">
        <v>117</v>
      </c>
      <c r="AE432" t="s">
        <v>57</v>
      </c>
      <c r="AF432">
        <v>0</v>
      </c>
      <c r="AG432" t="s">
        <v>1789</v>
      </c>
      <c r="AH432">
        <v>623529</v>
      </c>
      <c r="AI432" t="s">
        <v>403</v>
      </c>
      <c r="AJ432" s="1">
        <v>32078</v>
      </c>
      <c r="AK432">
        <v>8.3000000000000007</v>
      </c>
      <c r="AL432" s="2">
        <v>0.16</v>
      </c>
      <c r="AM432" s="3">
        <v>2.5687500000000001</v>
      </c>
      <c r="AN432" t="s">
        <v>1788</v>
      </c>
      <c r="AO432" t="s">
        <v>1790</v>
      </c>
      <c r="AP432" t="b">
        <v>0</v>
      </c>
      <c r="AQ432" t="b">
        <v>0</v>
      </c>
      <c r="AR432" t="b">
        <v>0</v>
      </c>
    </row>
    <row r="433" spans="1:45" x14ac:dyDescent="0.3">
      <c r="A433" t="s">
        <v>1668</v>
      </c>
      <c r="B433">
        <v>590</v>
      </c>
      <c r="C433" t="s">
        <v>1791</v>
      </c>
      <c r="D433" t="s">
        <v>54</v>
      </c>
      <c r="E433" t="s">
        <v>55</v>
      </c>
      <c r="F433" t="s">
        <v>77</v>
      </c>
      <c r="G433">
        <v>11.8</v>
      </c>
      <c r="H433">
        <v>12.6</v>
      </c>
      <c r="I433">
        <v>8.1</v>
      </c>
      <c r="J433">
        <v>10.1</v>
      </c>
      <c r="K433">
        <v>42.9</v>
      </c>
      <c r="L433">
        <v>37.700000000000003</v>
      </c>
      <c r="M433">
        <v>91.7</v>
      </c>
      <c r="N433">
        <v>12.3</v>
      </c>
      <c r="O433">
        <v>79.599999999999994</v>
      </c>
      <c r="P433" t="s">
        <v>1615</v>
      </c>
      <c r="Q433" t="s">
        <v>572</v>
      </c>
      <c r="R433" t="s">
        <v>1792</v>
      </c>
      <c r="S433" t="s">
        <v>574</v>
      </c>
      <c r="T433">
        <v>5570</v>
      </c>
      <c r="U433">
        <v>20.5</v>
      </c>
      <c r="V433">
        <v>1336</v>
      </c>
      <c r="W433">
        <v>18.5</v>
      </c>
      <c r="X433">
        <v>888</v>
      </c>
      <c r="Y433">
        <v>77.400000000000006</v>
      </c>
      <c r="Z433">
        <v>384</v>
      </c>
      <c r="AA433">
        <v>57.7</v>
      </c>
      <c r="AB433">
        <v>690</v>
      </c>
      <c r="AC433">
        <v>80.599999999999994</v>
      </c>
      <c r="AD433">
        <v>248</v>
      </c>
      <c r="AE433" t="s">
        <v>57</v>
      </c>
      <c r="AF433">
        <v>0</v>
      </c>
      <c r="AG433" t="s">
        <v>1793</v>
      </c>
      <c r="AH433">
        <v>131283</v>
      </c>
      <c r="AI433" t="s">
        <v>55</v>
      </c>
      <c r="AJ433" s="1">
        <v>30985</v>
      </c>
      <c r="AK433">
        <v>17.399999999999999</v>
      </c>
      <c r="AL433" s="2">
        <v>0.19</v>
      </c>
      <c r="AM433" s="3">
        <v>2.4458333333333333</v>
      </c>
      <c r="AN433" t="s">
        <v>1792</v>
      </c>
      <c r="AO433" t="s">
        <v>1794</v>
      </c>
      <c r="AP433" t="b">
        <v>0</v>
      </c>
      <c r="AQ433" t="b">
        <v>0</v>
      </c>
      <c r="AR433" t="b">
        <v>0</v>
      </c>
      <c r="AS433" t="s">
        <v>1795</v>
      </c>
    </row>
    <row r="434" spans="1:45" x14ac:dyDescent="0.3">
      <c r="A434" t="s">
        <v>1668</v>
      </c>
      <c r="B434">
        <v>567</v>
      </c>
      <c r="C434" t="s">
        <v>1796</v>
      </c>
      <c r="D434" t="s">
        <v>297</v>
      </c>
      <c r="E434" t="s">
        <v>298</v>
      </c>
      <c r="F434" t="s">
        <v>56</v>
      </c>
      <c r="G434">
        <v>20.100000000000001</v>
      </c>
      <c r="H434">
        <v>37.799999999999997</v>
      </c>
      <c r="I434">
        <v>17.100000000000001</v>
      </c>
      <c r="J434">
        <v>2.2000000000000002</v>
      </c>
      <c r="K434">
        <v>26.5</v>
      </c>
      <c r="L434">
        <v>21.8</v>
      </c>
      <c r="M434">
        <v>13.3</v>
      </c>
      <c r="N434">
        <v>91.1</v>
      </c>
      <c r="O434">
        <v>1.6</v>
      </c>
      <c r="P434" t="s">
        <v>1615</v>
      </c>
      <c r="Q434" t="s">
        <v>733</v>
      </c>
      <c r="R434" t="s">
        <v>1796</v>
      </c>
      <c r="S434" t="s">
        <v>735</v>
      </c>
      <c r="T434">
        <v>11230</v>
      </c>
      <c r="U434">
        <v>27.6</v>
      </c>
      <c r="V434">
        <v>834</v>
      </c>
      <c r="W434">
        <v>27.8</v>
      </c>
      <c r="X434">
        <v>518</v>
      </c>
      <c r="Y434">
        <v>24.8</v>
      </c>
      <c r="Z434">
        <v>1566</v>
      </c>
      <c r="AA434">
        <v>60.6</v>
      </c>
      <c r="AB434">
        <v>633</v>
      </c>
      <c r="AC434">
        <v>48.8</v>
      </c>
      <c r="AD434">
        <v>837</v>
      </c>
      <c r="AE434" t="s">
        <v>57</v>
      </c>
      <c r="AF434">
        <v>0</v>
      </c>
      <c r="AG434" t="s">
        <v>1797</v>
      </c>
      <c r="AH434">
        <v>1004</v>
      </c>
      <c r="AI434" t="s">
        <v>298</v>
      </c>
      <c r="AJ434" s="1">
        <v>12329</v>
      </c>
      <c r="AK434">
        <v>14.9</v>
      </c>
      <c r="AL434" s="2">
        <v>0.12</v>
      </c>
      <c r="AM434" s="3">
        <v>2.3638888888888889</v>
      </c>
      <c r="AN434" t="s">
        <v>1796</v>
      </c>
      <c r="AO434" t="s">
        <v>1798</v>
      </c>
      <c r="AP434" t="b">
        <v>0</v>
      </c>
      <c r="AQ434" t="b">
        <v>0</v>
      </c>
      <c r="AR434" t="b">
        <v>0</v>
      </c>
    </row>
    <row r="435" spans="1:45" x14ac:dyDescent="0.3">
      <c r="A435" t="s">
        <v>1668</v>
      </c>
      <c r="B435">
        <v>494</v>
      </c>
      <c r="C435" t="s">
        <v>1799</v>
      </c>
      <c r="D435" t="s">
        <v>45</v>
      </c>
      <c r="E435" t="s">
        <v>46</v>
      </c>
      <c r="F435" t="s">
        <v>47</v>
      </c>
      <c r="G435">
        <v>8</v>
      </c>
      <c r="H435">
        <v>8.4</v>
      </c>
      <c r="I435">
        <v>19.7</v>
      </c>
      <c r="J435">
        <v>56.6</v>
      </c>
      <c r="K435">
        <v>3.7</v>
      </c>
      <c r="L435">
        <v>29.9</v>
      </c>
      <c r="M435">
        <v>25</v>
      </c>
      <c r="N435">
        <v>31.4</v>
      </c>
      <c r="O435">
        <v>2.8</v>
      </c>
      <c r="P435" t="s">
        <v>1615</v>
      </c>
      <c r="Q435" t="s">
        <v>372</v>
      </c>
      <c r="R435" t="s">
        <v>1799</v>
      </c>
      <c r="S435" t="s">
        <v>374</v>
      </c>
      <c r="T435">
        <v>4760</v>
      </c>
      <c r="U435">
        <v>34.1</v>
      </c>
      <c r="V435">
        <v>490</v>
      </c>
      <c r="W435">
        <v>30.3</v>
      </c>
      <c r="X435">
        <v>463</v>
      </c>
      <c r="Y435">
        <v>60.9</v>
      </c>
      <c r="Z435">
        <v>760</v>
      </c>
      <c r="AA435">
        <v>89.9</v>
      </c>
      <c r="AB435">
        <v>167</v>
      </c>
      <c r="AC435">
        <v>78.7</v>
      </c>
      <c r="AD435">
        <v>273</v>
      </c>
      <c r="AE435" t="s">
        <v>49</v>
      </c>
      <c r="AF435">
        <v>0</v>
      </c>
      <c r="AG435" t="s">
        <v>1800</v>
      </c>
      <c r="AH435">
        <v>608</v>
      </c>
      <c r="AI435" t="s">
        <v>46</v>
      </c>
      <c r="AJ435" s="1">
        <v>7496</v>
      </c>
      <c r="AK435">
        <v>15.3</v>
      </c>
      <c r="AL435" s="2">
        <v>0.2</v>
      </c>
      <c r="AM435" t="s">
        <v>234</v>
      </c>
      <c r="AN435" t="s">
        <v>1799</v>
      </c>
      <c r="AO435" t="s">
        <v>1801</v>
      </c>
      <c r="AP435" t="b">
        <v>0</v>
      </c>
      <c r="AQ435" t="b">
        <v>0</v>
      </c>
      <c r="AR435" t="b">
        <v>0</v>
      </c>
      <c r="AS435" t="s">
        <v>1802</v>
      </c>
    </row>
    <row r="436" spans="1:45" x14ac:dyDescent="0.3">
      <c r="A436" t="s">
        <v>1668</v>
      </c>
      <c r="B436">
        <v>534</v>
      </c>
      <c r="C436" t="s">
        <v>1803</v>
      </c>
      <c r="D436" t="s">
        <v>1075</v>
      </c>
      <c r="E436" t="s">
        <v>1076</v>
      </c>
      <c r="F436" t="s">
        <v>56</v>
      </c>
      <c r="G436">
        <v>13.9</v>
      </c>
      <c r="H436">
        <v>12.7</v>
      </c>
      <c r="I436">
        <v>2.4</v>
      </c>
      <c r="J436">
        <v>58.7</v>
      </c>
      <c r="K436">
        <v>2.2999999999999998</v>
      </c>
      <c r="L436">
        <v>3.5</v>
      </c>
      <c r="M436">
        <v>57</v>
      </c>
      <c r="N436">
        <v>3.6</v>
      </c>
      <c r="O436">
        <v>1.8</v>
      </c>
      <c r="P436" t="s">
        <v>1615</v>
      </c>
      <c r="Q436" t="s">
        <v>572</v>
      </c>
      <c r="R436" t="s">
        <v>1803</v>
      </c>
      <c r="S436" t="s">
        <v>574</v>
      </c>
      <c r="T436">
        <v>5280</v>
      </c>
      <c r="U436">
        <v>19.899999999999999</v>
      </c>
      <c r="V436">
        <v>1378</v>
      </c>
      <c r="W436">
        <v>25.7</v>
      </c>
      <c r="X436">
        <v>583</v>
      </c>
      <c r="Y436">
        <v>76.5</v>
      </c>
      <c r="Z436">
        <v>403</v>
      </c>
      <c r="AA436">
        <v>64.5</v>
      </c>
      <c r="AB436">
        <v>557</v>
      </c>
      <c r="AC436">
        <v>47.4</v>
      </c>
      <c r="AD436">
        <v>877</v>
      </c>
      <c r="AE436" t="s">
        <v>57</v>
      </c>
      <c r="AF436">
        <v>0</v>
      </c>
      <c r="AG436" t="s">
        <v>1804</v>
      </c>
      <c r="AH436">
        <v>744</v>
      </c>
      <c r="AI436" t="s">
        <v>1076</v>
      </c>
      <c r="AJ436" s="1">
        <v>14119</v>
      </c>
      <c r="AK436">
        <v>26.5</v>
      </c>
      <c r="AL436" s="2">
        <v>0.04</v>
      </c>
      <c r="AM436" s="3">
        <v>2.6506944444444445</v>
      </c>
      <c r="AN436" t="s">
        <v>1803</v>
      </c>
      <c r="AO436" t="s">
        <v>1805</v>
      </c>
      <c r="AP436" t="b">
        <v>0</v>
      </c>
      <c r="AQ436" t="b">
        <v>0</v>
      </c>
      <c r="AR436" t="b">
        <v>0</v>
      </c>
    </row>
    <row r="437" spans="1:45" x14ac:dyDescent="0.3">
      <c r="A437" t="s">
        <v>1668</v>
      </c>
      <c r="B437" t="s">
        <v>1718</v>
      </c>
      <c r="C437" t="s">
        <v>1806</v>
      </c>
      <c r="D437" t="s">
        <v>150</v>
      </c>
      <c r="E437" t="s">
        <v>151</v>
      </c>
      <c r="F437" t="s">
        <v>47</v>
      </c>
      <c r="G437">
        <v>8.6</v>
      </c>
      <c r="H437">
        <v>6.1</v>
      </c>
      <c r="I437">
        <v>12</v>
      </c>
      <c r="J437">
        <v>47.5</v>
      </c>
      <c r="K437">
        <v>25.2</v>
      </c>
      <c r="L437">
        <v>25.9</v>
      </c>
      <c r="M437">
        <v>76.900000000000006</v>
      </c>
      <c r="N437">
        <v>5</v>
      </c>
      <c r="O437">
        <v>19.2</v>
      </c>
      <c r="P437" t="s">
        <v>1615</v>
      </c>
      <c r="Q437" t="s">
        <v>486</v>
      </c>
      <c r="R437" t="s">
        <v>1806</v>
      </c>
      <c r="S437" t="s">
        <v>487</v>
      </c>
      <c r="T437">
        <v>2630</v>
      </c>
      <c r="U437">
        <v>35</v>
      </c>
      <c r="V437">
        <v>461</v>
      </c>
      <c r="W437">
        <v>35.5</v>
      </c>
      <c r="X437">
        <v>334</v>
      </c>
      <c r="Y437">
        <v>85.7</v>
      </c>
      <c r="Z437">
        <v>195</v>
      </c>
      <c r="AA437">
        <v>80.5</v>
      </c>
      <c r="AB437">
        <v>257</v>
      </c>
      <c r="AC437">
        <v>61.7</v>
      </c>
      <c r="AD437">
        <v>549</v>
      </c>
      <c r="AE437" t="s">
        <v>57</v>
      </c>
      <c r="AF437">
        <v>0</v>
      </c>
      <c r="AG437" t="s">
        <v>1807</v>
      </c>
      <c r="AH437">
        <v>131525</v>
      </c>
      <c r="AI437" t="s">
        <v>151</v>
      </c>
      <c r="AJ437" s="1">
        <v>8369</v>
      </c>
      <c r="AK437">
        <v>37.700000000000003</v>
      </c>
      <c r="AL437" s="2">
        <v>0.14000000000000001</v>
      </c>
      <c r="AM437" s="3">
        <v>2.4048611111111109</v>
      </c>
      <c r="AN437" t="s">
        <v>1806</v>
      </c>
      <c r="AO437" t="s">
        <v>1808</v>
      </c>
      <c r="AP437" t="b">
        <v>0</v>
      </c>
      <c r="AQ437" t="b">
        <v>0</v>
      </c>
      <c r="AR437" t="b">
        <v>0</v>
      </c>
    </row>
    <row r="438" spans="1:45" x14ac:dyDescent="0.3">
      <c r="A438" t="s">
        <v>1571</v>
      </c>
      <c r="B438" t="s">
        <v>1711</v>
      </c>
      <c r="C438" t="s">
        <v>1809</v>
      </c>
      <c r="D438" t="s">
        <v>1810</v>
      </c>
      <c r="E438" t="s">
        <v>1811</v>
      </c>
      <c r="F438" t="s">
        <v>47</v>
      </c>
      <c r="G438">
        <v>23.1</v>
      </c>
      <c r="H438">
        <v>21.6</v>
      </c>
      <c r="I438">
        <v>19.7</v>
      </c>
      <c r="J438">
        <v>3.7</v>
      </c>
      <c r="K438">
        <v>100</v>
      </c>
      <c r="L438">
        <v>23</v>
      </c>
      <c r="M438">
        <v>35.1</v>
      </c>
      <c r="N438">
        <v>5.0999999999999996</v>
      </c>
      <c r="O438">
        <v>3.5</v>
      </c>
      <c r="P438" t="s">
        <v>1615</v>
      </c>
      <c r="Q438" t="s">
        <v>1475</v>
      </c>
      <c r="R438" t="s">
        <v>1809</v>
      </c>
      <c r="T438">
        <v>1000067</v>
      </c>
      <c r="V438">
        <v>0</v>
      </c>
      <c r="X438">
        <v>0</v>
      </c>
      <c r="Z438">
        <v>0</v>
      </c>
      <c r="AB438">
        <v>0</v>
      </c>
      <c r="AD438">
        <v>0</v>
      </c>
      <c r="AE438" t="s">
        <v>57</v>
      </c>
      <c r="AF438">
        <v>11</v>
      </c>
      <c r="AG438" t="s">
        <v>1812</v>
      </c>
      <c r="AH438">
        <v>706957</v>
      </c>
      <c r="AI438" t="s">
        <v>1811</v>
      </c>
      <c r="AJ438" s="1">
        <v>5184</v>
      </c>
      <c r="AK438">
        <v>12.8</v>
      </c>
      <c r="AL438" s="2">
        <v>0.14000000000000001</v>
      </c>
      <c r="AM438" s="3">
        <v>2.6916666666666669</v>
      </c>
      <c r="AN438" t="s">
        <v>1813</v>
      </c>
      <c r="AO438" t="s">
        <v>1814</v>
      </c>
      <c r="AP438" t="b">
        <v>0</v>
      </c>
      <c r="AQ438" t="b">
        <v>0</v>
      </c>
      <c r="AR438" t="b">
        <v>0</v>
      </c>
    </row>
    <row r="439" spans="1:45" x14ac:dyDescent="0.3">
      <c r="A439" t="s">
        <v>1571</v>
      </c>
      <c r="B439" t="s">
        <v>1571</v>
      </c>
      <c r="C439" t="s">
        <v>1815</v>
      </c>
      <c r="D439" t="s">
        <v>849</v>
      </c>
      <c r="E439" t="s">
        <v>850</v>
      </c>
      <c r="F439" t="s">
        <v>56</v>
      </c>
      <c r="G439">
        <v>13</v>
      </c>
      <c r="H439">
        <v>29.3</v>
      </c>
      <c r="I439">
        <v>25.7</v>
      </c>
      <c r="J439">
        <v>7.3</v>
      </c>
      <c r="K439">
        <v>14.8</v>
      </c>
      <c r="L439">
        <v>67.3</v>
      </c>
      <c r="M439">
        <v>78.8</v>
      </c>
      <c r="N439">
        <v>12.7</v>
      </c>
      <c r="O439">
        <v>3.3</v>
      </c>
      <c r="P439" t="s">
        <v>1615</v>
      </c>
      <c r="Q439" t="s">
        <v>733</v>
      </c>
      <c r="R439" t="s">
        <v>1815</v>
      </c>
      <c r="S439" t="s">
        <v>735</v>
      </c>
      <c r="T439">
        <v>10250</v>
      </c>
      <c r="U439">
        <v>22.2</v>
      </c>
      <c r="V439">
        <v>1207</v>
      </c>
      <c r="W439">
        <v>19.3</v>
      </c>
      <c r="X439">
        <v>846</v>
      </c>
      <c r="Y439">
        <v>39</v>
      </c>
      <c r="Z439">
        <v>1238</v>
      </c>
      <c r="AA439">
        <v>70.3</v>
      </c>
      <c r="AB439">
        <v>424</v>
      </c>
      <c r="AC439">
        <v>58.3</v>
      </c>
      <c r="AD439">
        <v>618</v>
      </c>
      <c r="AE439" t="s">
        <v>57</v>
      </c>
      <c r="AF439">
        <v>0</v>
      </c>
      <c r="AG439" t="s">
        <v>1816</v>
      </c>
      <c r="AH439">
        <v>999</v>
      </c>
      <c r="AI439" t="s">
        <v>850</v>
      </c>
      <c r="AJ439" s="1">
        <v>18137</v>
      </c>
      <c r="AK439">
        <v>15.5</v>
      </c>
      <c r="AL439" s="2">
        <v>0.25</v>
      </c>
      <c r="AM439" t="s">
        <v>427</v>
      </c>
      <c r="AN439" t="s">
        <v>1815</v>
      </c>
      <c r="AO439" t="s">
        <v>1817</v>
      </c>
      <c r="AP439" t="b">
        <v>0</v>
      </c>
      <c r="AQ439" t="b">
        <v>0</v>
      </c>
      <c r="AR439" t="b">
        <v>0</v>
      </c>
    </row>
    <row r="440" spans="1:45" x14ac:dyDescent="0.3">
      <c r="A440" t="s">
        <v>1571</v>
      </c>
      <c r="C440" t="s">
        <v>1818</v>
      </c>
      <c r="D440" t="s">
        <v>1819</v>
      </c>
      <c r="E440" t="s">
        <v>1820</v>
      </c>
      <c r="F440" t="s">
        <v>56</v>
      </c>
      <c r="G440">
        <v>5.6</v>
      </c>
      <c r="H440">
        <v>2.1</v>
      </c>
      <c r="I440">
        <v>3.5</v>
      </c>
      <c r="J440">
        <v>26.5</v>
      </c>
      <c r="K440">
        <v>90.1</v>
      </c>
      <c r="L440">
        <v>100</v>
      </c>
      <c r="M440">
        <v>55.2</v>
      </c>
      <c r="N440">
        <v>24.1</v>
      </c>
      <c r="O440">
        <v>1.8</v>
      </c>
      <c r="P440" t="s">
        <v>1615</v>
      </c>
      <c r="Q440" t="s">
        <v>696</v>
      </c>
      <c r="R440" t="s">
        <v>1818</v>
      </c>
      <c r="S440" t="s">
        <v>697</v>
      </c>
      <c r="T440">
        <v>6450</v>
      </c>
      <c r="U440">
        <v>26</v>
      </c>
      <c r="V440">
        <v>933</v>
      </c>
      <c r="W440">
        <v>15.2</v>
      </c>
      <c r="X440">
        <v>1105</v>
      </c>
      <c r="Y440">
        <v>73.8</v>
      </c>
      <c r="Z440">
        <v>467</v>
      </c>
      <c r="AA440">
        <v>35.9</v>
      </c>
      <c r="AB440">
        <v>1078</v>
      </c>
      <c r="AC440">
        <v>75.5</v>
      </c>
      <c r="AD440">
        <v>322</v>
      </c>
      <c r="AE440" t="s">
        <v>57</v>
      </c>
      <c r="AF440">
        <v>0</v>
      </c>
      <c r="AG440" t="s">
        <v>1821</v>
      </c>
      <c r="AH440">
        <v>587619</v>
      </c>
      <c r="AI440" t="s">
        <v>1820</v>
      </c>
      <c r="AJ440" s="1">
        <v>13809</v>
      </c>
      <c r="AK440">
        <v>25.4</v>
      </c>
      <c r="AL440" s="2">
        <v>0.75</v>
      </c>
      <c r="AM440" s="3">
        <v>1.8722222222222222</v>
      </c>
      <c r="AN440" t="s">
        <v>1822</v>
      </c>
      <c r="AO440" t="s">
        <v>1823</v>
      </c>
      <c r="AP440" t="b">
        <v>0</v>
      </c>
      <c r="AQ440" t="b">
        <v>0</v>
      </c>
      <c r="AR440" t="b">
        <v>0</v>
      </c>
    </row>
    <row r="441" spans="1:45" x14ac:dyDescent="0.3">
      <c r="A441" t="s">
        <v>1571</v>
      </c>
      <c r="B441">
        <v>580</v>
      </c>
      <c r="C441" t="s">
        <v>1824</v>
      </c>
      <c r="D441" t="s">
        <v>536</v>
      </c>
      <c r="E441" t="s">
        <v>537</v>
      </c>
      <c r="F441" t="s">
        <v>388</v>
      </c>
      <c r="G441">
        <v>5.7</v>
      </c>
      <c r="H441">
        <v>3.7</v>
      </c>
      <c r="I441">
        <v>51.3</v>
      </c>
      <c r="J441">
        <v>11.3</v>
      </c>
      <c r="K441">
        <v>96</v>
      </c>
      <c r="L441">
        <v>87.8</v>
      </c>
      <c r="M441">
        <v>35.6</v>
      </c>
      <c r="N441">
        <v>9.1999999999999993</v>
      </c>
      <c r="O441">
        <v>1.6</v>
      </c>
      <c r="P441" t="s">
        <v>1615</v>
      </c>
      <c r="Q441" t="s">
        <v>572</v>
      </c>
      <c r="R441" t="s">
        <v>1824</v>
      </c>
      <c r="S441" t="s">
        <v>574</v>
      </c>
      <c r="T441">
        <v>5490</v>
      </c>
      <c r="U441">
        <v>31.2</v>
      </c>
      <c r="V441">
        <v>631</v>
      </c>
      <c r="W441">
        <v>19.399999999999999</v>
      </c>
      <c r="X441">
        <v>843</v>
      </c>
      <c r="Y441">
        <v>72.400000000000006</v>
      </c>
      <c r="Z441">
        <v>501</v>
      </c>
      <c r="AA441">
        <v>48.1</v>
      </c>
      <c r="AB441">
        <v>838</v>
      </c>
      <c r="AC441">
        <v>87.6</v>
      </c>
      <c r="AD441">
        <v>156</v>
      </c>
      <c r="AE441" t="s">
        <v>57</v>
      </c>
      <c r="AF441">
        <v>0</v>
      </c>
      <c r="AG441" t="s">
        <v>1825</v>
      </c>
      <c r="AH441">
        <v>622932</v>
      </c>
      <c r="AI441" t="s">
        <v>537</v>
      </c>
      <c r="AJ441" s="1">
        <v>3479</v>
      </c>
      <c r="AK441">
        <v>10</v>
      </c>
      <c r="AL441" s="2">
        <v>0.31</v>
      </c>
      <c r="AM441" s="3">
        <v>2.8145833333333332</v>
      </c>
      <c r="AN441" t="s">
        <v>1824</v>
      </c>
      <c r="AO441" t="s">
        <v>1826</v>
      </c>
      <c r="AP441" t="b">
        <v>0</v>
      </c>
      <c r="AQ441" t="b">
        <v>0</v>
      </c>
      <c r="AR441" t="b">
        <v>0</v>
      </c>
    </row>
    <row r="442" spans="1:45" x14ac:dyDescent="0.3">
      <c r="A442" t="s">
        <v>1571</v>
      </c>
      <c r="B442" t="s">
        <v>1571</v>
      </c>
      <c r="C442" t="s">
        <v>1827</v>
      </c>
      <c r="D442" t="s">
        <v>897</v>
      </c>
      <c r="E442" t="s">
        <v>898</v>
      </c>
      <c r="F442" t="s">
        <v>56</v>
      </c>
      <c r="G442">
        <v>15.6</v>
      </c>
      <c r="H442">
        <v>7.1</v>
      </c>
      <c r="I442">
        <v>26.5</v>
      </c>
      <c r="J442">
        <v>21</v>
      </c>
      <c r="K442">
        <v>15.9</v>
      </c>
      <c r="L442">
        <v>14.9</v>
      </c>
      <c r="M442">
        <v>83.7</v>
      </c>
      <c r="N442">
        <v>8.6</v>
      </c>
      <c r="O442">
        <v>52.1</v>
      </c>
      <c r="P442" t="s">
        <v>1615</v>
      </c>
      <c r="Q442" t="s">
        <v>696</v>
      </c>
      <c r="R442" t="s">
        <v>1827</v>
      </c>
      <c r="S442" t="s">
        <v>697</v>
      </c>
      <c r="T442">
        <v>7110</v>
      </c>
      <c r="U442">
        <v>26.3</v>
      </c>
      <c r="V442">
        <v>921</v>
      </c>
      <c r="W442">
        <v>30.3</v>
      </c>
      <c r="X442">
        <v>462</v>
      </c>
      <c r="Y442">
        <v>59.3</v>
      </c>
      <c r="Z442">
        <v>797</v>
      </c>
      <c r="AA442">
        <v>74.7</v>
      </c>
      <c r="AB442">
        <v>340</v>
      </c>
      <c r="AC442">
        <v>51.9</v>
      </c>
      <c r="AD442">
        <v>742</v>
      </c>
      <c r="AE442" t="s">
        <v>57</v>
      </c>
      <c r="AF442">
        <v>0</v>
      </c>
      <c r="AG442" t="s">
        <v>1828</v>
      </c>
      <c r="AH442">
        <v>903</v>
      </c>
      <c r="AI442" t="s">
        <v>898</v>
      </c>
      <c r="AJ442" s="1">
        <v>20001</v>
      </c>
      <c r="AK442">
        <v>19.5</v>
      </c>
      <c r="AL442" s="2">
        <v>0.13</v>
      </c>
      <c r="AM442" s="3">
        <v>2.3638888888888889</v>
      </c>
      <c r="AN442" t="s">
        <v>1827</v>
      </c>
      <c r="AO442" t="s">
        <v>1829</v>
      </c>
      <c r="AP442" t="b">
        <v>0</v>
      </c>
      <c r="AQ442" t="b">
        <v>0</v>
      </c>
      <c r="AR442" t="b">
        <v>0</v>
      </c>
    </row>
    <row r="443" spans="1:45" x14ac:dyDescent="0.3">
      <c r="A443" t="s">
        <v>1442</v>
      </c>
      <c r="B443" t="s">
        <v>1668</v>
      </c>
      <c r="C443" t="s">
        <v>1830</v>
      </c>
      <c r="D443" t="s">
        <v>452</v>
      </c>
      <c r="E443" t="s">
        <v>453</v>
      </c>
      <c r="F443" t="s">
        <v>47</v>
      </c>
      <c r="G443">
        <v>7.5</v>
      </c>
      <c r="H443">
        <v>4.8</v>
      </c>
      <c r="I443">
        <v>18.899999999999999</v>
      </c>
      <c r="J443">
        <v>43.2</v>
      </c>
      <c r="K443">
        <v>45.9</v>
      </c>
      <c r="L443">
        <v>22.6</v>
      </c>
      <c r="M443">
        <v>64.5</v>
      </c>
      <c r="N443">
        <v>8.3000000000000007</v>
      </c>
      <c r="O443">
        <v>6.4</v>
      </c>
      <c r="P443" t="s">
        <v>1615</v>
      </c>
      <c r="Q443" t="s">
        <v>572</v>
      </c>
      <c r="R443" t="s">
        <v>1831</v>
      </c>
      <c r="S443" t="s">
        <v>574</v>
      </c>
      <c r="T443">
        <v>5040</v>
      </c>
      <c r="U443">
        <v>29.5</v>
      </c>
      <c r="V443">
        <v>718</v>
      </c>
      <c r="W443">
        <v>31.6</v>
      </c>
      <c r="X443">
        <v>425</v>
      </c>
      <c r="Y443">
        <v>59.3</v>
      </c>
      <c r="Z443">
        <v>794</v>
      </c>
      <c r="AA443">
        <v>67.099999999999994</v>
      </c>
      <c r="AB443">
        <v>496</v>
      </c>
      <c r="AC443">
        <v>68.099999999999994</v>
      </c>
      <c r="AD443">
        <v>429</v>
      </c>
      <c r="AE443" t="s">
        <v>57</v>
      </c>
      <c r="AF443">
        <v>0</v>
      </c>
      <c r="AG443" t="s">
        <v>1832</v>
      </c>
      <c r="AH443">
        <v>622860</v>
      </c>
      <c r="AI443" t="s">
        <v>453</v>
      </c>
      <c r="AJ443" s="1">
        <v>5637</v>
      </c>
      <c r="AK443">
        <v>18.2</v>
      </c>
      <c r="AL443" s="2">
        <v>0.13</v>
      </c>
      <c r="AM443" s="3">
        <v>2.5277777777777777</v>
      </c>
      <c r="AN443" t="s">
        <v>1831</v>
      </c>
      <c r="AO443" t="s">
        <v>1833</v>
      </c>
      <c r="AP443" t="b">
        <v>0</v>
      </c>
      <c r="AQ443" t="b">
        <v>0</v>
      </c>
      <c r="AR443" t="b">
        <v>0</v>
      </c>
    </row>
    <row r="444" spans="1:45" x14ac:dyDescent="0.3">
      <c r="A444" t="s">
        <v>1442</v>
      </c>
      <c r="B444" t="s">
        <v>1668</v>
      </c>
      <c r="C444" t="s">
        <v>1834</v>
      </c>
      <c r="D444" t="s">
        <v>731</v>
      </c>
      <c r="E444" t="s">
        <v>732</v>
      </c>
      <c r="F444" t="s">
        <v>388</v>
      </c>
      <c r="G444">
        <v>10.3</v>
      </c>
      <c r="H444">
        <v>16.899999999999999</v>
      </c>
      <c r="I444">
        <v>25.2</v>
      </c>
      <c r="J444">
        <v>1.9</v>
      </c>
      <c r="K444">
        <v>100</v>
      </c>
      <c r="L444">
        <v>100</v>
      </c>
      <c r="M444">
        <v>4.5</v>
      </c>
      <c r="N444">
        <v>41.3</v>
      </c>
      <c r="O444">
        <v>1</v>
      </c>
      <c r="P444" t="s">
        <v>1615</v>
      </c>
      <c r="Q444" t="s">
        <v>1475</v>
      </c>
      <c r="R444" t="s">
        <v>1834</v>
      </c>
      <c r="T444">
        <v>1000064</v>
      </c>
      <c r="V444">
        <v>0</v>
      </c>
      <c r="X444">
        <v>0</v>
      </c>
      <c r="Z444">
        <v>0</v>
      </c>
      <c r="AB444">
        <v>0</v>
      </c>
      <c r="AD444">
        <v>0</v>
      </c>
      <c r="AE444" t="s">
        <v>57</v>
      </c>
      <c r="AF444">
        <v>0</v>
      </c>
      <c r="AG444" t="s">
        <v>1835</v>
      </c>
      <c r="AH444">
        <v>131508</v>
      </c>
      <c r="AI444" t="s">
        <v>732</v>
      </c>
      <c r="AJ444" s="1">
        <v>1438</v>
      </c>
      <c r="AK444">
        <v>14.8</v>
      </c>
      <c r="AL444" s="2">
        <v>0.75</v>
      </c>
      <c r="AM444" s="3">
        <v>2.4048611111111109</v>
      </c>
      <c r="AN444" t="s">
        <v>1834</v>
      </c>
      <c r="AO444" t="s">
        <v>1836</v>
      </c>
      <c r="AP444" t="b">
        <v>0</v>
      </c>
      <c r="AQ444" t="b">
        <v>0</v>
      </c>
      <c r="AR444" t="b">
        <v>0</v>
      </c>
    </row>
    <row r="445" spans="1:45" x14ac:dyDescent="0.3">
      <c r="A445" t="s">
        <v>1442</v>
      </c>
      <c r="B445" t="s">
        <v>1668</v>
      </c>
      <c r="C445" t="s">
        <v>1837</v>
      </c>
      <c r="D445" t="s">
        <v>87</v>
      </c>
      <c r="E445" t="s">
        <v>88</v>
      </c>
      <c r="F445" t="s">
        <v>47</v>
      </c>
      <c r="G445">
        <v>5.7</v>
      </c>
      <c r="H445">
        <v>4.2</v>
      </c>
      <c r="I445">
        <v>4.5</v>
      </c>
      <c r="J445">
        <v>44.2</v>
      </c>
      <c r="K445">
        <v>25.4</v>
      </c>
      <c r="L445">
        <v>55.2</v>
      </c>
      <c r="M445">
        <v>41.3</v>
      </c>
      <c r="N445">
        <v>3.9</v>
      </c>
      <c r="O445">
        <v>63.7</v>
      </c>
      <c r="P445" t="s">
        <v>1615</v>
      </c>
      <c r="Q445" t="s">
        <v>372</v>
      </c>
      <c r="R445" t="s">
        <v>1838</v>
      </c>
      <c r="S445" t="s">
        <v>374</v>
      </c>
      <c r="T445">
        <v>4160</v>
      </c>
      <c r="U445">
        <v>24.8</v>
      </c>
      <c r="V445">
        <v>1016</v>
      </c>
      <c r="W445">
        <v>32.5</v>
      </c>
      <c r="X445">
        <v>408</v>
      </c>
      <c r="Y445">
        <v>73.900000000000006</v>
      </c>
      <c r="Z445">
        <v>465</v>
      </c>
      <c r="AA445">
        <v>36.299999999999997</v>
      </c>
      <c r="AB445">
        <v>1065</v>
      </c>
      <c r="AC445">
        <v>81.599999999999994</v>
      </c>
      <c r="AD445">
        <v>230</v>
      </c>
      <c r="AE445" t="s">
        <v>57</v>
      </c>
      <c r="AF445">
        <v>0</v>
      </c>
      <c r="AG445" t="s">
        <v>1839</v>
      </c>
      <c r="AH445">
        <v>774</v>
      </c>
      <c r="AI445" t="s">
        <v>88</v>
      </c>
      <c r="AJ445" s="1">
        <v>7313</v>
      </c>
      <c r="AK445">
        <v>33.6</v>
      </c>
      <c r="AL445" s="2">
        <v>0.27</v>
      </c>
      <c r="AM445" s="3">
        <v>2.9784722222222224</v>
      </c>
      <c r="AN445" t="s">
        <v>1838</v>
      </c>
      <c r="AO445" t="s">
        <v>1840</v>
      </c>
      <c r="AP445" t="b">
        <v>0</v>
      </c>
      <c r="AQ445" t="b">
        <v>0</v>
      </c>
      <c r="AR445" t="b">
        <v>0</v>
      </c>
      <c r="AS445" t="s">
        <v>1841</v>
      </c>
    </row>
    <row r="446" spans="1:45" x14ac:dyDescent="0.3">
      <c r="A446" t="s">
        <v>1442</v>
      </c>
      <c r="B446" t="s">
        <v>1842</v>
      </c>
      <c r="C446" t="s">
        <v>1843</v>
      </c>
      <c r="D446" t="s">
        <v>962</v>
      </c>
      <c r="E446" t="s">
        <v>963</v>
      </c>
      <c r="F446" t="s">
        <v>77</v>
      </c>
      <c r="G446">
        <v>28.1</v>
      </c>
      <c r="H446">
        <v>25.3</v>
      </c>
      <c r="I446">
        <v>2.8</v>
      </c>
      <c r="J446">
        <v>3.5</v>
      </c>
      <c r="K446">
        <v>5.3</v>
      </c>
      <c r="L446">
        <v>9.9</v>
      </c>
      <c r="M446">
        <v>68.8</v>
      </c>
      <c r="N446">
        <v>72.8</v>
      </c>
      <c r="O446">
        <v>1.7</v>
      </c>
      <c r="P446" t="s">
        <v>1615</v>
      </c>
      <c r="Q446" t="s">
        <v>733</v>
      </c>
      <c r="R446" t="s">
        <v>1843</v>
      </c>
      <c r="S446" t="s">
        <v>735</v>
      </c>
      <c r="T446">
        <v>10800</v>
      </c>
      <c r="U446">
        <v>23.5</v>
      </c>
      <c r="V446">
        <v>1110</v>
      </c>
      <c r="W446">
        <v>22</v>
      </c>
      <c r="X446">
        <v>730</v>
      </c>
      <c r="Y446">
        <v>34.4</v>
      </c>
      <c r="Z446">
        <v>1339</v>
      </c>
      <c r="AA446">
        <v>50.9</v>
      </c>
      <c r="AB446">
        <v>793</v>
      </c>
      <c r="AC446">
        <v>38.200000000000003</v>
      </c>
      <c r="AD446">
        <v>1181</v>
      </c>
      <c r="AE446" t="s">
        <v>57</v>
      </c>
      <c r="AF446">
        <v>0</v>
      </c>
      <c r="AG446" t="s">
        <v>1844</v>
      </c>
      <c r="AH446">
        <v>993</v>
      </c>
      <c r="AI446" t="s">
        <v>963</v>
      </c>
      <c r="AJ446" s="1">
        <v>61369</v>
      </c>
      <c r="AK446">
        <v>25.4</v>
      </c>
      <c r="AL446" s="2">
        <v>0.09</v>
      </c>
      <c r="AM446" s="3">
        <v>2.3638888888888889</v>
      </c>
      <c r="AN446" t="s">
        <v>1843</v>
      </c>
      <c r="AO446" t="s">
        <v>1845</v>
      </c>
      <c r="AP446" t="b">
        <v>0</v>
      </c>
      <c r="AQ446" t="b">
        <v>0</v>
      </c>
      <c r="AR446" t="b">
        <v>0</v>
      </c>
    </row>
    <row r="447" spans="1:45" x14ac:dyDescent="0.3">
      <c r="A447" t="s">
        <v>1442</v>
      </c>
      <c r="B447">
        <v>563</v>
      </c>
      <c r="C447" t="s">
        <v>1846</v>
      </c>
      <c r="D447" t="s">
        <v>45</v>
      </c>
      <c r="E447" t="s">
        <v>46</v>
      </c>
      <c r="F447" t="s">
        <v>77</v>
      </c>
      <c r="G447">
        <v>12.9</v>
      </c>
      <c r="H447">
        <v>9.5</v>
      </c>
      <c r="I447">
        <v>8.8000000000000007</v>
      </c>
      <c r="J447">
        <v>36.299999999999997</v>
      </c>
      <c r="K447">
        <v>19.899999999999999</v>
      </c>
      <c r="L447">
        <v>22.2</v>
      </c>
      <c r="M447">
        <v>86.7</v>
      </c>
      <c r="N447">
        <v>6.1</v>
      </c>
      <c r="O447">
        <v>15.9</v>
      </c>
      <c r="P447" t="s">
        <v>1615</v>
      </c>
      <c r="Q447" t="s">
        <v>486</v>
      </c>
      <c r="R447" t="s">
        <v>1846</v>
      </c>
      <c r="S447" t="s">
        <v>487</v>
      </c>
      <c r="T447">
        <v>2910</v>
      </c>
      <c r="U447">
        <v>31.7</v>
      </c>
      <c r="V447">
        <v>605</v>
      </c>
      <c r="W447">
        <v>36.4</v>
      </c>
      <c r="X447">
        <v>318</v>
      </c>
      <c r="Y447">
        <v>87.6</v>
      </c>
      <c r="Z447">
        <v>159</v>
      </c>
      <c r="AA447">
        <v>99.9</v>
      </c>
      <c r="AB447">
        <v>35</v>
      </c>
      <c r="AC447">
        <v>66.7</v>
      </c>
      <c r="AD447">
        <v>453</v>
      </c>
      <c r="AE447" t="s">
        <v>57</v>
      </c>
      <c r="AF447">
        <v>0</v>
      </c>
      <c r="AG447" t="s">
        <v>1847</v>
      </c>
      <c r="AH447">
        <v>714898</v>
      </c>
      <c r="AI447" t="s">
        <v>46</v>
      </c>
      <c r="AJ447" s="1">
        <v>40379</v>
      </c>
      <c r="AK447">
        <v>19</v>
      </c>
      <c r="AL447" s="2">
        <v>0.13</v>
      </c>
      <c r="AN447" t="s">
        <v>1846</v>
      </c>
      <c r="AO447" t="s">
        <v>1848</v>
      </c>
      <c r="AP447" t="b">
        <v>0</v>
      </c>
      <c r="AQ447" t="b">
        <v>0</v>
      </c>
      <c r="AR447" t="b">
        <v>0</v>
      </c>
    </row>
    <row r="448" spans="1:45" x14ac:dyDescent="0.3">
      <c r="A448" t="s">
        <v>1442</v>
      </c>
      <c r="B448" t="s">
        <v>1676</v>
      </c>
      <c r="C448" t="s">
        <v>1849</v>
      </c>
      <c r="D448" t="s">
        <v>731</v>
      </c>
      <c r="E448" t="s">
        <v>732</v>
      </c>
      <c r="F448" t="s">
        <v>47</v>
      </c>
      <c r="G448">
        <v>17.600000000000001</v>
      </c>
      <c r="H448">
        <v>18.399999999999999</v>
      </c>
      <c r="I448">
        <v>24.3</v>
      </c>
      <c r="J448">
        <v>8.6</v>
      </c>
      <c r="K448">
        <v>100</v>
      </c>
      <c r="L448">
        <v>1.9</v>
      </c>
      <c r="M448">
        <v>50.8</v>
      </c>
      <c r="N448">
        <v>20.9</v>
      </c>
      <c r="O448">
        <v>2.9</v>
      </c>
      <c r="P448" t="s">
        <v>1615</v>
      </c>
      <c r="Q448" t="s">
        <v>372</v>
      </c>
      <c r="R448" t="s">
        <v>1849</v>
      </c>
      <c r="S448" t="s">
        <v>374</v>
      </c>
      <c r="T448">
        <v>5020</v>
      </c>
      <c r="U448">
        <v>28.3</v>
      </c>
      <c r="V448">
        <v>794</v>
      </c>
      <c r="W448">
        <v>25.4</v>
      </c>
      <c r="X448">
        <v>593</v>
      </c>
      <c r="Y448">
        <v>85.7</v>
      </c>
      <c r="Z448">
        <v>196</v>
      </c>
      <c r="AA448">
        <v>35</v>
      </c>
      <c r="AB448">
        <v>1091</v>
      </c>
      <c r="AC448">
        <v>74.5</v>
      </c>
      <c r="AD448">
        <v>338</v>
      </c>
      <c r="AE448" t="s">
        <v>57</v>
      </c>
      <c r="AF448">
        <v>0</v>
      </c>
      <c r="AG448" t="s">
        <v>1850</v>
      </c>
      <c r="AH448">
        <v>131282</v>
      </c>
      <c r="AI448" t="s">
        <v>732</v>
      </c>
      <c r="AJ448" s="1">
        <v>9036</v>
      </c>
      <c r="AK448">
        <v>14.4</v>
      </c>
      <c r="AL448" s="2">
        <v>0.02</v>
      </c>
      <c r="AM448" s="3">
        <v>3.6340277777777779</v>
      </c>
      <c r="AN448" t="s">
        <v>1849</v>
      </c>
      <c r="AO448" t="s">
        <v>1851</v>
      </c>
      <c r="AP448" t="b">
        <v>0</v>
      </c>
      <c r="AQ448" t="b">
        <v>0</v>
      </c>
      <c r="AR448" t="b">
        <v>0</v>
      </c>
    </row>
    <row r="449" spans="1:45" x14ac:dyDescent="0.3">
      <c r="A449" t="s">
        <v>1852</v>
      </c>
      <c r="B449" t="s">
        <v>1852</v>
      </c>
      <c r="C449" t="s">
        <v>1853</v>
      </c>
      <c r="D449" t="s">
        <v>166</v>
      </c>
      <c r="E449" t="s">
        <v>167</v>
      </c>
      <c r="F449" t="s">
        <v>47</v>
      </c>
      <c r="G449">
        <v>13.7</v>
      </c>
      <c r="H449">
        <v>15</v>
      </c>
      <c r="I449">
        <v>68.900000000000006</v>
      </c>
      <c r="J449">
        <v>17.899999999999999</v>
      </c>
      <c r="K449">
        <v>9.3000000000000007</v>
      </c>
      <c r="L449">
        <v>24.2</v>
      </c>
      <c r="M449">
        <v>18.8</v>
      </c>
      <c r="N449">
        <v>4.2</v>
      </c>
      <c r="O449">
        <v>23.7</v>
      </c>
      <c r="P449" t="s">
        <v>1615</v>
      </c>
      <c r="Q449" t="s">
        <v>572</v>
      </c>
      <c r="R449" t="s">
        <v>1854</v>
      </c>
      <c r="S449" t="s">
        <v>574</v>
      </c>
      <c r="T449">
        <v>5050</v>
      </c>
      <c r="U449">
        <v>35.6</v>
      </c>
      <c r="V449">
        <v>440</v>
      </c>
      <c r="W449">
        <v>37.700000000000003</v>
      </c>
      <c r="X449">
        <v>297</v>
      </c>
      <c r="Y449">
        <v>52.8</v>
      </c>
      <c r="Z449">
        <v>945</v>
      </c>
      <c r="AA449">
        <v>92.3</v>
      </c>
      <c r="AB449">
        <v>142</v>
      </c>
      <c r="AC449">
        <v>48</v>
      </c>
      <c r="AD449">
        <v>866</v>
      </c>
      <c r="AE449" t="s">
        <v>57</v>
      </c>
      <c r="AF449">
        <v>0</v>
      </c>
      <c r="AG449" t="s">
        <v>1855</v>
      </c>
      <c r="AH449">
        <v>131532</v>
      </c>
      <c r="AI449" t="s">
        <v>167</v>
      </c>
      <c r="AJ449" s="1">
        <v>7714</v>
      </c>
      <c r="AK449">
        <v>14.9</v>
      </c>
      <c r="AL449" s="2">
        <v>0.17</v>
      </c>
      <c r="AM449" s="3">
        <v>1.7493055555555554</v>
      </c>
      <c r="AN449" t="s">
        <v>1854</v>
      </c>
      <c r="AO449" t="s">
        <v>1856</v>
      </c>
      <c r="AP449" t="b">
        <v>0</v>
      </c>
      <c r="AQ449" t="b">
        <v>0</v>
      </c>
      <c r="AR449" t="b">
        <v>0</v>
      </c>
    </row>
    <row r="450" spans="1:45" x14ac:dyDescent="0.3">
      <c r="A450" t="s">
        <v>1852</v>
      </c>
      <c r="B450" t="s">
        <v>1852</v>
      </c>
      <c r="C450" t="s">
        <v>1857</v>
      </c>
      <c r="D450" t="s">
        <v>45</v>
      </c>
      <c r="E450" t="s">
        <v>46</v>
      </c>
      <c r="F450" t="s">
        <v>56</v>
      </c>
      <c r="G450">
        <v>21.3</v>
      </c>
      <c r="H450">
        <v>16.2</v>
      </c>
      <c r="I450">
        <v>21.2</v>
      </c>
      <c r="J450">
        <v>16.600000000000001</v>
      </c>
      <c r="K450">
        <v>12.5</v>
      </c>
      <c r="L450">
        <v>18.8</v>
      </c>
      <c r="M450">
        <v>50.8</v>
      </c>
      <c r="N450">
        <v>42.2</v>
      </c>
      <c r="O450">
        <v>7.1</v>
      </c>
      <c r="P450" t="s">
        <v>1615</v>
      </c>
      <c r="Q450" t="s">
        <v>486</v>
      </c>
      <c r="R450" t="s">
        <v>1857</v>
      </c>
      <c r="S450" t="s">
        <v>487</v>
      </c>
      <c r="T450">
        <v>2540</v>
      </c>
      <c r="U450">
        <v>43.5</v>
      </c>
      <c r="V450">
        <v>230</v>
      </c>
      <c r="W450">
        <v>30.5</v>
      </c>
      <c r="X450">
        <v>454</v>
      </c>
      <c r="Y450">
        <v>84.6</v>
      </c>
      <c r="Z450">
        <v>219</v>
      </c>
      <c r="AA450">
        <v>60.7</v>
      </c>
      <c r="AB450">
        <v>628</v>
      </c>
      <c r="AC450">
        <v>57.8</v>
      </c>
      <c r="AD450">
        <v>626</v>
      </c>
      <c r="AE450" t="s">
        <v>49</v>
      </c>
      <c r="AF450">
        <v>0</v>
      </c>
      <c r="AG450" t="s">
        <v>1858</v>
      </c>
      <c r="AH450">
        <v>659</v>
      </c>
      <c r="AI450" t="s">
        <v>46</v>
      </c>
      <c r="AJ450" s="1">
        <v>13156</v>
      </c>
      <c r="AK450">
        <v>14.9</v>
      </c>
      <c r="AL450" s="2">
        <v>0.1</v>
      </c>
      <c r="AM450" s="3">
        <v>2.3229166666666665</v>
      </c>
      <c r="AN450" t="s">
        <v>1857</v>
      </c>
      <c r="AO450" t="s">
        <v>1859</v>
      </c>
      <c r="AP450" t="b">
        <v>0</v>
      </c>
      <c r="AQ450" t="b">
        <v>0</v>
      </c>
      <c r="AR450" t="b">
        <v>0</v>
      </c>
      <c r="AS450" t="s">
        <v>1860</v>
      </c>
    </row>
    <row r="451" spans="1:45" x14ac:dyDescent="0.3">
      <c r="A451" t="s">
        <v>1852</v>
      </c>
      <c r="B451" t="s">
        <v>1442</v>
      </c>
      <c r="C451" t="s">
        <v>1861</v>
      </c>
      <c r="D451" t="s">
        <v>297</v>
      </c>
      <c r="E451" t="s">
        <v>298</v>
      </c>
      <c r="F451" t="s">
        <v>47</v>
      </c>
      <c r="G451">
        <v>6.3</v>
      </c>
      <c r="H451">
        <v>4.3</v>
      </c>
      <c r="I451">
        <v>71.599999999999994</v>
      </c>
      <c r="J451">
        <v>41.9</v>
      </c>
      <c r="K451">
        <v>5.0999999999999996</v>
      </c>
      <c r="L451">
        <v>4.5</v>
      </c>
      <c r="M451">
        <v>27.7</v>
      </c>
      <c r="N451">
        <v>2</v>
      </c>
      <c r="O451">
        <v>13.2</v>
      </c>
      <c r="P451" t="s">
        <v>1615</v>
      </c>
      <c r="Q451" t="s">
        <v>696</v>
      </c>
      <c r="R451" t="s">
        <v>1861</v>
      </c>
      <c r="S451" t="s">
        <v>697</v>
      </c>
      <c r="T451">
        <v>6330</v>
      </c>
      <c r="U451">
        <v>26.5</v>
      </c>
      <c r="V451">
        <v>907</v>
      </c>
      <c r="W451">
        <v>34.6</v>
      </c>
      <c r="X451">
        <v>358</v>
      </c>
      <c r="Y451">
        <v>47.2</v>
      </c>
      <c r="Z451">
        <v>1074</v>
      </c>
      <c r="AA451">
        <v>95.5</v>
      </c>
      <c r="AB451">
        <v>113</v>
      </c>
      <c r="AC451">
        <v>28.5</v>
      </c>
      <c r="AD451">
        <v>1558</v>
      </c>
      <c r="AE451" t="s">
        <v>57</v>
      </c>
      <c r="AF451">
        <v>11</v>
      </c>
      <c r="AG451" t="s">
        <v>1862</v>
      </c>
      <c r="AH451">
        <v>992</v>
      </c>
      <c r="AI451" t="s">
        <v>298</v>
      </c>
      <c r="AJ451" s="1">
        <v>7017</v>
      </c>
      <c r="AK451">
        <v>12.3</v>
      </c>
      <c r="AL451" s="2">
        <v>0.05</v>
      </c>
      <c r="AM451" s="3">
        <v>2.0770833333333334</v>
      </c>
      <c r="AN451" t="s">
        <v>1863</v>
      </c>
      <c r="AO451" t="s">
        <v>1864</v>
      </c>
      <c r="AP451" t="b">
        <v>0</v>
      </c>
      <c r="AQ451" t="b">
        <v>0</v>
      </c>
      <c r="AR451" t="b">
        <v>0</v>
      </c>
    </row>
    <row r="452" spans="1:45" x14ac:dyDescent="0.3">
      <c r="A452">
        <v>508</v>
      </c>
      <c r="B452">
        <v>595</v>
      </c>
      <c r="C452" t="s">
        <v>1865</v>
      </c>
      <c r="D452" t="s">
        <v>95</v>
      </c>
      <c r="E452" t="s">
        <v>96</v>
      </c>
      <c r="F452" t="s">
        <v>77</v>
      </c>
      <c r="G452">
        <v>7.7</v>
      </c>
      <c r="H452">
        <v>3.2</v>
      </c>
      <c r="I452">
        <v>42.1</v>
      </c>
      <c r="J452">
        <v>64.5</v>
      </c>
      <c r="K452">
        <v>11</v>
      </c>
      <c r="L452">
        <v>1.4</v>
      </c>
      <c r="M452">
        <v>65.099999999999994</v>
      </c>
      <c r="N452">
        <v>15.8</v>
      </c>
      <c r="O452">
        <v>7.4</v>
      </c>
      <c r="P452">
        <v>23.9</v>
      </c>
      <c r="Q452" t="s">
        <v>659</v>
      </c>
      <c r="R452" t="s">
        <v>1865</v>
      </c>
      <c r="S452" t="s">
        <v>660</v>
      </c>
      <c r="T452">
        <v>3910</v>
      </c>
      <c r="U452">
        <v>27.8</v>
      </c>
      <c r="V452">
        <v>820</v>
      </c>
      <c r="W452">
        <v>34.299999999999997</v>
      </c>
      <c r="X452">
        <v>371</v>
      </c>
      <c r="Y452">
        <v>85.3</v>
      </c>
      <c r="Z452">
        <v>205</v>
      </c>
      <c r="AA452">
        <v>57.9</v>
      </c>
      <c r="AB452">
        <v>683</v>
      </c>
      <c r="AC452">
        <v>42.4</v>
      </c>
      <c r="AD452">
        <v>1036</v>
      </c>
      <c r="AE452" t="s">
        <v>57</v>
      </c>
      <c r="AF452">
        <v>0</v>
      </c>
      <c r="AG452" t="s">
        <v>1866</v>
      </c>
      <c r="AH452">
        <v>623262</v>
      </c>
      <c r="AI452" t="s">
        <v>98</v>
      </c>
      <c r="AJ452" s="1">
        <v>35736</v>
      </c>
      <c r="AK452">
        <v>14</v>
      </c>
      <c r="AL452" s="2">
        <v>0.01</v>
      </c>
      <c r="AM452" s="3">
        <v>2.0770833333333334</v>
      </c>
      <c r="AN452" t="s">
        <v>1867</v>
      </c>
      <c r="AO452" t="s">
        <v>1868</v>
      </c>
      <c r="AP452" t="b">
        <v>0</v>
      </c>
      <c r="AQ452" t="b">
        <v>0</v>
      </c>
      <c r="AR452" t="b">
        <v>0</v>
      </c>
    </row>
    <row r="453" spans="1:45" x14ac:dyDescent="0.3">
      <c r="A453" t="s">
        <v>1852</v>
      </c>
      <c r="B453" t="s">
        <v>1608</v>
      </c>
      <c r="C453" t="s">
        <v>1869</v>
      </c>
      <c r="D453" t="s">
        <v>378</v>
      </c>
      <c r="E453" t="s">
        <v>379</v>
      </c>
      <c r="F453" t="s">
        <v>56</v>
      </c>
      <c r="G453">
        <v>12.8</v>
      </c>
      <c r="H453">
        <v>5.5</v>
      </c>
      <c r="I453">
        <v>96.7</v>
      </c>
      <c r="J453">
        <v>1.7</v>
      </c>
      <c r="K453">
        <v>10.8</v>
      </c>
      <c r="L453">
        <v>63.1</v>
      </c>
      <c r="M453">
        <v>41.7</v>
      </c>
      <c r="N453">
        <v>5.0999999999999996</v>
      </c>
      <c r="O453">
        <v>1.1000000000000001</v>
      </c>
      <c r="P453" t="s">
        <v>1615</v>
      </c>
      <c r="Q453" t="s">
        <v>621</v>
      </c>
      <c r="R453" t="s">
        <v>1869</v>
      </c>
      <c r="S453" t="s">
        <v>622</v>
      </c>
      <c r="T453">
        <v>12650</v>
      </c>
      <c r="U453">
        <v>31.5</v>
      </c>
      <c r="V453">
        <v>612</v>
      </c>
      <c r="W453">
        <v>19.600000000000001</v>
      </c>
      <c r="X453">
        <v>832</v>
      </c>
      <c r="Y453">
        <v>21</v>
      </c>
      <c r="Z453">
        <v>1657</v>
      </c>
      <c r="AA453">
        <v>26.6</v>
      </c>
      <c r="AB453">
        <v>1275</v>
      </c>
      <c r="AC453">
        <v>62.7</v>
      </c>
      <c r="AD453">
        <v>527</v>
      </c>
      <c r="AE453" t="s">
        <v>57</v>
      </c>
      <c r="AF453">
        <v>0</v>
      </c>
      <c r="AG453" t="s">
        <v>1870</v>
      </c>
      <c r="AH453">
        <v>131577</v>
      </c>
      <c r="AI453" t="s">
        <v>381</v>
      </c>
      <c r="AJ453" s="1">
        <v>15631</v>
      </c>
      <c r="AK453">
        <v>12.9</v>
      </c>
      <c r="AL453" s="2">
        <v>0.21</v>
      </c>
      <c r="AM453" s="3">
        <v>2.4868055555555557</v>
      </c>
      <c r="AN453" t="s">
        <v>1869</v>
      </c>
      <c r="AO453" t="s">
        <v>1871</v>
      </c>
      <c r="AP453" t="b">
        <v>0</v>
      </c>
      <c r="AQ453" t="b">
        <v>0</v>
      </c>
      <c r="AR453" t="b">
        <v>1</v>
      </c>
    </row>
    <row r="454" spans="1:45" x14ac:dyDescent="0.3">
      <c r="A454" t="s">
        <v>1852</v>
      </c>
      <c r="B454" t="s">
        <v>1650</v>
      </c>
      <c r="C454" t="s">
        <v>1872</v>
      </c>
      <c r="D454" t="s">
        <v>166</v>
      </c>
      <c r="E454" t="s">
        <v>167</v>
      </c>
      <c r="F454" t="s">
        <v>56</v>
      </c>
      <c r="G454">
        <v>12.2</v>
      </c>
      <c r="H454">
        <v>14.3</v>
      </c>
      <c r="I454">
        <v>77.2</v>
      </c>
      <c r="J454">
        <v>10.9</v>
      </c>
      <c r="K454">
        <v>9.6999999999999993</v>
      </c>
      <c r="L454">
        <v>13.7</v>
      </c>
      <c r="M454">
        <v>23.9</v>
      </c>
      <c r="N454">
        <v>13.1</v>
      </c>
      <c r="O454">
        <v>41.4</v>
      </c>
      <c r="P454" t="s">
        <v>1615</v>
      </c>
      <c r="Q454" t="s">
        <v>679</v>
      </c>
      <c r="R454" t="s">
        <v>1872</v>
      </c>
      <c r="S454" t="s">
        <v>680</v>
      </c>
      <c r="T454">
        <v>8800</v>
      </c>
      <c r="U454">
        <v>31.2</v>
      </c>
      <c r="V454">
        <v>630</v>
      </c>
      <c r="W454">
        <v>27.2</v>
      </c>
      <c r="X454">
        <v>534</v>
      </c>
      <c r="Y454">
        <v>41.7</v>
      </c>
      <c r="Z454">
        <v>1189</v>
      </c>
      <c r="AA454">
        <v>83.9</v>
      </c>
      <c r="AB454">
        <v>220</v>
      </c>
      <c r="AC454">
        <v>38.799999999999997</v>
      </c>
      <c r="AD454">
        <v>1158</v>
      </c>
      <c r="AE454" t="s">
        <v>57</v>
      </c>
      <c r="AF454">
        <v>0</v>
      </c>
      <c r="AG454" t="s">
        <v>1873</v>
      </c>
      <c r="AH454">
        <v>949</v>
      </c>
      <c r="AI454" t="s">
        <v>167</v>
      </c>
      <c r="AJ454" s="1">
        <v>16035</v>
      </c>
      <c r="AK454">
        <v>19.2</v>
      </c>
      <c r="AL454" s="2">
        <v>0.08</v>
      </c>
      <c r="AM454" s="3">
        <v>1.7902777777777779</v>
      </c>
      <c r="AN454" t="s">
        <v>1872</v>
      </c>
      <c r="AO454" t="s">
        <v>1874</v>
      </c>
      <c r="AP454" t="b">
        <v>0</v>
      </c>
      <c r="AQ454" t="b">
        <v>0</v>
      </c>
      <c r="AR454" t="b">
        <v>0</v>
      </c>
    </row>
    <row r="455" spans="1:45" x14ac:dyDescent="0.3">
      <c r="A455" t="s">
        <v>1852</v>
      </c>
      <c r="B455" t="s">
        <v>1842</v>
      </c>
      <c r="C455" t="s">
        <v>1875</v>
      </c>
      <c r="D455" t="s">
        <v>758</v>
      </c>
      <c r="E455" t="s">
        <v>759</v>
      </c>
      <c r="F455" t="s">
        <v>47</v>
      </c>
      <c r="G455">
        <v>8.9</v>
      </c>
      <c r="H455">
        <v>18.3</v>
      </c>
      <c r="I455">
        <v>48.8</v>
      </c>
      <c r="J455">
        <v>35.299999999999997</v>
      </c>
      <c r="K455">
        <v>1.4</v>
      </c>
      <c r="L455">
        <v>2.5</v>
      </c>
      <c r="M455">
        <v>44.2</v>
      </c>
      <c r="N455">
        <v>14.4</v>
      </c>
      <c r="O455">
        <v>1.8</v>
      </c>
      <c r="P455" t="s">
        <v>1615</v>
      </c>
      <c r="Q455" t="s">
        <v>679</v>
      </c>
      <c r="R455" t="s">
        <v>1875</v>
      </c>
      <c r="S455" t="s">
        <v>680</v>
      </c>
      <c r="T455">
        <v>9640</v>
      </c>
      <c r="U455">
        <v>44</v>
      </c>
      <c r="V455">
        <v>220</v>
      </c>
      <c r="W455">
        <v>11.8</v>
      </c>
      <c r="X455">
        <v>1430</v>
      </c>
      <c r="Y455">
        <v>54.5</v>
      </c>
      <c r="Z455">
        <v>897</v>
      </c>
      <c r="AA455">
        <v>22.8</v>
      </c>
      <c r="AB455">
        <v>1410</v>
      </c>
      <c r="AC455">
        <v>25.2</v>
      </c>
      <c r="AD455">
        <v>1697</v>
      </c>
      <c r="AE455" t="s">
        <v>57</v>
      </c>
      <c r="AF455">
        <v>0</v>
      </c>
      <c r="AG455" t="s">
        <v>1876</v>
      </c>
      <c r="AH455">
        <v>131809</v>
      </c>
      <c r="AI455" t="s">
        <v>759</v>
      </c>
      <c r="AJ455" s="1">
        <v>5871</v>
      </c>
      <c r="AK455">
        <v>9.6</v>
      </c>
      <c r="AL455" s="2">
        <v>0.04</v>
      </c>
      <c r="AM455" s="3">
        <v>1.8722222222222222</v>
      </c>
      <c r="AN455" t="s">
        <v>1875</v>
      </c>
      <c r="AO455" t="s">
        <v>1877</v>
      </c>
      <c r="AP455" t="b">
        <v>0</v>
      </c>
      <c r="AQ455" t="b">
        <v>0</v>
      </c>
      <c r="AR455" t="b">
        <v>0</v>
      </c>
    </row>
    <row r="456" spans="1:45" x14ac:dyDescent="0.3">
      <c r="A456" t="s">
        <v>1852</v>
      </c>
      <c r="B456">
        <v>600</v>
      </c>
      <c r="C456" t="s">
        <v>1878</v>
      </c>
      <c r="D456" t="s">
        <v>45</v>
      </c>
      <c r="E456" t="s">
        <v>46</v>
      </c>
      <c r="F456" t="s">
        <v>56</v>
      </c>
      <c r="G456">
        <v>9.8000000000000007</v>
      </c>
      <c r="H456">
        <v>6</v>
      </c>
      <c r="I456">
        <v>84.7</v>
      </c>
      <c r="J456">
        <v>9.6999999999999993</v>
      </c>
      <c r="K456">
        <v>9.9</v>
      </c>
      <c r="L456">
        <v>10.8</v>
      </c>
      <c r="M456">
        <v>75.400000000000006</v>
      </c>
      <c r="N456">
        <v>26</v>
      </c>
      <c r="O456">
        <v>8</v>
      </c>
      <c r="P456" t="s">
        <v>1615</v>
      </c>
      <c r="Q456" t="s">
        <v>372</v>
      </c>
      <c r="R456" t="s">
        <v>1878</v>
      </c>
      <c r="S456" t="s">
        <v>374</v>
      </c>
      <c r="T456">
        <v>4910</v>
      </c>
      <c r="U456">
        <v>42.9</v>
      </c>
      <c r="V456">
        <v>245</v>
      </c>
      <c r="W456">
        <v>24.4</v>
      </c>
      <c r="X456">
        <v>635</v>
      </c>
      <c r="Y456">
        <v>73.099999999999994</v>
      </c>
      <c r="Z456">
        <v>480</v>
      </c>
      <c r="AA456">
        <v>67.8</v>
      </c>
      <c r="AB456">
        <v>485</v>
      </c>
      <c r="AC456">
        <v>50.7</v>
      </c>
      <c r="AD456">
        <v>783</v>
      </c>
      <c r="AE456" t="s">
        <v>49</v>
      </c>
      <c r="AF456">
        <v>0</v>
      </c>
      <c r="AG456" t="s">
        <v>1879</v>
      </c>
      <c r="AH456">
        <v>686</v>
      </c>
      <c r="AI456" t="s">
        <v>46</v>
      </c>
      <c r="AJ456" s="1">
        <v>12217</v>
      </c>
      <c r="AK456">
        <v>7.7</v>
      </c>
      <c r="AL456" s="2">
        <v>0.09</v>
      </c>
      <c r="AM456" s="3">
        <v>2.5277777777777777</v>
      </c>
      <c r="AN456" t="s">
        <v>1878</v>
      </c>
      <c r="AO456" t="s">
        <v>1880</v>
      </c>
      <c r="AP456" t="b">
        <v>0</v>
      </c>
      <c r="AQ456" t="b">
        <v>0</v>
      </c>
      <c r="AR456" t="b">
        <v>0</v>
      </c>
      <c r="AS456" t="s">
        <v>1881</v>
      </c>
    </row>
    <row r="457" spans="1:45" x14ac:dyDescent="0.3">
      <c r="A457" t="s">
        <v>1852</v>
      </c>
      <c r="B457">
        <v>502</v>
      </c>
      <c r="C457" t="s">
        <v>1882</v>
      </c>
      <c r="D457" t="s">
        <v>54</v>
      </c>
      <c r="E457" t="s">
        <v>55</v>
      </c>
      <c r="F457" t="s">
        <v>56</v>
      </c>
      <c r="G457">
        <v>8.1</v>
      </c>
      <c r="H457">
        <v>7.3</v>
      </c>
      <c r="I457">
        <v>8.6</v>
      </c>
      <c r="J457">
        <v>15.1</v>
      </c>
      <c r="K457">
        <v>74</v>
      </c>
      <c r="L457">
        <v>85.3</v>
      </c>
      <c r="M457">
        <v>75.400000000000006</v>
      </c>
      <c r="N457">
        <v>8.9</v>
      </c>
      <c r="O457">
        <v>21.1</v>
      </c>
      <c r="P457" t="s">
        <v>1615</v>
      </c>
      <c r="Q457" t="s">
        <v>372</v>
      </c>
      <c r="R457" t="s">
        <v>1882</v>
      </c>
      <c r="S457" t="s">
        <v>374</v>
      </c>
      <c r="T457">
        <v>4720</v>
      </c>
      <c r="U457">
        <v>20</v>
      </c>
      <c r="V457">
        <v>1377</v>
      </c>
      <c r="W457">
        <v>20</v>
      </c>
      <c r="X457">
        <v>814</v>
      </c>
      <c r="Y457">
        <v>84.5</v>
      </c>
      <c r="Z457">
        <v>223</v>
      </c>
      <c r="AA457">
        <v>40.6</v>
      </c>
      <c r="AB457">
        <v>966</v>
      </c>
      <c r="AC457">
        <v>94.7</v>
      </c>
      <c r="AD457">
        <v>56</v>
      </c>
      <c r="AE457" t="s">
        <v>57</v>
      </c>
      <c r="AF457">
        <v>0</v>
      </c>
      <c r="AG457" t="s">
        <v>1883</v>
      </c>
      <c r="AH457">
        <v>893</v>
      </c>
      <c r="AI457" t="s">
        <v>55</v>
      </c>
      <c r="AJ457" s="1">
        <v>23625</v>
      </c>
      <c r="AK457">
        <v>16.8</v>
      </c>
      <c r="AL457" s="2">
        <v>0.28999999999999998</v>
      </c>
      <c r="AM457" s="3">
        <v>1.9951388888888888</v>
      </c>
      <c r="AN457" t="s">
        <v>1882</v>
      </c>
      <c r="AO457" t="s">
        <v>1884</v>
      </c>
      <c r="AP457" t="b">
        <v>0</v>
      </c>
      <c r="AQ457" t="b">
        <v>0</v>
      </c>
      <c r="AR457" t="b">
        <v>0</v>
      </c>
      <c r="AS457" t="s">
        <v>1885</v>
      </c>
    </row>
    <row r="458" spans="1:45" x14ac:dyDescent="0.3">
      <c r="A458" t="s">
        <v>1608</v>
      </c>
      <c r="B458" t="s">
        <v>1842</v>
      </c>
      <c r="C458" t="s">
        <v>1886</v>
      </c>
      <c r="D458" t="s">
        <v>1690</v>
      </c>
      <c r="E458" t="s">
        <v>1691</v>
      </c>
      <c r="F458" t="s">
        <v>388</v>
      </c>
      <c r="G458">
        <v>17.7</v>
      </c>
      <c r="H458">
        <v>14.8</v>
      </c>
      <c r="I458">
        <v>19.100000000000001</v>
      </c>
      <c r="J458">
        <v>3.3</v>
      </c>
      <c r="K458">
        <v>88.5</v>
      </c>
      <c r="L458">
        <v>48.2</v>
      </c>
      <c r="M458">
        <v>28</v>
      </c>
      <c r="N458">
        <v>38.200000000000003</v>
      </c>
      <c r="O458">
        <v>1</v>
      </c>
      <c r="P458" t="s">
        <v>1615</v>
      </c>
      <c r="Q458" t="s">
        <v>572</v>
      </c>
      <c r="R458" t="s">
        <v>1887</v>
      </c>
      <c r="S458" t="s">
        <v>574</v>
      </c>
      <c r="T458">
        <v>5150</v>
      </c>
      <c r="U458">
        <v>48.5</v>
      </c>
      <c r="V458">
        <v>151</v>
      </c>
      <c r="W458">
        <v>24.6</v>
      </c>
      <c r="X458">
        <v>621</v>
      </c>
      <c r="Y458">
        <v>47.3</v>
      </c>
      <c r="Z458">
        <v>1073</v>
      </c>
      <c r="AA458">
        <v>18.600000000000001</v>
      </c>
      <c r="AB458">
        <v>1616</v>
      </c>
      <c r="AC458">
        <v>88.2</v>
      </c>
      <c r="AD458">
        <v>148</v>
      </c>
      <c r="AE458" t="s">
        <v>57</v>
      </c>
      <c r="AF458">
        <v>0</v>
      </c>
      <c r="AG458" t="s">
        <v>1888</v>
      </c>
      <c r="AH458">
        <v>131384</v>
      </c>
      <c r="AI458" t="s">
        <v>1691</v>
      </c>
      <c r="AJ458" s="1">
        <v>4834</v>
      </c>
      <c r="AK458">
        <v>10.4</v>
      </c>
      <c r="AL458" s="2">
        <v>0.21</v>
      </c>
      <c r="AM458" s="3">
        <v>1.9131944444444444</v>
      </c>
      <c r="AN458" t="s">
        <v>1887</v>
      </c>
      <c r="AO458" t="s">
        <v>1889</v>
      </c>
      <c r="AP458" t="b">
        <v>0</v>
      </c>
      <c r="AQ458" t="b">
        <v>0</v>
      </c>
      <c r="AR458" t="b">
        <v>0</v>
      </c>
    </row>
    <row r="459" spans="1:45" x14ac:dyDescent="0.3">
      <c r="A459" t="s">
        <v>1608</v>
      </c>
      <c r="B459" t="s">
        <v>1613</v>
      </c>
      <c r="C459" t="s">
        <v>1890</v>
      </c>
      <c r="D459" t="s">
        <v>1117</v>
      </c>
      <c r="E459" t="s">
        <v>1118</v>
      </c>
      <c r="F459" t="s">
        <v>56</v>
      </c>
      <c r="G459">
        <v>22.6</v>
      </c>
      <c r="H459">
        <v>52.4</v>
      </c>
      <c r="I459">
        <v>10</v>
      </c>
      <c r="J459">
        <v>4.5</v>
      </c>
      <c r="K459">
        <v>1.9</v>
      </c>
      <c r="L459">
        <v>2.5</v>
      </c>
      <c r="M459">
        <v>22.2</v>
      </c>
      <c r="N459">
        <v>47.4</v>
      </c>
      <c r="O459">
        <v>2.7</v>
      </c>
      <c r="P459" t="s">
        <v>1615</v>
      </c>
      <c r="Q459" t="s">
        <v>1068</v>
      </c>
      <c r="R459" t="s">
        <v>1890</v>
      </c>
      <c r="S459" t="s">
        <v>1070</v>
      </c>
      <c r="T459">
        <v>15930</v>
      </c>
      <c r="U459">
        <v>19.600000000000001</v>
      </c>
      <c r="V459">
        <v>1411</v>
      </c>
      <c r="W459">
        <v>12.8</v>
      </c>
      <c r="X459">
        <v>1321</v>
      </c>
      <c r="Y459">
        <v>31.3</v>
      </c>
      <c r="Z459">
        <v>1415</v>
      </c>
      <c r="AA459">
        <v>17.399999999999999</v>
      </c>
      <c r="AB459">
        <v>1710</v>
      </c>
      <c r="AC459">
        <v>29.3</v>
      </c>
      <c r="AD459">
        <v>1525</v>
      </c>
      <c r="AE459" t="s">
        <v>57</v>
      </c>
      <c r="AF459">
        <v>11</v>
      </c>
      <c r="AG459" t="s">
        <v>1891</v>
      </c>
      <c r="AH459">
        <v>131696</v>
      </c>
      <c r="AI459" t="s">
        <v>1118</v>
      </c>
      <c r="AJ459" s="1">
        <v>14905</v>
      </c>
      <c r="AK459">
        <v>14.5</v>
      </c>
      <c r="AL459" s="2">
        <v>0.03</v>
      </c>
      <c r="AM459" s="3">
        <v>2.1180555555555554</v>
      </c>
      <c r="AN459" t="s">
        <v>1892</v>
      </c>
      <c r="AO459" t="s">
        <v>1893</v>
      </c>
      <c r="AP459" t="b">
        <v>0</v>
      </c>
      <c r="AQ459" t="b">
        <v>0</v>
      </c>
      <c r="AR459" t="b">
        <v>0</v>
      </c>
    </row>
    <row r="460" spans="1:45" x14ac:dyDescent="0.3">
      <c r="A460">
        <v>547</v>
      </c>
      <c r="B460" t="s">
        <v>1442</v>
      </c>
      <c r="C460" t="s">
        <v>1894</v>
      </c>
      <c r="D460" t="s">
        <v>95</v>
      </c>
      <c r="E460" t="s">
        <v>96</v>
      </c>
      <c r="F460" t="s">
        <v>77</v>
      </c>
      <c r="G460">
        <v>5.8</v>
      </c>
      <c r="H460">
        <v>3.2</v>
      </c>
      <c r="I460">
        <v>44.8</v>
      </c>
      <c r="J460">
        <v>63.8</v>
      </c>
      <c r="K460">
        <v>16.7</v>
      </c>
      <c r="L460">
        <v>5.2</v>
      </c>
      <c r="M460">
        <v>53.4</v>
      </c>
      <c r="N460">
        <v>6.6</v>
      </c>
      <c r="O460">
        <v>2.4</v>
      </c>
      <c r="P460">
        <v>22.6</v>
      </c>
      <c r="Q460" t="s">
        <v>614</v>
      </c>
      <c r="R460" t="s">
        <v>1894</v>
      </c>
      <c r="S460" t="s">
        <v>615</v>
      </c>
      <c r="T460">
        <v>3260</v>
      </c>
      <c r="U460">
        <v>37.4</v>
      </c>
      <c r="V460">
        <v>382</v>
      </c>
      <c r="W460">
        <v>40.6</v>
      </c>
      <c r="X460">
        <v>241</v>
      </c>
      <c r="Y460">
        <v>74.7</v>
      </c>
      <c r="Z460">
        <v>447</v>
      </c>
      <c r="AA460">
        <v>86.7</v>
      </c>
      <c r="AB460">
        <v>189</v>
      </c>
      <c r="AC460">
        <v>48.4</v>
      </c>
      <c r="AD460">
        <v>855</v>
      </c>
      <c r="AE460" t="s">
        <v>57</v>
      </c>
      <c r="AF460">
        <v>0</v>
      </c>
      <c r="AG460" t="s">
        <v>1895</v>
      </c>
      <c r="AH460">
        <v>1008</v>
      </c>
      <c r="AI460" t="s">
        <v>98</v>
      </c>
      <c r="AJ460" s="1">
        <v>36797</v>
      </c>
      <c r="AK460">
        <v>14.5</v>
      </c>
      <c r="AL460" s="2">
        <v>0.04</v>
      </c>
      <c r="AM460" t="s">
        <v>220</v>
      </c>
      <c r="AN460" t="s">
        <v>1894</v>
      </c>
      <c r="AO460" t="s">
        <v>1896</v>
      </c>
      <c r="AP460" t="b">
        <v>0</v>
      </c>
      <c r="AQ460" t="b">
        <v>0</v>
      </c>
      <c r="AR460" t="b">
        <v>0</v>
      </c>
    </row>
    <row r="461" spans="1:45" x14ac:dyDescent="0.3">
      <c r="A461" t="s">
        <v>1608</v>
      </c>
      <c r="B461" t="s">
        <v>1787</v>
      </c>
      <c r="C461" t="s">
        <v>1897</v>
      </c>
      <c r="D461" t="s">
        <v>962</v>
      </c>
      <c r="E461" t="s">
        <v>963</v>
      </c>
      <c r="F461" t="s">
        <v>56</v>
      </c>
      <c r="G461">
        <v>22.5</v>
      </c>
      <c r="H461">
        <v>29.4</v>
      </c>
      <c r="I461">
        <v>10.8</v>
      </c>
      <c r="J461">
        <v>7.1</v>
      </c>
      <c r="K461">
        <v>4</v>
      </c>
      <c r="L461">
        <v>3.5</v>
      </c>
      <c r="M461">
        <v>72.099999999999994</v>
      </c>
      <c r="N461">
        <v>22.2</v>
      </c>
      <c r="O461">
        <v>34.799999999999997</v>
      </c>
      <c r="P461" t="s">
        <v>1615</v>
      </c>
      <c r="Q461" t="s">
        <v>696</v>
      </c>
      <c r="R461" t="s">
        <v>1898</v>
      </c>
      <c r="S461" t="s">
        <v>697</v>
      </c>
      <c r="T461">
        <v>6610</v>
      </c>
      <c r="U461">
        <v>32.5</v>
      </c>
      <c r="V461">
        <v>570</v>
      </c>
      <c r="W461">
        <v>26.8</v>
      </c>
      <c r="X461">
        <v>547</v>
      </c>
      <c r="Y461">
        <v>50.4</v>
      </c>
      <c r="Z461">
        <v>1012</v>
      </c>
      <c r="AA461">
        <v>73.5</v>
      </c>
      <c r="AB461">
        <v>356</v>
      </c>
      <c r="AC461">
        <v>27.5</v>
      </c>
      <c r="AD461">
        <v>1599</v>
      </c>
      <c r="AE461" t="s">
        <v>57</v>
      </c>
      <c r="AF461">
        <v>0</v>
      </c>
      <c r="AG461" t="s">
        <v>1899</v>
      </c>
      <c r="AH461">
        <v>996</v>
      </c>
      <c r="AI461" t="s">
        <v>963</v>
      </c>
      <c r="AJ461" s="1">
        <v>37249</v>
      </c>
      <c r="AK461">
        <v>19.899999999999999</v>
      </c>
      <c r="AL461" s="2">
        <v>0.03</v>
      </c>
      <c r="AM461" s="3">
        <v>2.4458333333333333</v>
      </c>
      <c r="AN461" t="s">
        <v>1898</v>
      </c>
      <c r="AO461" t="s">
        <v>1900</v>
      </c>
      <c r="AP461" t="b">
        <v>0</v>
      </c>
      <c r="AQ461" t="b">
        <v>0</v>
      </c>
      <c r="AR461" t="b">
        <v>0</v>
      </c>
    </row>
    <row r="462" spans="1:45" x14ac:dyDescent="0.3">
      <c r="A462" t="s">
        <v>1608</v>
      </c>
      <c r="B462">
        <v>548</v>
      </c>
      <c r="C462" t="s">
        <v>1901</v>
      </c>
      <c r="D462" t="s">
        <v>45</v>
      </c>
      <c r="E462" t="s">
        <v>46</v>
      </c>
      <c r="F462" t="s">
        <v>47</v>
      </c>
      <c r="G462">
        <v>5.2</v>
      </c>
      <c r="H462">
        <v>4.8</v>
      </c>
      <c r="I462">
        <v>24.3</v>
      </c>
      <c r="J462">
        <v>32.5</v>
      </c>
      <c r="K462">
        <v>47.1</v>
      </c>
      <c r="L462">
        <v>27.8</v>
      </c>
      <c r="M462">
        <v>44.5</v>
      </c>
      <c r="N462">
        <v>29</v>
      </c>
      <c r="O462">
        <v>33.299999999999997</v>
      </c>
      <c r="P462" t="s">
        <v>1615</v>
      </c>
      <c r="Q462" t="s">
        <v>696</v>
      </c>
      <c r="R462" t="s">
        <v>1901</v>
      </c>
      <c r="S462" t="s">
        <v>697</v>
      </c>
      <c r="T462">
        <v>6960</v>
      </c>
      <c r="U462">
        <v>33</v>
      </c>
      <c r="V462">
        <v>543</v>
      </c>
      <c r="W462">
        <v>22.5</v>
      </c>
      <c r="X462">
        <v>709</v>
      </c>
      <c r="Y462">
        <v>57.6</v>
      </c>
      <c r="Z462">
        <v>828</v>
      </c>
      <c r="AA462">
        <v>63.6</v>
      </c>
      <c r="AB462">
        <v>574</v>
      </c>
      <c r="AC462">
        <v>73.8</v>
      </c>
      <c r="AD462">
        <v>353</v>
      </c>
      <c r="AE462" t="s">
        <v>49</v>
      </c>
      <c r="AF462">
        <v>0</v>
      </c>
      <c r="AG462" t="s">
        <v>1902</v>
      </c>
      <c r="AH462">
        <v>787</v>
      </c>
      <c r="AI462" t="s">
        <v>46</v>
      </c>
      <c r="AJ462" s="1">
        <v>6518</v>
      </c>
      <c r="AK462">
        <v>11.2</v>
      </c>
      <c r="AL462" s="2">
        <v>0.17</v>
      </c>
      <c r="AM462" s="3">
        <v>1.9541666666666666</v>
      </c>
      <c r="AN462" t="s">
        <v>1901</v>
      </c>
      <c r="AO462" t="s">
        <v>1903</v>
      </c>
      <c r="AP462" t="b">
        <v>0</v>
      </c>
      <c r="AQ462" t="b">
        <v>0</v>
      </c>
      <c r="AR462" t="b">
        <v>0</v>
      </c>
      <c r="AS462" t="s">
        <v>1904</v>
      </c>
    </row>
    <row r="463" spans="1:45" x14ac:dyDescent="0.3">
      <c r="A463" t="s">
        <v>1608</v>
      </c>
      <c r="B463" t="s">
        <v>1571</v>
      </c>
      <c r="C463" t="s">
        <v>1905</v>
      </c>
      <c r="D463" t="s">
        <v>297</v>
      </c>
      <c r="E463" t="s">
        <v>298</v>
      </c>
      <c r="F463" t="s">
        <v>47</v>
      </c>
      <c r="G463">
        <v>21.5</v>
      </c>
      <c r="H463">
        <v>28.2</v>
      </c>
      <c r="I463">
        <v>22.9</v>
      </c>
      <c r="J463">
        <v>14.4</v>
      </c>
      <c r="K463">
        <v>11.6</v>
      </c>
      <c r="L463">
        <v>10</v>
      </c>
      <c r="M463">
        <v>30.4</v>
      </c>
      <c r="N463">
        <v>10.199999999999999</v>
      </c>
      <c r="O463">
        <v>27.9</v>
      </c>
      <c r="P463" t="s">
        <v>1615</v>
      </c>
      <c r="Q463" t="s">
        <v>733</v>
      </c>
      <c r="R463" t="s">
        <v>1905</v>
      </c>
      <c r="S463" t="s">
        <v>735</v>
      </c>
      <c r="T463">
        <v>11220</v>
      </c>
      <c r="U463">
        <v>30.8</v>
      </c>
      <c r="V463">
        <v>650</v>
      </c>
      <c r="W463">
        <v>24.9</v>
      </c>
      <c r="X463">
        <v>618</v>
      </c>
      <c r="Y463">
        <v>29.7</v>
      </c>
      <c r="Z463">
        <v>1453</v>
      </c>
      <c r="AA463">
        <v>88.8</v>
      </c>
      <c r="AB463">
        <v>176</v>
      </c>
      <c r="AC463">
        <v>44.4</v>
      </c>
      <c r="AD463">
        <v>977</v>
      </c>
      <c r="AE463" t="s">
        <v>57</v>
      </c>
      <c r="AF463">
        <v>0</v>
      </c>
      <c r="AG463" t="s">
        <v>1906</v>
      </c>
      <c r="AH463">
        <v>841</v>
      </c>
      <c r="AI463" t="s">
        <v>298</v>
      </c>
      <c r="AJ463" s="1">
        <v>11001</v>
      </c>
      <c r="AK463">
        <v>9.5</v>
      </c>
      <c r="AL463" s="2">
        <v>7.0000000000000007E-2</v>
      </c>
      <c r="AM463" t="s">
        <v>445</v>
      </c>
      <c r="AN463" t="s">
        <v>1905</v>
      </c>
      <c r="AO463" t="s">
        <v>1907</v>
      </c>
      <c r="AP463" t="b">
        <v>0</v>
      </c>
      <c r="AQ463" t="b">
        <v>0</v>
      </c>
      <c r="AR463" t="b">
        <v>0</v>
      </c>
    </row>
    <row r="464" spans="1:45" x14ac:dyDescent="0.3">
      <c r="A464" t="s">
        <v>1608</v>
      </c>
      <c r="B464" t="s">
        <v>1852</v>
      </c>
      <c r="C464" t="s">
        <v>1908</v>
      </c>
      <c r="D464" t="s">
        <v>175</v>
      </c>
      <c r="E464" t="s">
        <v>176</v>
      </c>
      <c r="F464" t="s">
        <v>77</v>
      </c>
      <c r="G464">
        <v>16.600000000000001</v>
      </c>
      <c r="H464">
        <v>55.7</v>
      </c>
      <c r="I464">
        <v>7.8</v>
      </c>
      <c r="J464">
        <v>3.1</v>
      </c>
      <c r="K464">
        <v>28.4</v>
      </c>
      <c r="L464">
        <v>9.6</v>
      </c>
      <c r="M464">
        <v>30.9</v>
      </c>
      <c r="N464">
        <v>3.9</v>
      </c>
      <c r="O464">
        <v>39.5</v>
      </c>
      <c r="P464" t="s">
        <v>1615</v>
      </c>
      <c r="Q464" t="s">
        <v>621</v>
      </c>
      <c r="R464" t="s">
        <v>1908</v>
      </c>
      <c r="S464" t="s">
        <v>622</v>
      </c>
      <c r="T464">
        <v>14050</v>
      </c>
      <c r="U464">
        <v>19.8</v>
      </c>
      <c r="V464">
        <v>1393</v>
      </c>
      <c r="W464">
        <v>13.9</v>
      </c>
      <c r="X464">
        <v>1214</v>
      </c>
      <c r="Y464">
        <v>27.4</v>
      </c>
      <c r="Z464">
        <v>1510</v>
      </c>
      <c r="AA464">
        <v>30.3</v>
      </c>
      <c r="AB464">
        <v>1175</v>
      </c>
      <c r="AC464">
        <v>46.8</v>
      </c>
      <c r="AD464">
        <v>898</v>
      </c>
      <c r="AE464" t="s">
        <v>57</v>
      </c>
      <c r="AF464">
        <v>0</v>
      </c>
      <c r="AG464" t="s">
        <v>1909</v>
      </c>
      <c r="AH464">
        <v>131385</v>
      </c>
      <c r="AI464" t="s">
        <v>176</v>
      </c>
      <c r="AJ464" s="1">
        <v>35119</v>
      </c>
      <c r="AK464">
        <v>17.399999999999999</v>
      </c>
      <c r="AL464" s="2">
        <v>0.1</v>
      </c>
      <c r="AM464" t="s">
        <v>153</v>
      </c>
      <c r="AN464" t="s">
        <v>1908</v>
      </c>
      <c r="AO464" t="s">
        <v>1910</v>
      </c>
      <c r="AP464" t="b">
        <v>0</v>
      </c>
      <c r="AQ464" t="b">
        <v>0</v>
      </c>
      <c r="AR464" t="b">
        <v>0</v>
      </c>
    </row>
    <row r="465" spans="1:45" x14ac:dyDescent="0.3">
      <c r="A465">
        <v>501</v>
      </c>
      <c r="B465">
        <v>511</v>
      </c>
      <c r="C465" t="s">
        <v>1911</v>
      </c>
      <c r="D465" t="s">
        <v>95</v>
      </c>
      <c r="E465" t="s">
        <v>96</v>
      </c>
      <c r="F465" t="s">
        <v>56</v>
      </c>
      <c r="G465">
        <v>13.3</v>
      </c>
      <c r="H465">
        <v>4.7</v>
      </c>
      <c r="I465">
        <v>16.2</v>
      </c>
      <c r="J465">
        <v>63.5</v>
      </c>
      <c r="K465">
        <v>24.1</v>
      </c>
      <c r="L465">
        <v>9</v>
      </c>
      <c r="M465">
        <v>72</v>
      </c>
      <c r="N465">
        <v>9</v>
      </c>
      <c r="O465">
        <v>6.8</v>
      </c>
      <c r="P465">
        <v>24.1</v>
      </c>
      <c r="Q465" t="s">
        <v>614</v>
      </c>
      <c r="R465" t="s">
        <v>1911</v>
      </c>
      <c r="S465" t="s">
        <v>615</v>
      </c>
      <c r="T465">
        <v>3120</v>
      </c>
      <c r="U465">
        <v>42.7</v>
      </c>
      <c r="V465">
        <v>248</v>
      </c>
      <c r="W465">
        <v>35.1</v>
      </c>
      <c r="X465">
        <v>346</v>
      </c>
      <c r="Y465">
        <v>76.3</v>
      </c>
      <c r="Z465">
        <v>408</v>
      </c>
      <c r="AA465">
        <v>66.3</v>
      </c>
      <c r="AB465">
        <v>520</v>
      </c>
      <c r="AC465">
        <v>56.4</v>
      </c>
      <c r="AD465">
        <v>654</v>
      </c>
      <c r="AE465" t="s">
        <v>57</v>
      </c>
      <c r="AF465">
        <v>0</v>
      </c>
      <c r="AG465" t="s">
        <v>1912</v>
      </c>
      <c r="AH465">
        <v>976</v>
      </c>
      <c r="AI465" t="s">
        <v>98</v>
      </c>
      <c r="AJ465" s="1">
        <v>28787</v>
      </c>
      <c r="AK465">
        <v>14.1</v>
      </c>
      <c r="AL465" s="2">
        <v>0.08</v>
      </c>
      <c r="AM465" s="3">
        <v>2.6916666666666669</v>
      </c>
      <c r="AN465" t="s">
        <v>1913</v>
      </c>
      <c r="AO465" t="s">
        <v>1914</v>
      </c>
      <c r="AP465" t="b">
        <v>0</v>
      </c>
      <c r="AQ465" t="b">
        <v>0</v>
      </c>
      <c r="AR465" t="b">
        <v>0</v>
      </c>
    </row>
    <row r="466" spans="1:45" x14ac:dyDescent="0.3">
      <c r="A466" t="s">
        <v>1608</v>
      </c>
      <c r="B466" t="s">
        <v>1787</v>
      </c>
      <c r="C466" t="s">
        <v>1915</v>
      </c>
      <c r="D466" t="s">
        <v>541</v>
      </c>
      <c r="E466" t="s">
        <v>542</v>
      </c>
      <c r="F466" t="s">
        <v>388</v>
      </c>
      <c r="G466">
        <v>8</v>
      </c>
      <c r="H466">
        <v>11.6</v>
      </c>
      <c r="I466">
        <v>62.2</v>
      </c>
      <c r="J466">
        <v>17.3</v>
      </c>
      <c r="K466">
        <v>18</v>
      </c>
      <c r="L466">
        <v>65</v>
      </c>
      <c r="M466">
        <v>32.9</v>
      </c>
      <c r="N466">
        <v>4.4000000000000004</v>
      </c>
      <c r="O466">
        <v>9.1</v>
      </c>
      <c r="P466" t="s">
        <v>1615</v>
      </c>
      <c r="Q466" t="s">
        <v>696</v>
      </c>
      <c r="R466" t="s">
        <v>1915</v>
      </c>
      <c r="S466" t="s">
        <v>697</v>
      </c>
      <c r="T466">
        <v>7770</v>
      </c>
      <c r="U466">
        <v>25.1</v>
      </c>
      <c r="V466">
        <v>999</v>
      </c>
      <c r="W466">
        <v>16.8</v>
      </c>
      <c r="X466">
        <v>986</v>
      </c>
      <c r="Y466">
        <v>58</v>
      </c>
      <c r="Z466">
        <v>823</v>
      </c>
      <c r="AA466">
        <v>70.8</v>
      </c>
      <c r="AB466">
        <v>413</v>
      </c>
      <c r="AC466">
        <v>60.8</v>
      </c>
      <c r="AD466">
        <v>569</v>
      </c>
      <c r="AE466" t="s">
        <v>57</v>
      </c>
      <c r="AF466">
        <v>0</v>
      </c>
      <c r="AG466" t="s">
        <v>1916</v>
      </c>
      <c r="AH466">
        <v>603210</v>
      </c>
      <c r="AI466" t="s">
        <v>542</v>
      </c>
      <c r="AJ466" s="1">
        <v>4300</v>
      </c>
      <c r="AK466">
        <v>9</v>
      </c>
      <c r="AL466" s="2">
        <v>0.19</v>
      </c>
      <c r="AM466" t="s">
        <v>357</v>
      </c>
      <c r="AN466" t="s">
        <v>1915</v>
      </c>
      <c r="AO466" t="s">
        <v>1917</v>
      </c>
      <c r="AP466" t="b">
        <v>0</v>
      </c>
      <c r="AQ466" t="b">
        <v>0</v>
      </c>
      <c r="AR466" t="b">
        <v>0</v>
      </c>
    </row>
    <row r="467" spans="1:45" x14ac:dyDescent="0.3">
      <c r="A467" t="s">
        <v>1608</v>
      </c>
      <c r="B467" t="s">
        <v>1442</v>
      </c>
      <c r="C467" t="s">
        <v>1918</v>
      </c>
      <c r="D467" t="s">
        <v>626</v>
      </c>
      <c r="E467" t="s">
        <v>627</v>
      </c>
      <c r="F467" t="s">
        <v>77</v>
      </c>
      <c r="G467">
        <v>19.5</v>
      </c>
      <c r="H467">
        <v>7.3</v>
      </c>
      <c r="I467">
        <v>32.799999999999997</v>
      </c>
      <c r="J467">
        <v>19</v>
      </c>
      <c r="K467">
        <v>2.4</v>
      </c>
      <c r="L467">
        <v>3.5</v>
      </c>
      <c r="M467">
        <v>90.8</v>
      </c>
      <c r="N467">
        <v>22.8</v>
      </c>
      <c r="O467">
        <v>7.3</v>
      </c>
      <c r="P467" t="s">
        <v>1615</v>
      </c>
      <c r="Q467" t="s">
        <v>696</v>
      </c>
      <c r="R467" t="s">
        <v>1918</v>
      </c>
      <c r="S467" t="s">
        <v>697</v>
      </c>
      <c r="T467">
        <v>6190</v>
      </c>
      <c r="U467">
        <v>27</v>
      </c>
      <c r="V467">
        <v>873</v>
      </c>
      <c r="W467">
        <v>23.9</v>
      </c>
      <c r="X467">
        <v>656</v>
      </c>
      <c r="Y467">
        <v>65.8</v>
      </c>
      <c r="Z467">
        <v>652</v>
      </c>
      <c r="AA467">
        <v>65.5</v>
      </c>
      <c r="AB467">
        <v>536</v>
      </c>
      <c r="AC467">
        <v>46.2</v>
      </c>
      <c r="AD467">
        <v>921</v>
      </c>
      <c r="AE467" t="s">
        <v>57</v>
      </c>
      <c r="AF467">
        <v>0</v>
      </c>
      <c r="AG467" t="s">
        <v>1919</v>
      </c>
      <c r="AH467">
        <v>131556</v>
      </c>
      <c r="AI467" t="s">
        <v>627</v>
      </c>
      <c r="AJ467" s="1">
        <v>38301</v>
      </c>
      <c r="AK467">
        <v>13.8</v>
      </c>
      <c r="AL467" s="2">
        <v>0.05</v>
      </c>
      <c r="AM467" s="3">
        <v>2.3229166666666665</v>
      </c>
      <c r="AN467" t="s">
        <v>1918</v>
      </c>
      <c r="AO467" t="s">
        <v>1920</v>
      </c>
      <c r="AP467" t="b">
        <v>0</v>
      </c>
      <c r="AQ467" t="b">
        <v>0</v>
      </c>
      <c r="AR467" t="b">
        <v>0</v>
      </c>
    </row>
    <row r="468" spans="1:45" x14ac:dyDescent="0.3">
      <c r="A468" t="s">
        <v>1718</v>
      </c>
      <c r="B468" t="s">
        <v>1852</v>
      </c>
      <c r="C468" t="s">
        <v>1921</v>
      </c>
      <c r="D468" t="s">
        <v>849</v>
      </c>
      <c r="E468" t="s">
        <v>850</v>
      </c>
      <c r="F468" t="s">
        <v>56</v>
      </c>
      <c r="G468">
        <v>15.2</v>
      </c>
      <c r="H468">
        <v>13.9</v>
      </c>
      <c r="I468">
        <v>29.9</v>
      </c>
      <c r="J468">
        <v>8.5</v>
      </c>
      <c r="K468">
        <v>32.700000000000003</v>
      </c>
      <c r="L468">
        <v>17.8</v>
      </c>
      <c r="M468">
        <v>87.3</v>
      </c>
      <c r="N468">
        <v>6.8</v>
      </c>
      <c r="O468">
        <v>33</v>
      </c>
      <c r="P468" t="s">
        <v>1615</v>
      </c>
      <c r="Q468" t="s">
        <v>679</v>
      </c>
      <c r="R468" t="s">
        <v>1921</v>
      </c>
      <c r="S468" t="s">
        <v>680</v>
      </c>
      <c r="T468">
        <v>9450</v>
      </c>
      <c r="U468">
        <v>23.4</v>
      </c>
      <c r="V468">
        <v>1124</v>
      </c>
      <c r="W468">
        <v>23.9</v>
      </c>
      <c r="X468">
        <v>661</v>
      </c>
      <c r="Y468">
        <v>49.8</v>
      </c>
      <c r="Z468">
        <v>1023</v>
      </c>
      <c r="AA468">
        <v>36.799999999999997</v>
      </c>
      <c r="AB468">
        <v>1052</v>
      </c>
      <c r="AC468">
        <v>61.8</v>
      </c>
      <c r="AD468">
        <v>546</v>
      </c>
      <c r="AE468" t="s">
        <v>57</v>
      </c>
      <c r="AF468">
        <v>0</v>
      </c>
      <c r="AG468" t="s">
        <v>1922</v>
      </c>
      <c r="AH468">
        <v>131685</v>
      </c>
      <c r="AI468" t="s">
        <v>850</v>
      </c>
      <c r="AJ468" s="1">
        <v>19474</v>
      </c>
      <c r="AK468">
        <v>15.2</v>
      </c>
      <c r="AL468" s="2">
        <v>0.14000000000000001</v>
      </c>
      <c r="AM468" s="3">
        <v>2.8555555555555556</v>
      </c>
      <c r="AN468" t="s">
        <v>1921</v>
      </c>
      <c r="AO468" t="s">
        <v>1923</v>
      </c>
      <c r="AP468" t="b">
        <v>0</v>
      </c>
      <c r="AQ468" t="b">
        <v>0</v>
      </c>
      <c r="AR468" t="b">
        <v>0</v>
      </c>
    </row>
    <row r="469" spans="1:45" x14ac:dyDescent="0.3">
      <c r="A469" t="s">
        <v>1718</v>
      </c>
      <c r="B469" t="s">
        <v>1608</v>
      </c>
      <c r="C469" t="s">
        <v>1924</v>
      </c>
      <c r="D469" t="s">
        <v>45</v>
      </c>
      <c r="E469" t="s">
        <v>46</v>
      </c>
      <c r="F469" t="s">
        <v>77</v>
      </c>
      <c r="G469">
        <v>12.7</v>
      </c>
      <c r="H469">
        <v>11.4</v>
      </c>
      <c r="I469">
        <v>5</v>
      </c>
      <c r="J469">
        <v>24.6</v>
      </c>
      <c r="K469">
        <v>23.9</v>
      </c>
      <c r="L469">
        <v>19.8</v>
      </c>
      <c r="M469">
        <v>71.599999999999994</v>
      </c>
      <c r="N469">
        <v>50.3</v>
      </c>
      <c r="O469">
        <v>19.7</v>
      </c>
      <c r="P469" t="s">
        <v>1615</v>
      </c>
      <c r="Q469" t="s">
        <v>572</v>
      </c>
      <c r="R469" t="s">
        <v>1924</v>
      </c>
      <c r="S469" t="s">
        <v>574</v>
      </c>
      <c r="T469">
        <v>5410</v>
      </c>
      <c r="U469">
        <v>33.799999999999997</v>
      </c>
      <c r="V469">
        <v>499</v>
      </c>
      <c r="W469">
        <v>29.7</v>
      </c>
      <c r="X469">
        <v>481</v>
      </c>
      <c r="Y469">
        <v>65.8</v>
      </c>
      <c r="Z469">
        <v>654</v>
      </c>
      <c r="AA469">
        <v>70.2</v>
      </c>
      <c r="AB469">
        <v>428</v>
      </c>
      <c r="AC469">
        <v>50.8</v>
      </c>
      <c r="AD469">
        <v>778</v>
      </c>
      <c r="AE469" t="s">
        <v>208</v>
      </c>
      <c r="AF469">
        <v>0</v>
      </c>
      <c r="AG469" t="s">
        <v>1925</v>
      </c>
      <c r="AH469">
        <v>780</v>
      </c>
      <c r="AI469" t="s">
        <v>46</v>
      </c>
      <c r="AJ469" s="1">
        <v>47963</v>
      </c>
      <c r="AK469">
        <v>26.3</v>
      </c>
      <c r="AL469" s="2">
        <v>7.0000000000000007E-2</v>
      </c>
      <c r="AM469" s="3">
        <v>2.2000000000000002</v>
      </c>
      <c r="AN469" t="s">
        <v>1924</v>
      </c>
      <c r="AO469" t="s">
        <v>1926</v>
      </c>
      <c r="AP469" t="b">
        <v>0</v>
      </c>
      <c r="AQ469" t="b">
        <v>0</v>
      </c>
      <c r="AR469" t="b">
        <v>0</v>
      </c>
      <c r="AS469" t="s">
        <v>1927</v>
      </c>
    </row>
    <row r="470" spans="1:45" x14ac:dyDescent="0.3">
      <c r="A470" t="s">
        <v>1718</v>
      </c>
      <c r="B470" t="s">
        <v>1928</v>
      </c>
      <c r="C470" t="s">
        <v>1929</v>
      </c>
      <c r="D470" t="s">
        <v>1930</v>
      </c>
      <c r="E470" t="s">
        <v>1931</v>
      </c>
      <c r="F470" t="s">
        <v>77</v>
      </c>
      <c r="G470">
        <v>16.3</v>
      </c>
      <c r="H470">
        <v>7.3</v>
      </c>
      <c r="I470">
        <v>23.8</v>
      </c>
      <c r="J470">
        <v>4.0999999999999996</v>
      </c>
      <c r="K470">
        <v>1.7</v>
      </c>
      <c r="L470">
        <v>3.3</v>
      </c>
      <c r="M470">
        <v>91.6</v>
      </c>
      <c r="N470">
        <v>96.9</v>
      </c>
      <c r="O470">
        <v>27.9</v>
      </c>
      <c r="P470" t="s">
        <v>1615</v>
      </c>
      <c r="Q470" t="s">
        <v>733</v>
      </c>
      <c r="R470" t="s">
        <v>1929</v>
      </c>
      <c r="S470" t="s">
        <v>735</v>
      </c>
      <c r="T470">
        <v>11990</v>
      </c>
      <c r="U470">
        <v>26</v>
      </c>
      <c r="V470">
        <v>941</v>
      </c>
      <c r="W470">
        <v>15.9</v>
      </c>
      <c r="X470">
        <v>1058</v>
      </c>
      <c r="Y470">
        <v>44.7</v>
      </c>
      <c r="Z470">
        <v>1129</v>
      </c>
      <c r="AA470">
        <v>59.7</v>
      </c>
      <c r="AB470">
        <v>652</v>
      </c>
      <c r="AC470">
        <v>31.2</v>
      </c>
      <c r="AD470">
        <v>1456</v>
      </c>
      <c r="AE470" t="s">
        <v>57</v>
      </c>
      <c r="AF470">
        <v>0</v>
      </c>
      <c r="AG470" t="s">
        <v>1932</v>
      </c>
      <c r="AH470">
        <v>589178</v>
      </c>
      <c r="AI470" t="s">
        <v>1931</v>
      </c>
      <c r="AJ470" s="1">
        <v>58474</v>
      </c>
      <c r="AK470">
        <v>14.8</v>
      </c>
      <c r="AL470" s="2">
        <v>0.03</v>
      </c>
      <c r="AM470" s="3">
        <v>2.5277777777777777</v>
      </c>
      <c r="AN470" t="s">
        <v>1929</v>
      </c>
      <c r="AO470" t="s">
        <v>1933</v>
      </c>
      <c r="AP470" t="b">
        <v>0</v>
      </c>
      <c r="AQ470" t="b">
        <v>0</v>
      </c>
      <c r="AR470" t="b">
        <v>0</v>
      </c>
    </row>
    <row r="471" spans="1:45" x14ac:dyDescent="0.3">
      <c r="A471" t="s">
        <v>1761</v>
      </c>
      <c r="B471" t="s">
        <v>1761</v>
      </c>
      <c r="C471" t="s">
        <v>1934</v>
      </c>
      <c r="D471" t="s">
        <v>54</v>
      </c>
      <c r="E471" t="s">
        <v>55</v>
      </c>
      <c r="F471" t="s">
        <v>47</v>
      </c>
      <c r="G471">
        <v>9.4</v>
      </c>
      <c r="H471">
        <v>5.9</v>
      </c>
      <c r="I471">
        <v>18.5</v>
      </c>
      <c r="J471">
        <v>20.3</v>
      </c>
      <c r="K471">
        <v>44.6</v>
      </c>
      <c r="L471">
        <v>46.5</v>
      </c>
      <c r="M471">
        <v>65.900000000000006</v>
      </c>
      <c r="N471">
        <v>7.1</v>
      </c>
      <c r="O471">
        <v>44.9</v>
      </c>
      <c r="P471" t="s">
        <v>1615</v>
      </c>
      <c r="Q471" t="s">
        <v>572</v>
      </c>
      <c r="R471" t="s">
        <v>1934</v>
      </c>
      <c r="S471" t="s">
        <v>574</v>
      </c>
      <c r="T471">
        <v>5030</v>
      </c>
      <c r="U471">
        <v>26.3</v>
      </c>
      <c r="V471">
        <v>918</v>
      </c>
      <c r="W471">
        <v>23</v>
      </c>
      <c r="X471">
        <v>684</v>
      </c>
      <c r="Y471">
        <v>68.5</v>
      </c>
      <c r="Z471">
        <v>593</v>
      </c>
      <c r="AA471">
        <v>62.4</v>
      </c>
      <c r="AB471">
        <v>603</v>
      </c>
      <c r="AC471">
        <v>87.3</v>
      </c>
      <c r="AD471">
        <v>160</v>
      </c>
      <c r="AE471" t="s">
        <v>57</v>
      </c>
      <c r="AF471">
        <v>0</v>
      </c>
      <c r="AG471" t="s">
        <v>1935</v>
      </c>
      <c r="AH471">
        <v>741</v>
      </c>
      <c r="AI471" t="s">
        <v>55</v>
      </c>
      <c r="AJ471" s="1">
        <v>6180</v>
      </c>
      <c r="AK471">
        <v>15.6</v>
      </c>
      <c r="AL471" s="2">
        <v>0.23</v>
      </c>
      <c r="AM471" s="3">
        <v>2.1590277777777778</v>
      </c>
      <c r="AN471" t="s">
        <v>1934</v>
      </c>
      <c r="AO471" t="s">
        <v>1936</v>
      </c>
      <c r="AP471" t="b">
        <v>0</v>
      </c>
      <c r="AQ471" t="b">
        <v>0</v>
      </c>
      <c r="AR471" t="b">
        <v>0</v>
      </c>
      <c r="AS471" t="s">
        <v>1937</v>
      </c>
    </row>
    <row r="472" spans="1:45" x14ac:dyDescent="0.3">
      <c r="A472" t="s">
        <v>1761</v>
      </c>
      <c r="B472" t="s">
        <v>1731</v>
      </c>
      <c r="C472" t="s">
        <v>1938</v>
      </c>
      <c r="D472" t="s">
        <v>1939</v>
      </c>
      <c r="E472" t="s">
        <v>1940</v>
      </c>
      <c r="F472" t="s">
        <v>56</v>
      </c>
      <c r="G472">
        <v>12.8</v>
      </c>
      <c r="H472">
        <v>8.5</v>
      </c>
      <c r="I472">
        <v>56</v>
      </c>
      <c r="J472">
        <v>3.5</v>
      </c>
      <c r="K472">
        <v>3.8</v>
      </c>
      <c r="L472">
        <v>22.9</v>
      </c>
      <c r="M472">
        <v>60.2</v>
      </c>
      <c r="N472">
        <v>79.8</v>
      </c>
      <c r="O472">
        <v>5.0999999999999996</v>
      </c>
      <c r="P472" t="s">
        <v>1615</v>
      </c>
      <c r="Q472" t="s">
        <v>733</v>
      </c>
      <c r="R472" t="s">
        <v>1941</v>
      </c>
      <c r="S472" t="s">
        <v>735</v>
      </c>
      <c r="T472">
        <v>10360</v>
      </c>
      <c r="U472">
        <v>31.2</v>
      </c>
      <c r="V472">
        <v>629</v>
      </c>
      <c r="W472">
        <v>16.600000000000001</v>
      </c>
      <c r="X472">
        <v>997</v>
      </c>
      <c r="Y472">
        <v>41.8</v>
      </c>
      <c r="Z472">
        <v>1184</v>
      </c>
      <c r="AA472">
        <v>25</v>
      </c>
      <c r="AB472">
        <v>1335</v>
      </c>
      <c r="AC472">
        <v>52.6</v>
      </c>
      <c r="AD472">
        <v>722</v>
      </c>
      <c r="AE472" t="s">
        <v>57</v>
      </c>
      <c r="AF472">
        <v>0</v>
      </c>
      <c r="AG472" t="s">
        <v>1942</v>
      </c>
      <c r="AH472">
        <v>131488</v>
      </c>
      <c r="AI472" t="s">
        <v>1940</v>
      </c>
      <c r="AJ472" s="1">
        <v>21812</v>
      </c>
      <c r="AK472">
        <v>10.5</v>
      </c>
      <c r="AL472" s="2">
        <v>0.15</v>
      </c>
      <c r="AM472" s="3">
        <v>2.7326388888888888</v>
      </c>
      <c r="AN472" t="s">
        <v>1941</v>
      </c>
      <c r="AO472" t="s">
        <v>1943</v>
      </c>
      <c r="AP472" t="b">
        <v>0</v>
      </c>
      <c r="AQ472" t="b">
        <v>0</v>
      </c>
      <c r="AR472" t="b">
        <v>0</v>
      </c>
    </row>
    <row r="473" spans="1:45" x14ac:dyDescent="0.3">
      <c r="A473" t="s">
        <v>1761</v>
      </c>
      <c r="B473" t="s">
        <v>1608</v>
      </c>
      <c r="C473" t="s">
        <v>1944</v>
      </c>
      <c r="D473" t="s">
        <v>442</v>
      </c>
      <c r="E473" t="s">
        <v>443</v>
      </c>
      <c r="F473" t="s">
        <v>388</v>
      </c>
      <c r="G473">
        <v>5.8</v>
      </c>
      <c r="H473">
        <v>1.5</v>
      </c>
      <c r="I473">
        <v>12.8</v>
      </c>
      <c r="J473">
        <v>42.6</v>
      </c>
      <c r="K473">
        <v>72.3</v>
      </c>
      <c r="L473">
        <v>37.4</v>
      </c>
      <c r="M473">
        <v>49.3</v>
      </c>
      <c r="N473">
        <v>3.4</v>
      </c>
      <c r="O473">
        <v>2</v>
      </c>
      <c r="P473" t="s">
        <v>1615</v>
      </c>
      <c r="Q473" t="s">
        <v>659</v>
      </c>
      <c r="R473" t="s">
        <v>1944</v>
      </c>
      <c r="S473" t="s">
        <v>660</v>
      </c>
      <c r="T473">
        <v>3670</v>
      </c>
      <c r="U473">
        <v>31.8</v>
      </c>
      <c r="V473">
        <v>595</v>
      </c>
      <c r="W473">
        <v>22.8</v>
      </c>
      <c r="X473">
        <v>693</v>
      </c>
      <c r="Y473">
        <v>85.5</v>
      </c>
      <c r="Z473">
        <v>198</v>
      </c>
      <c r="AA473">
        <v>45.6</v>
      </c>
      <c r="AB473">
        <v>885</v>
      </c>
      <c r="AC473">
        <v>78.599999999999994</v>
      </c>
      <c r="AD473">
        <v>275</v>
      </c>
      <c r="AE473" t="s">
        <v>57</v>
      </c>
      <c r="AF473">
        <v>0</v>
      </c>
      <c r="AG473" t="s">
        <v>1945</v>
      </c>
      <c r="AH473">
        <v>589127</v>
      </c>
      <c r="AI473" t="s">
        <v>443</v>
      </c>
      <c r="AJ473" s="1">
        <v>4244</v>
      </c>
      <c r="AK473">
        <v>10.7</v>
      </c>
      <c r="AL473" s="2">
        <v>0.14000000000000001</v>
      </c>
      <c r="AM473" s="3">
        <v>2.8145833333333332</v>
      </c>
      <c r="AN473" t="s">
        <v>1944</v>
      </c>
      <c r="AO473" t="s">
        <v>1946</v>
      </c>
      <c r="AP473" t="b">
        <v>0</v>
      </c>
      <c r="AQ473" t="b">
        <v>0</v>
      </c>
      <c r="AR473" t="b">
        <v>0</v>
      </c>
    </row>
    <row r="474" spans="1:45" x14ac:dyDescent="0.3">
      <c r="A474" t="s">
        <v>1761</v>
      </c>
      <c r="B474" t="s">
        <v>1608</v>
      </c>
      <c r="C474" t="s">
        <v>1947</v>
      </c>
      <c r="D474" t="s">
        <v>139</v>
      </c>
      <c r="E474" t="s">
        <v>140</v>
      </c>
      <c r="F474" t="s">
        <v>56</v>
      </c>
      <c r="G474">
        <v>7.2</v>
      </c>
      <c r="H474">
        <v>5.9</v>
      </c>
      <c r="I474">
        <v>10.1</v>
      </c>
      <c r="J474">
        <v>28.6</v>
      </c>
      <c r="K474">
        <v>23.9</v>
      </c>
      <c r="L474">
        <v>78.400000000000006</v>
      </c>
      <c r="M474">
        <v>74.099999999999994</v>
      </c>
      <c r="N474">
        <v>12.1</v>
      </c>
      <c r="O474">
        <v>16.899999999999999</v>
      </c>
      <c r="P474" t="s">
        <v>1615</v>
      </c>
      <c r="Q474" t="s">
        <v>572</v>
      </c>
      <c r="R474" t="s">
        <v>1947</v>
      </c>
      <c r="S474" t="s">
        <v>574</v>
      </c>
      <c r="T474">
        <v>5590</v>
      </c>
      <c r="U474">
        <v>27.5</v>
      </c>
      <c r="V474">
        <v>844</v>
      </c>
      <c r="W474">
        <v>24.5</v>
      </c>
      <c r="X474">
        <v>629</v>
      </c>
      <c r="Y474">
        <v>60.9</v>
      </c>
      <c r="Z474">
        <v>758</v>
      </c>
      <c r="AA474">
        <v>83.2</v>
      </c>
      <c r="AB474">
        <v>223</v>
      </c>
      <c r="AC474">
        <v>85.7</v>
      </c>
      <c r="AD474">
        <v>182</v>
      </c>
      <c r="AE474" t="s">
        <v>57</v>
      </c>
      <c r="AF474">
        <v>6</v>
      </c>
      <c r="AG474" t="s">
        <v>1948</v>
      </c>
      <c r="AH474">
        <v>131430</v>
      </c>
      <c r="AI474" t="s">
        <v>140</v>
      </c>
      <c r="AJ474" s="1">
        <v>16318</v>
      </c>
      <c r="AK474">
        <v>15.1</v>
      </c>
      <c r="AL474" s="2">
        <v>0.23</v>
      </c>
      <c r="AM474" s="3">
        <v>2.3229166666666665</v>
      </c>
      <c r="AN474" t="s">
        <v>1947</v>
      </c>
      <c r="AO474" t="s">
        <v>1949</v>
      </c>
      <c r="AP474" t="b">
        <v>0</v>
      </c>
      <c r="AQ474" t="b">
        <v>0</v>
      </c>
      <c r="AR474" t="b">
        <v>0</v>
      </c>
    </row>
    <row r="475" spans="1:45" x14ac:dyDescent="0.3">
      <c r="A475" t="s">
        <v>1761</v>
      </c>
      <c r="B475" t="s">
        <v>1761</v>
      </c>
      <c r="C475" t="s">
        <v>1950</v>
      </c>
      <c r="D475" t="s">
        <v>297</v>
      </c>
      <c r="E475" t="s">
        <v>298</v>
      </c>
      <c r="F475" t="s">
        <v>56</v>
      </c>
      <c r="G475">
        <v>21.1</v>
      </c>
      <c r="H475">
        <v>23</v>
      </c>
      <c r="I475">
        <v>25.3</v>
      </c>
      <c r="J475">
        <v>11.5</v>
      </c>
      <c r="K475">
        <v>8.8000000000000007</v>
      </c>
      <c r="L475">
        <v>8.4</v>
      </c>
      <c r="M475">
        <v>32.200000000000003</v>
      </c>
      <c r="N475">
        <v>28.4</v>
      </c>
      <c r="O475">
        <v>32.1</v>
      </c>
      <c r="P475" t="s">
        <v>1615</v>
      </c>
      <c r="Q475" t="s">
        <v>733</v>
      </c>
      <c r="R475" t="s">
        <v>1950</v>
      </c>
      <c r="S475" t="s">
        <v>735</v>
      </c>
      <c r="T475">
        <v>11240</v>
      </c>
      <c r="U475">
        <v>23.8</v>
      </c>
      <c r="V475">
        <v>1093</v>
      </c>
      <c r="W475">
        <v>25.2</v>
      </c>
      <c r="X475">
        <v>603</v>
      </c>
      <c r="Y475">
        <v>33.799999999999997</v>
      </c>
      <c r="Z475">
        <v>1356</v>
      </c>
      <c r="AA475">
        <v>78.8</v>
      </c>
      <c r="AB475">
        <v>280</v>
      </c>
      <c r="AC475">
        <v>32.5</v>
      </c>
      <c r="AD475">
        <v>1404</v>
      </c>
      <c r="AE475" t="s">
        <v>57</v>
      </c>
      <c r="AF475">
        <v>0</v>
      </c>
      <c r="AG475" t="s">
        <v>1951</v>
      </c>
      <c r="AH475">
        <v>951</v>
      </c>
      <c r="AI475" t="s">
        <v>298</v>
      </c>
      <c r="AJ475" s="1">
        <v>14394</v>
      </c>
      <c r="AK475">
        <v>15.5</v>
      </c>
      <c r="AL475" s="2">
        <v>0.06</v>
      </c>
      <c r="AM475" s="3">
        <v>1.7902777777777779</v>
      </c>
      <c r="AN475" t="s">
        <v>1952</v>
      </c>
      <c r="AO475" t="s">
        <v>1953</v>
      </c>
      <c r="AP475" t="b">
        <v>0</v>
      </c>
      <c r="AQ475" t="b">
        <v>0</v>
      </c>
      <c r="AR475" t="b">
        <v>0</v>
      </c>
    </row>
    <row r="476" spans="1:45" x14ac:dyDescent="0.3">
      <c r="A476" t="s">
        <v>1761</v>
      </c>
      <c r="B476" t="s">
        <v>1571</v>
      </c>
      <c r="C476" t="s">
        <v>1954</v>
      </c>
      <c r="D476" t="s">
        <v>175</v>
      </c>
      <c r="E476" t="s">
        <v>176</v>
      </c>
      <c r="F476" t="s">
        <v>388</v>
      </c>
      <c r="G476">
        <v>11.8</v>
      </c>
      <c r="H476">
        <v>6.5</v>
      </c>
      <c r="I476">
        <v>100</v>
      </c>
      <c r="J476">
        <v>17.7</v>
      </c>
      <c r="K476">
        <v>2.4</v>
      </c>
      <c r="L476">
        <v>13.4</v>
      </c>
      <c r="M476">
        <v>21.9</v>
      </c>
      <c r="N476">
        <v>2</v>
      </c>
      <c r="O476">
        <v>1.6</v>
      </c>
      <c r="P476" t="s">
        <v>1615</v>
      </c>
      <c r="Q476" t="s">
        <v>372</v>
      </c>
      <c r="R476" t="s">
        <v>1954</v>
      </c>
      <c r="S476" t="s">
        <v>374</v>
      </c>
      <c r="T476">
        <v>4890</v>
      </c>
      <c r="U476">
        <v>46.7</v>
      </c>
      <c r="V476">
        <v>179</v>
      </c>
      <c r="W476">
        <v>31.3</v>
      </c>
      <c r="X476">
        <v>435</v>
      </c>
      <c r="Y476">
        <v>53.4</v>
      </c>
      <c r="Z476">
        <v>936</v>
      </c>
      <c r="AA476">
        <v>99</v>
      </c>
      <c r="AB476">
        <v>68</v>
      </c>
      <c r="AC476">
        <v>39</v>
      </c>
      <c r="AD476">
        <v>1151</v>
      </c>
      <c r="AE476" t="s">
        <v>57</v>
      </c>
      <c r="AF476">
        <v>0</v>
      </c>
      <c r="AG476" t="s">
        <v>1955</v>
      </c>
      <c r="AH476">
        <v>762</v>
      </c>
      <c r="AI476" t="s">
        <v>176</v>
      </c>
      <c r="AJ476" s="1">
        <v>2990</v>
      </c>
      <c r="AK476">
        <v>4.4000000000000004</v>
      </c>
      <c r="AL476" s="2">
        <v>0.12</v>
      </c>
      <c r="AM476" s="3">
        <v>2.4048611111111109</v>
      </c>
      <c r="AN476" t="s">
        <v>1954</v>
      </c>
      <c r="AO476" t="s">
        <v>1956</v>
      </c>
      <c r="AP476" t="b">
        <v>0</v>
      </c>
      <c r="AQ476" t="b">
        <v>0</v>
      </c>
      <c r="AR476" t="b">
        <v>0</v>
      </c>
    </row>
    <row r="477" spans="1:45" x14ac:dyDescent="0.3">
      <c r="A477" t="s">
        <v>1761</v>
      </c>
      <c r="B477" t="s">
        <v>1711</v>
      </c>
      <c r="C477" t="s">
        <v>1957</v>
      </c>
      <c r="D477" t="s">
        <v>139</v>
      </c>
      <c r="E477" t="s">
        <v>140</v>
      </c>
      <c r="F477" t="s">
        <v>56</v>
      </c>
      <c r="G477">
        <v>13.6</v>
      </c>
      <c r="H477">
        <v>15.9</v>
      </c>
      <c r="I477">
        <v>29.6</v>
      </c>
      <c r="J477">
        <v>12</v>
      </c>
      <c r="L477">
        <v>43.2</v>
      </c>
      <c r="M477">
        <v>73.099999999999994</v>
      </c>
      <c r="N477">
        <v>32.799999999999997</v>
      </c>
      <c r="O477">
        <v>16.3</v>
      </c>
      <c r="P477" t="s">
        <v>1615</v>
      </c>
      <c r="Q477" t="s">
        <v>659</v>
      </c>
      <c r="R477" t="s">
        <v>1957</v>
      </c>
      <c r="S477" t="s">
        <v>660</v>
      </c>
      <c r="T477">
        <v>3800</v>
      </c>
      <c r="U477">
        <v>31.8</v>
      </c>
      <c r="V477">
        <v>598</v>
      </c>
      <c r="W477">
        <v>34.700000000000003</v>
      </c>
      <c r="X477">
        <v>356</v>
      </c>
      <c r="Y477">
        <v>76.3</v>
      </c>
      <c r="Z477">
        <v>409</v>
      </c>
      <c r="AA477">
        <v>62.3</v>
      </c>
      <c r="AB477">
        <v>608</v>
      </c>
      <c r="AC477">
        <v>59.1</v>
      </c>
      <c r="AD477">
        <v>601</v>
      </c>
      <c r="AE477" t="s">
        <v>57</v>
      </c>
      <c r="AF477">
        <v>0</v>
      </c>
      <c r="AG477" t="s">
        <v>1958</v>
      </c>
      <c r="AH477">
        <v>790</v>
      </c>
      <c r="AI477" t="s">
        <v>140</v>
      </c>
      <c r="AJ477" s="1">
        <v>30316</v>
      </c>
      <c r="AK477">
        <v>30</v>
      </c>
      <c r="AL477" s="2">
        <v>0.21</v>
      </c>
      <c r="AM477" s="3">
        <v>2.2819444444444446</v>
      </c>
      <c r="AN477" t="s">
        <v>1957</v>
      </c>
      <c r="AO477" t="s">
        <v>1959</v>
      </c>
      <c r="AP477" t="b">
        <v>0</v>
      </c>
      <c r="AQ477" t="b">
        <v>0</v>
      </c>
      <c r="AR477" t="b">
        <v>0</v>
      </c>
      <c r="AS477" t="s">
        <v>1960</v>
      </c>
    </row>
    <row r="478" spans="1:45" x14ac:dyDescent="0.3">
      <c r="A478" t="s">
        <v>1761</v>
      </c>
      <c r="B478">
        <v>561</v>
      </c>
      <c r="C478" t="s">
        <v>1961</v>
      </c>
      <c r="D478" t="s">
        <v>54</v>
      </c>
      <c r="E478" t="s">
        <v>55</v>
      </c>
      <c r="F478" t="s">
        <v>56</v>
      </c>
      <c r="G478">
        <v>8.9</v>
      </c>
      <c r="H478">
        <v>8.9</v>
      </c>
      <c r="I478">
        <v>11.6</v>
      </c>
      <c r="J478">
        <v>25.9</v>
      </c>
      <c r="K478">
        <v>49.8</v>
      </c>
      <c r="L478">
        <v>36.200000000000003</v>
      </c>
      <c r="M478">
        <v>80.099999999999994</v>
      </c>
      <c r="N478">
        <v>7.3</v>
      </c>
      <c r="O478">
        <v>21.5</v>
      </c>
      <c r="P478" t="s">
        <v>1615</v>
      </c>
      <c r="Q478" t="s">
        <v>372</v>
      </c>
      <c r="R478" t="s">
        <v>1961</v>
      </c>
      <c r="S478" t="s">
        <v>374</v>
      </c>
      <c r="T478">
        <v>4680</v>
      </c>
      <c r="U478">
        <v>24.4</v>
      </c>
      <c r="V478">
        <v>1051</v>
      </c>
      <c r="W478">
        <v>21.9</v>
      </c>
      <c r="X478">
        <v>736</v>
      </c>
      <c r="Y478">
        <v>79.5</v>
      </c>
      <c r="Z478">
        <v>332</v>
      </c>
      <c r="AA478">
        <v>66.099999999999994</v>
      </c>
      <c r="AB478">
        <v>525</v>
      </c>
      <c r="AC478">
        <v>80.599999999999994</v>
      </c>
      <c r="AD478">
        <v>249</v>
      </c>
      <c r="AE478" t="s">
        <v>57</v>
      </c>
      <c r="AF478">
        <v>0</v>
      </c>
      <c r="AG478" t="s">
        <v>1962</v>
      </c>
      <c r="AH478">
        <v>796</v>
      </c>
      <c r="AI478" t="s">
        <v>55</v>
      </c>
      <c r="AJ478" s="1">
        <v>15675</v>
      </c>
      <c r="AK478">
        <v>17.100000000000001</v>
      </c>
      <c r="AL478" s="2">
        <v>0.16</v>
      </c>
      <c r="AM478" s="3">
        <v>2.4868055555555557</v>
      </c>
      <c r="AN478" t="s">
        <v>1961</v>
      </c>
      <c r="AO478" t="s">
        <v>1963</v>
      </c>
      <c r="AP478" t="b">
        <v>0</v>
      </c>
      <c r="AQ478" t="b">
        <v>0</v>
      </c>
      <c r="AR478" t="b">
        <v>0</v>
      </c>
      <c r="AS478" t="s">
        <v>1964</v>
      </c>
    </row>
    <row r="479" spans="1:45" x14ac:dyDescent="0.3">
      <c r="A479" t="s">
        <v>1711</v>
      </c>
      <c r="B479">
        <v>545</v>
      </c>
      <c r="C479" t="s">
        <v>1965</v>
      </c>
      <c r="D479" t="s">
        <v>750</v>
      </c>
      <c r="E479" t="s">
        <v>751</v>
      </c>
      <c r="F479" t="s">
        <v>56</v>
      </c>
      <c r="G479">
        <v>7.8</v>
      </c>
      <c r="H479">
        <v>6.1</v>
      </c>
      <c r="I479">
        <v>7.5</v>
      </c>
      <c r="J479">
        <v>48.1</v>
      </c>
      <c r="K479">
        <v>46.4</v>
      </c>
      <c r="L479">
        <v>2.7</v>
      </c>
      <c r="M479">
        <v>50.1</v>
      </c>
      <c r="N479">
        <v>22.9</v>
      </c>
      <c r="O479">
        <v>4.2</v>
      </c>
      <c r="P479" t="s">
        <v>1615</v>
      </c>
      <c r="Q479" t="s">
        <v>572</v>
      </c>
      <c r="R479" t="s">
        <v>1965</v>
      </c>
      <c r="S479" t="s">
        <v>574</v>
      </c>
      <c r="T479">
        <v>5140</v>
      </c>
      <c r="U479">
        <v>30</v>
      </c>
      <c r="V479">
        <v>683</v>
      </c>
      <c r="W479">
        <v>34.1</v>
      </c>
      <c r="X479">
        <v>374</v>
      </c>
      <c r="Y479">
        <v>54.1</v>
      </c>
      <c r="Z479">
        <v>911</v>
      </c>
      <c r="AA479">
        <v>85.8</v>
      </c>
      <c r="AB479">
        <v>197</v>
      </c>
      <c r="AC479">
        <v>46.8</v>
      </c>
      <c r="AD479">
        <v>894</v>
      </c>
      <c r="AE479" t="s">
        <v>57</v>
      </c>
      <c r="AF479">
        <v>0</v>
      </c>
      <c r="AG479" t="s">
        <v>1966</v>
      </c>
      <c r="AH479">
        <v>770</v>
      </c>
      <c r="AI479" t="s">
        <v>751</v>
      </c>
      <c r="AJ479" s="1">
        <v>19599</v>
      </c>
      <c r="AK479">
        <v>19</v>
      </c>
      <c r="AL479" s="2">
        <v>0.04</v>
      </c>
      <c r="AM479" s="3">
        <v>2.5687500000000001</v>
      </c>
      <c r="AN479" t="s">
        <v>1965</v>
      </c>
      <c r="AO479" t="s">
        <v>1967</v>
      </c>
      <c r="AP479" t="b">
        <v>0</v>
      </c>
      <c r="AQ479" t="b">
        <v>0</v>
      </c>
      <c r="AR479" t="b">
        <v>0</v>
      </c>
    </row>
    <row r="480" spans="1:45" x14ac:dyDescent="0.3">
      <c r="A480" t="s">
        <v>1711</v>
      </c>
      <c r="B480" t="s">
        <v>1718</v>
      </c>
      <c r="C480" t="s">
        <v>1968</v>
      </c>
      <c r="D480" t="s">
        <v>750</v>
      </c>
      <c r="E480" t="s">
        <v>751</v>
      </c>
      <c r="F480" t="s">
        <v>56</v>
      </c>
      <c r="G480">
        <v>13</v>
      </c>
      <c r="H480">
        <v>5.9</v>
      </c>
      <c r="I480">
        <v>14.6</v>
      </c>
      <c r="J480">
        <v>32.1</v>
      </c>
      <c r="K480">
        <v>13.4</v>
      </c>
      <c r="L480">
        <v>3.6</v>
      </c>
      <c r="M480">
        <v>67.2</v>
      </c>
      <c r="N480">
        <v>22.9</v>
      </c>
      <c r="O480">
        <v>37.299999999999997</v>
      </c>
      <c r="P480" t="s">
        <v>1615</v>
      </c>
      <c r="Q480" t="s">
        <v>696</v>
      </c>
      <c r="R480" t="s">
        <v>1968</v>
      </c>
      <c r="S480" t="s">
        <v>697</v>
      </c>
      <c r="T480">
        <v>6620</v>
      </c>
      <c r="U480">
        <v>23.9</v>
      </c>
      <c r="V480">
        <v>1084</v>
      </c>
      <c r="W480">
        <v>30.1</v>
      </c>
      <c r="X480">
        <v>469</v>
      </c>
      <c r="Y480">
        <v>68.400000000000006</v>
      </c>
      <c r="Z480">
        <v>594</v>
      </c>
      <c r="AA480">
        <v>64.5</v>
      </c>
      <c r="AB480">
        <v>558</v>
      </c>
      <c r="AC480">
        <v>34.5</v>
      </c>
      <c r="AD480">
        <v>1338</v>
      </c>
      <c r="AE480" t="s">
        <v>57</v>
      </c>
      <c r="AF480">
        <v>0</v>
      </c>
      <c r="AG480" t="s">
        <v>1969</v>
      </c>
      <c r="AH480">
        <v>131280</v>
      </c>
      <c r="AI480" t="s">
        <v>751</v>
      </c>
      <c r="AJ480" s="1">
        <v>17353</v>
      </c>
      <c r="AK480">
        <v>18.399999999999999</v>
      </c>
      <c r="AL480" s="2">
        <v>0.03</v>
      </c>
      <c r="AM480" s="3">
        <v>2.7736111111111112</v>
      </c>
      <c r="AN480" t="s">
        <v>1968</v>
      </c>
      <c r="AO480" t="s">
        <v>1970</v>
      </c>
      <c r="AP480" t="b">
        <v>0</v>
      </c>
      <c r="AQ480" t="b">
        <v>0</v>
      </c>
      <c r="AR480" t="b">
        <v>0</v>
      </c>
    </row>
    <row r="481" spans="1:45" x14ac:dyDescent="0.3">
      <c r="A481" t="s">
        <v>1613</v>
      </c>
      <c r="B481">
        <v>593</v>
      </c>
      <c r="C481" t="s">
        <v>1971</v>
      </c>
      <c r="D481" t="s">
        <v>54</v>
      </c>
      <c r="E481" t="s">
        <v>55</v>
      </c>
      <c r="F481" t="s">
        <v>47</v>
      </c>
      <c r="G481">
        <v>13.1</v>
      </c>
      <c r="H481">
        <v>5.0999999999999996</v>
      </c>
      <c r="I481">
        <v>12.8</v>
      </c>
      <c r="J481">
        <v>12</v>
      </c>
      <c r="K481">
        <v>92</v>
      </c>
      <c r="L481">
        <v>91.5</v>
      </c>
      <c r="M481">
        <v>25.1</v>
      </c>
      <c r="N481">
        <v>14.4</v>
      </c>
      <c r="O481">
        <v>3.1</v>
      </c>
      <c r="P481" t="s">
        <v>1615</v>
      </c>
      <c r="Q481" t="s">
        <v>372</v>
      </c>
      <c r="R481" t="s">
        <v>1971</v>
      </c>
      <c r="S481" t="s">
        <v>374</v>
      </c>
      <c r="T481">
        <v>4330</v>
      </c>
      <c r="U481">
        <v>29.2</v>
      </c>
      <c r="V481">
        <v>734</v>
      </c>
      <c r="W481">
        <v>25.2</v>
      </c>
      <c r="X481">
        <v>600</v>
      </c>
      <c r="Y481">
        <v>75.400000000000006</v>
      </c>
      <c r="Z481">
        <v>431</v>
      </c>
      <c r="AA481">
        <v>28.9</v>
      </c>
      <c r="AB481">
        <v>1203</v>
      </c>
      <c r="AC481">
        <v>81</v>
      </c>
      <c r="AD481">
        <v>239</v>
      </c>
      <c r="AE481" t="s">
        <v>57</v>
      </c>
      <c r="AF481">
        <v>0</v>
      </c>
      <c r="AG481" t="s">
        <v>1972</v>
      </c>
      <c r="AH481">
        <v>131449</v>
      </c>
      <c r="AI481" t="s">
        <v>55</v>
      </c>
      <c r="AJ481" s="1">
        <v>8780</v>
      </c>
      <c r="AK481">
        <v>14.5</v>
      </c>
      <c r="AL481" s="2">
        <v>0.38</v>
      </c>
      <c r="AM481" s="3">
        <v>2.7736111111111112</v>
      </c>
      <c r="AN481" t="s">
        <v>1971</v>
      </c>
      <c r="AO481" t="s">
        <v>1973</v>
      </c>
      <c r="AP481" t="b">
        <v>0</v>
      </c>
      <c r="AQ481" t="b">
        <v>0</v>
      </c>
      <c r="AR481" t="b">
        <v>0</v>
      </c>
      <c r="AS481" t="s">
        <v>1974</v>
      </c>
    </row>
    <row r="482" spans="1:45" x14ac:dyDescent="0.3">
      <c r="A482" t="s">
        <v>1613</v>
      </c>
      <c r="B482" t="s">
        <v>1746</v>
      </c>
      <c r="C482" t="s">
        <v>1975</v>
      </c>
      <c r="D482" t="s">
        <v>166</v>
      </c>
      <c r="E482" t="s">
        <v>167</v>
      </c>
      <c r="F482" t="s">
        <v>56</v>
      </c>
      <c r="G482">
        <v>15.6</v>
      </c>
      <c r="H482">
        <v>11.1</v>
      </c>
      <c r="I482">
        <v>61.3</v>
      </c>
      <c r="J482">
        <v>10.6</v>
      </c>
      <c r="K482">
        <v>7.8</v>
      </c>
      <c r="L482">
        <v>6.8</v>
      </c>
      <c r="M482">
        <v>35.299999999999997</v>
      </c>
      <c r="N482">
        <v>2.8</v>
      </c>
      <c r="O482">
        <v>48.5</v>
      </c>
      <c r="P482" t="s">
        <v>1615</v>
      </c>
      <c r="Q482" t="s">
        <v>679</v>
      </c>
      <c r="R482" t="s">
        <v>1975</v>
      </c>
      <c r="S482" t="s">
        <v>680</v>
      </c>
      <c r="T482">
        <v>8910</v>
      </c>
      <c r="U482">
        <v>30.2</v>
      </c>
      <c r="V482">
        <v>678</v>
      </c>
      <c r="W482">
        <v>27.3</v>
      </c>
      <c r="X482">
        <v>530</v>
      </c>
      <c r="Y482">
        <v>45</v>
      </c>
      <c r="Z482">
        <v>1119</v>
      </c>
      <c r="AA482">
        <v>68.099999999999994</v>
      </c>
      <c r="AB482">
        <v>478</v>
      </c>
      <c r="AC482">
        <v>34.1</v>
      </c>
      <c r="AD482">
        <v>1351</v>
      </c>
      <c r="AE482" t="s">
        <v>57</v>
      </c>
      <c r="AF482">
        <v>6</v>
      </c>
      <c r="AG482" t="s">
        <v>1976</v>
      </c>
      <c r="AH482">
        <v>131273</v>
      </c>
      <c r="AI482" t="s">
        <v>167</v>
      </c>
      <c r="AJ482" s="1">
        <v>20118</v>
      </c>
      <c r="AK482">
        <v>19.600000000000001</v>
      </c>
      <c r="AL482" s="2">
        <v>7.0000000000000007E-2</v>
      </c>
      <c r="AM482" s="3">
        <v>1.9541666666666666</v>
      </c>
      <c r="AN482" t="s">
        <v>1977</v>
      </c>
      <c r="AO482" t="s">
        <v>1978</v>
      </c>
      <c r="AP482" t="b">
        <v>0</v>
      </c>
      <c r="AQ482" t="b">
        <v>0</v>
      </c>
      <c r="AR482" t="b">
        <v>0</v>
      </c>
    </row>
    <row r="483" spans="1:45" x14ac:dyDescent="0.3">
      <c r="A483" t="s">
        <v>1613</v>
      </c>
      <c r="B483" t="s">
        <v>1761</v>
      </c>
      <c r="C483" t="s">
        <v>1979</v>
      </c>
      <c r="D483" t="s">
        <v>402</v>
      </c>
      <c r="E483" t="s">
        <v>403</v>
      </c>
      <c r="F483" t="s">
        <v>56</v>
      </c>
      <c r="G483">
        <v>16.600000000000001</v>
      </c>
      <c r="H483">
        <v>14.8</v>
      </c>
      <c r="I483">
        <v>18.899999999999999</v>
      </c>
      <c r="J483">
        <v>2.5</v>
      </c>
      <c r="K483">
        <v>94.5</v>
      </c>
      <c r="L483">
        <v>38.4</v>
      </c>
      <c r="M483">
        <v>64</v>
      </c>
      <c r="N483">
        <v>2.2999999999999998</v>
      </c>
      <c r="O483">
        <v>3.1</v>
      </c>
      <c r="P483" t="s">
        <v>1615</v>
      </c>
      <c r="Q483" t="s">
        <v>696</v>
      </c>
      <c r="R483" t="s">
        <v>1979</v>
      </c>
      <c r="S483" t="s">
        <v>697</v>
      </c>
      <c r="T483">
        <v>7510</v>
      </c>
      <c r="U483">
        <v>26.7</v>
      </c>
      <c r="V483">
        <v>893</v>
      </c>
      <c r="W483">
        <v>16.3</v>
      </c>
      <c r="X483">
        <v>1027</v>
      </c>
      <c r="Y483">
        <v>66.099999999999994</v>
      </c>
      <c r="Z483">
        <v>647</v>
      </c>
      <c r="AA483">
        <v>28.3</v>
      </c>
      <c r="AB483">
        <v>1227</v>
      </c>
      <c r="AC483">
        <v>91.7</v>
      </c>
      <c r="AD483">
        <v>102</v>
      </c>
      <c r="AE483" t="s">
        <v>57</v>
      </c>
      <c r="AF483">
        <v>0</v>
      </c>
      <c r="AG483" t="s">
        <v>1980</v>
      </c>
      <c r="AH483">
        <v>131745</v>
      </c>
      <c r="AI483" t="s">
        <v>403</v>
      </c>
      <c r="AJ483" s="1">
        <v>22552</v>
      </c>
      <c r="AK483">
        <v>12.1</v>
      </c>
      <c r="AL483" s="2">
        <v>0.17</v>
      </c>
      <c r="AM483" s="3">
        <v>4.166666666666667</v>
      </c>
      <c r="AN483" t="s">
        <v>1979</v>
      </c>
      <c r="AO483" t="s">
        <v>1981</v>
      </c>
      <c r="AP483" t="b">
        <v>0</v>
      </c>
      <c r="AQ483" t="b">
        <v>0</v>
      </c>
      <c r="AR483" t="b">
        <v>0</v>
      </c>
    </row>
    <row r="484" spans="1:45" x14ac:dyDescent="0.3">
      <c r="A484" t="s">
        <v>1613</v>
      </c>
      <c r="B484" t="s">
        <v>1746</v>
      </c>
      <c r="C484" t="s">
        <v>1982</v>
      </c>
      <c r="D484" t="s">
        <v>45</v>
      </c>
      <c r="E484" t="s">
        <v>46</v>
      </c>
      <c r="F484" t="s">
        <v>56</v>
      </c>
      <c r="G484">
        <v>12.3</v>
      </c>
      <c r="H484">
        <v>7.1</v>
      </c>
      <c r="I484">
        <v>29.2</v>
      </c>
      <c r="J484">
        <v>16.899999999999999</v>
      </c>
      <c r="K484">
        <v>3</v>
      </c>
      <c r="L484">
        <v>5.7</v>
      </c>
      <c r="M484">
        <v>77.2</v>
      </c>
      <c r="N484">
        <v>23.2</v>
      </c>
      <c r="O484">
        <v>61.9</v>
      </c>
      <c r="P484" t="s">
        <v>1615</v>
      </c>
      <c r="Q484" t="s">
        <v>659</v>
      </c>
      <c r="R484" t="s">
        <v>1982</v>
      </c>
      <c r="S484" t="s">
        <v>660</v>
      </c>
      <c r="T484">
        <v>3950</v>
      </c>
      <c r="U484">
        <v>40.700000000000003</v>
      </c>
      <c r="V484">
        <v>289</v>
      </c>
      <c r="W484">
        <v>24.3</v>
      </c>
      <c r="X484">
        <v>641</v>
      </c>
      <c r="Y484">
        <v>85.2</v>
      </c>
      <c r="Z484">
        <v>208</v>
      </c>
      <c r="AA484">
        <v>70.400000000000006</v>
      </c>
      <c r="AB484">
        <v>422</v>
      </c>
      <c r="AC484">
        <v>43.6</v>
      </c>
      <c r="AD484">
        <v>1000</v>
      </c>
      <c r="AE484" t="s">
        <v>208</v>
      </c>
      <c r="AF484">
        <v>0</v>
      </c>
      <c r="AG484" t="s">
        <v>1983</v>
      </c>
      <c r="AH484">
        <v>907</v>
      </c>
      <c r="AI484" t="s">
        <v>46</v>
      </c>
      <c r="AJ484" s="1">
        <v>34069</v>
      </c>
      <c r="AK484">
        <v>12.3</v>
      </c>
      <c r="AL484" s="2">
        <v>0.06</v>
      </c>
      <c r="AM484" s="3">
        <v>2.3638888888888889</v>
      </c>
      <c r="AN484" t="s">
        <v>1982</v>
      </c>
      <c r="AO484" t="s">
        <v>1984</v>
      </c>
      <c r="AP484" t="b">
        <v>0</v>
      </c>
      <c r="AQ484" t="b">
        <v>0</v>
      </c>
      <c r="AR484" t="b">
        <v>0</v>
      </c>
      <c r="AS484" t="s">
        <v>1985</v>
      </c>
    </row>
    <row r="485" spans="1:45" x14ac:dyDescent="0.3">
      <c r="A485" t="s">
        <v>1650</v>
      </c>
      <c r="B485" t="s">
        <v>1621</v>
      </c>
      <c r="C485" t="s">
        <v>1986</v>
      </c>
      <c r="D485" t="s">
        <v>472</v>
      </c>
      <c r="E485" t="s">
        <v>473</v>
      </c>
      <c r="F485" t="s">
        <v>47</v>
      </c>
      <c r="G485">
        <v>5.8</v>
      </c>
      <c r="H485">
        <v>4.3</v>
      </c>
      <c r="I485">
        <v>100</v>
      </c>
      <c r="J485">
        <v>8.5</v>
      </c>
      <c r="M485">
        <v>74.7</v>
      </c>
      <c r="N485">
        <v>18.600000000000001</v>
      </c>
      <c r="O485">
        <v>9.9</v>
      </c>
      <c r="P485" t="s">
        <v>1615</v>
      </c>
      <c r="Q485" t="s">
        <v>696</v>
      </c>
      <c r="R485" t="s">
        <v>1987</v>
      </c>
      <c r="S485" t="s">
        <v>697</v>
      </c>
      <c r="T485">
        <v>7320</v>
      </c>
      <c r="U485">
        <v>32.1</v>
      </c>
      <c r="V485">
        <v>585</v>
      </c>
      <c r="W485">
        <v>14.7</v>
      </c>
      <c r="X485">
        <v>1148</v>
      </c>
      <c r="Y485">
        <v>64</v>
      </c>
      <c r="Z485">
        <v>690</v>
      </c>
      <c r="AA485">
        <v>36.5</v>
      </c>
      <c r="AB485">
        <v>1061</v>
      </c>
      <c r="AC485">
        <v>70.8</v>
      </c>
      <c r="AD485">
        <v>394</v>
      </c>
      <c r="AE485" t="s">
        <v>57</v>
      </c>
      <c r="AF485">
        <v>0</v>
      </c>
      <c r="AG485" t="s">
        <v>1988</v>
      </c>
      <c r="AH485">
        <v>587790</v>
      </c>
      <c r="AI485" t="s">
        <v>473</v>
      </c>
      <c r="AJ485" s="1">
        <v>7275</v>
      </c>
      <c r="AK485">
        <v>8.1999999999999993</v>
      </c>
      <c r="AL485" s="2">
        <v>0.12</v>
      </c>
      <c r="AM485" s="3">
        <v>2.5687500000000001</v>
      </c>
      <c r="AN485" t="s">
        <v>1987</v>
      </c>
      <c r="AO485" t="s">
        <v>1989</v>
      </c>
      <c r="AP485" t="b">
        <v>0</v>
      </c>
      <c r="AQ485" t="b">
        <v>0</v>
      </c>
      <c r="AR485" t="b">
        <v>0</v>
      </c>
    </row>
    <row r="486" spans="1:45" x14ac:dyDescent="0.3">
      <c r="A486" t="s">
        <v>1650</v>
      </c>
      <c r="B486" t="s">
        <v>1613</v>
      </c>
      <c r="C486" t="s">
        <v>1990</v>
      </c>
      <c r="D486" t="s">
        <v>1134</v>
      </c>
      <c r="E486" t="s">
        <v>1135</v>
      </c>
      <c r="F486" t="s">
        <v>56</v>
      </c>
      <c r="G486">
        <v>6.9</v>
      </c>
      <c r="H486">
        <v>5.4</v>
      </c>
      <c r="I486">
        <v>4.5999999999999996</v>
      </c>
      <c r="J486">
        <v>60.7</v>
      </c>
      <c r="K486">
        <v>1.2</v>
      </c>
      <c r="L486">
        <v>2.2000000000000002</v>
      </c>
      <c r="M486">
        <v>54.3</v>
      </c>
      <c r="N486">
        <v>14.1</v>
      </c>
      <c r="O486">
        <v>7.9</v>
      </c>
      <c r="P486" t="s">
        <v>1615</v>
      </c>
      <c r="Q486" t="s">
        <v>679</v>
      </c>
      <c r="R486" t="s">
        <v>1990</v>
      </c>
      <c r="S486" t="s">
        <v>680</v>
      </c>
      <c r="T486">
        <v>9710</v>
      </c>
      <c r="U486">
        <v>29.3</v>
      </c>
      <c r="V486">
        <v>731</v>
      </c>
      <c r="W486">
        <v>24.6</v>
      </c>
      <c r="X486">
        <v>625</v>
      </c>
      <c r="Y486">
        <v>55</v>
      </c>
      <c r="Z486">
        <v>888</v>
      </c>
      <c r="AA486">
        <v>57.4</v>
      </c>
      <c r="AB486">
        <v>696</v>
      </c>
      <c r="AC486">
        <v>29.1</v>
      </c>
      <c r="AD486">
        <v>1536</v>
      </c>
      <c r="AE486" t="s">
        <v>57</v>
      </c>
      <c r="AF486">
        <v>0</v>
      </c>
      <c r="AG486" t="s">
        <v>1991</v>
      </c>
      <c r="AH486">
        <v>589124</v>
      </c>
      <c r="AI486" t="s">
        <v>1137</v>
      </c>
      <c r="AJ486" s="1">
        <v>14857</v>
      </c>
      <c r="AK486">
        <v>20.8</v>
      </c>
      <c r="AL486" s="2">
        <v>0.02</v>
      </c>
      <c r="AM486" s="3">
        <v>2.2409722222222221</v>
      </c>
      <c r="AN486" t="s">
        <v>1990</v>
      </c>
      <c r="AO486" t="s">
        <v>1992</v>
      </c>
      <c r="AP486" t="b">
        <v>0</v>
      </c>
      <c r="AQ486" t="b">
        <v>0</v>
      </c>
      <c r="AR486" t="b">
        <v>0</v>
      </c>
    </row>
    <row r="487" spans="1:45" x14ac:dyDescent="0.3">
      <c r="A487" t="s">
        <v>1650</v>
      </c>
      <c r="B487" t="s">
        <v>1761</v>
      </c>
      <c r="C487" t="s">
        <v>1993</v>
      </c>
      <c r="D487" t="s">
        <v>1994</v>
      </c>
      <c r="E487" t="s">
        <v>1995</v>
      </c>
      <c r="F487" t="s">
        <v>56</v>
      </c>
      <c r="G487">
        <v>9.9</v>
      </c>
      <c r="H487">
        <v>20</v>
      </c>
      <c r="I487">
        <v>75.400000000000006</v>
      </c>
      <c r="J487">
        <v>1.2</v>
      </c>
      <c r="K487">
        <v>17.399999999999999</v>
      </c>
      <c r="L487">
        <v>2.5</v>
      </c>
      <c r="M487">
        <v>20.100000000000001</v>
      </c>
      <c r="N487">
        <v>68.7</v>
      </c>
      <c r="O487">
        <v>2</v>
      </c>
      <c r="P487" t="s">
        <v>1615</v>
      </c>
      <c r="Q487" t="s">
        <v>1068</v>
      </c>
      <c r="R487" t="s">
        <v>1993</v>
      </c>
      <c r="S487" t="s">
        <v>1070</v>
      </c>
      <c r="T487">
        <v>17860</v>
      </c>
      <c r="U487">
        <v>23.9</v>
      </c>
      <c r="V487">
        <v>1085</v>
      </c>
      <c r="W487">
        <v>9.1</v>
      </c>
      <c r="X487">
        <v>1784</v>
      </c>
      <c r="Y487">
        <v>12</v>
      </c>
      <c r="Z487">
        <v>1822</v>
      </c>
      <c r="AA487">
        <v>16</v>
      </c>
      <c r="AB487">
        <v>1865</v>
      </c>
      <c r="AC487">
        <v>43.9</v>
      </c>
      <c r="AD487">
        <v>993</v>
      </c>
      <c r="AE487" t="s">
        <v>57</v>
      </c>
      <c r="AF487">
        <v>1</v>
      </c>
      <c r="AG487" t="s">
        <v>1996</v>
      </c>
      <c r="AH487">
        <v>589358</v>
      </c>
      <c r="AI487" t="s">
        <v>1995</v>
      </c>
      <c r="AJ487" s="1">
        <v>15469</v>
      </c>
      <c r="AK487">
        <v>7.8</v>
      </c>
      <c r="AL487" s="2">
        <v>0.02</v>
      </c>
      <c r="AM487" s="3">
        <v>2.036111111111111</v>
      </c>
      <c r="AN487" t="s">
        <v>1993</v>
      </c>
      <c r="AO487" t="s">
        <v>1997</v>
      </c>
      <c r="AP487" t="b">
        <v>0</v>
      </c>
      <c r="AQ487" t="b">
        <v>0</v>
      </c>
      <c r="AR487" t="b">
        <v>0</v>
      </c>
    </row>
    <row r="488" spans="1:45" x14ac:dyDescent="0.3">
      <c r="A488" t="s">
        <v>1650</v>
      </c>
      <c r="B488" t="s">
        <v>1650</v>
      </c>
      <c r="C488" t="s">
        <v>1998</v>
      </c>
      <c r="D488" t="s">
        <v>1999</v>
      </c>
      <c r="E488" t="s">
        <v>2000</v>
      </c>
      <c r="F488" t="s">
        <v>77</v>
      </c>
      <c r="G488">
        <v>28</v>
      </c>
      <c r="H488">
        <v>5.3</v>
      </c>
      <c r="I488">
        <v>12.8</v>
      </c>
      <c r="J488">
        <v>10.1</v>
      </c>
      <c r="K488">
        <v>2.2000000000000002</v>
      </c>
      <c r="L488">
        <v>1.6</v>
      </c>
      <c r="M488">
        <v>80.099999999999994</v>
      </c>
      <c r="N488">
        <v>25.9</v>
      </c>
      <c r="O488">
        <v>31.3</v>
      </c>
      <c r="P488" t="s">
        <v>1615</v>
      </c>
      <c r="Q488" t="s">
        <v>696</v>
      </c>
      <c r="R488" t="s">
        <v>2001</v>
      </c>
      <c r="S488" t="s">
        <v>697</v>
      </c>
      <c r="T488">
        <v>6540</v>
      </c>
      <c r="U488">
        <v>36.4</v>
      </c>
      <c r="V488">
        <v>415</v>
      </c>
      <c r="W488">
        <v>22.5</v>
      </c>
      <c r="X488">
        <v>707</v>
      </c>
      <c r="Y488">
        <v>54.1</v>
      </c>
      <c r="Z488">
        <v>912</v>
      </c>
      <c r="AA488">
        <v>52.9</v>
      </c>
      <c r="AB488">
        <v>753</v>
      </c>
      <c r="AC488">
        <v>34.1</v>
      </c>
      <c r="AD488">
        <v>1350</v>
      </c>
      <c r="AE488" t="s">
        <v>57</v>
      </c>
      <c r="AF488">
        <v>0</v>
      </c>
      <c r="AG488" t="s">
        <v>2002</v>
      </c>
      <c r="AH488">
        <v>131512</v>
      </c>
      <c r="AI488" t="s">
        <v>2000</v>
      </c>
      <c r="AJ488" s="1">
        <v>45760</v>
      </c>
      <c r="AK488">
        <v>16.5</v>
      </c>
      <c r="AL488" s="2">
        <v>0.01</v>
      </c>
      <c r="AM488" s="3">
        <v>2.1590277777777778</v>
      </c>
      <c r="AN488" t="s">
        <v>2001</v>
      </c>
      <c r="AO488" t="s">
        <v>2003</v>
      </c>
      <c r="AP488" t="b">
        <v>0</v>
      </c>
      <c r="AQ488" t="b">
        <v>0</v>
      </c>
      <c r="AR488" t="b">
        <v>0</v>
      </c>
    </row>
    <row r="489" spans="1:45" x14ac:dyDescent="0.3">
      <c r="A489" t="s">
        <v>1650</v>
      </c>
      <c r="B489" t="s">
        <v>2004</v>
      </c>
      <c r="C489" t="s">
        <v>2005</v>
      </c>
      <c r="D489" t="s">
        <v>442</v>
      </c>
      <c r="E489" t="s">
        <v>443</v>
      </c>
      <c r="F489" t="s">
        <v>47</v>
      </c>
      <c r="G489">
        <v>4.4000000000000004</v>
      </c>
      <c r="H489">
        <v>2.2000000000000002</v>
      </c>
      <c r="I489">
        <v>7.4</v>
      </c>
      <c r="J489">
        <v>56.3</v>
      </c>
      <c r="K489">
        <v>2.6</v>
      </c>
      <c r="L489">
        <v>6.3</v>
      </c>
      <c r="M489">
        <v>55.5</v>
      </c>
      <c r="N489">
        <v>3.3</v>
      </c>
      <c r="O489">
        <v>44.9</v>
      </c>
      <c r="P489" t="s">
        <v>1615</v>
      </c>
      <c r="Q489" t="s">
        <v>372</v>
      </c>
      <c r="R489" t="s">
        <v>2005</v>
      </c>
      <c r="S489" t="s">
        <v>374</v>
      </c>
      <c r="T489">
        <v>4090</v>
      </c>
      <c r="U489">
        <v>24.4</v>
      </c>
      <c r="V489">
        <v>1048</v>
      </c>
      <c r="W489">
        <v>19.2</v>
      </c>
      <c r="X489">
        <v>854</v>
      </c>
      <c r="Y489">
        <v>89.3</v>
      </c>
      <c r="Z489">
        <v>135</v>
      </c>
      <c r="AA489">
        <v>62.4</v>
      </c>
      <c r="AB489">
        <v>604</v>
      </c>
      <c r="AC489">
        <v>44.9</v>
      </c>
      <c r="AD489">
        <v>962</v>
      </c>
      <c r="AE489" t="s">
        <v>57</v>
      </c>
      <c r="AF489">
        <v>0</v>
      </c>
      <c r="AG489" t="s">
        <v>2006</v>
      </c>
      <c r="AH489">
        <v>131631</v>
      </c>
      <c r="AI489" t="s">
        <v>443</v>
      </c>
      <c r="AJ489" s="1">
        <v>14615</v>
      </c>
      <c r="AK489">
        <v>24.2</v>
      </c>
      <c r="AL489" s="2">
        <v>0.06</v>
      </c>
      <c r="AM489" s="3">
        <v>1.9951388888888888</v>
      </c>
      <c r="AN489" t="s">
        <v>2005</v>
      </c>
      <c r="AO489" t="s">
        <v>2007</v>
      </c>
      <c r="AP489" t="b">
        <v>0</v>
      </c>
      <c r="AQ489" t="b">
        <v>0</v>
      </c>
      <c r="AR489" t="b">
        <v>0</v>
      </c>
    </row>
    <row r="490" spans="1:45" x14ac:dyDescent="0.3">
      <c r="A490" t="s">
        <v>1650</v>
      </c>
      <c r="B490" t="s">
        <v>1711</v>
      </c>
      <c r="C490" t="s">
        <v>2008</v>
      </c>
      <c r="D490" t="s">
        <v>54</v>
      </c>
      <c r="E490" t="s">
        <v>55</v>
      </c>
      <c r="F490" t="s">
        <v>56</v>
      </c>
      <c r="G490">
        <v>4.7</v>
      </c>
      <c r="H490">
        <v>4.0999999999999996</v>
      </c>
      <c r="I490">
        <v>4.0999999999999996</v>
      </c>
      <c r="J490">
        <v>11.7</v>
      </c>
      <c r="K490">
        <v>91.5</v>
      </c>
      <c r="L490">
        <v>100</v>
      </c>
      <c r="M490">
        <v>78.2</v>
      </c>
      <c r="N490">
        <v>14.9</v>
      </c>
      <c r="O490">
        <v>5.4</v>
      </c>
      <c r="P490" t="s">
        <v>1615</v>
      </c>
      <c r="Q490" t="s">
        <v>572</v>
      </c>
      <c r="R490" t="s">
        <v>2008</v>
      </c>
      <c r="S490" t="s">
        <v>574</v>
      </c>
      <c r="T490">
        <v>5390</v>
      </c>
      <c r="U490">
        <v>17.8</v>
      </c>
      <c r="V490">
        <v>1567</v>
      </c>
      <c r="W490">
        <v>17.5</v>
      </c>
      <c r="X490">
        <v>940</v>
      </c>
      <c r="Y490">
        <v>81.2</v>
      </c>
      <c r="Z490">
        <v>298</v>
      </c>
      <c r="AA490">
        <v>40.9</v>
      </c>
      <c r="AB490">
        <v>956</v>
      </c>
      <c r="AC490">
        <v>97.2</v>
      </c>
      <c r="AD490">
        <v>19</v>
      </c>
      <c r="AE490" t="s">
        <v>57</v>
      </c>
      <c r="AF490">
        <v>0</v>
      </c>
      <c r="AG490" t="s">
        <v>2009</v>
      </c>
      <c r="AH490">
        <v>131553</v>
      </c>
      <c r="AI490" t="s">
        <v>55</v>
      </c>
      <c r="AJ490" s="1">
        <v>17095</v>
      </c>
      <c r="AK490">
        <v>21.8</v>
      </c>
      <c r="AL490" s="2">
        <v>0.46</v>
      </c>
      <c r="AM490" s="3">
        <v>2.4458333333333333</v>
      </c>
      <c r="AN490" t="s">
        <v>2008</v>
      </c>
      <c r="AO490" t="s">
        <v>2010</v>
      </c>
      <c r="AP490" t="b">
        <v>0</v>
      </c>
      <c r="AQ490" t="b">
        <v>0</v>
      </c>
      <c r="AR490" t="b">
        <v>0</v>
      </c>
      <c r="AS490" t="s">
        <v>2011</v>
      </c>
    </row>
    <row r="491" spans="1:45" x14ac:dyDescent="0.3">
      <c r="A491" t="s">
        <v>1650</v>
      </c>
      <c r="B491" t="s">
        <v>1641</v>
      </c>
      <c r="C491" t="s">
        <v>2012</v>
      </c>
      <c r="D491" t="s">
        <v>442</v>
      </c>
      <c r="E491" t="s">
        <v>443</v>
      </c>
      <c r="F491" t="s">
        <v>47</v>
      </c>
      <c r="G491">
        <v>13.6</v>
      </c>
      <c r="H491">
        <v>3.5</v>
      </c>
      <c r="I491">
        <v>9.6999999999999993</v>
      </c>
      <c r="J491">
        <v>40.4</v>
      </c>
      <c r="K491">
        <v>2.9</v>
      </c>
      <c r="L491">
        <v>10.8</v>
      </c>
      <c r="M491">
        <v>61</v>
      </c>
      <c r="N491">
        <v>9.3000000000000007</v>
      </c>
      <c r="O491">
        <v>27.9</v>
      </c>
      <c r="P491" t="s">
        <v>1615</v>
      </c>
      <c r="Q491" t="s">
        <v>572</v>
      </c>
      <c r="R491" t="s">
        <v>2012</v>
      </c>
      <c r="S491" t="s">
        <v>574</v>
      </c>
      <c r="T491">
        <v>5850</v>
      </c>
      <c r="U491">
        <v>25</v>
      </c>
      <c r="V491">
        <v>1006</v>
      </c>
      <c r="W491">
        <v>25.6</v>
      </c>
      <c r="X491">
        <v>589</v>
      </c>
      <c r="Y491">
        <v>75.900000000000006</v>
      </c>
      <c r="Z491">
        <v>421</v>
      </c>
      <c r="AA491">
        <v>74.900000000000006</v>
      </c>
      <c r="AB491">
        <v>338</v>
      </c>
      <c r="AC491">
        <v>48.7</v>
      </c>
      <c r="AD491">
        <v>843</v>
      </c>
      <c r="AE491" t="s">
        <v>57</v>
      </c>
      <c r="AF491">
        <v>0</v>
      </c>
      <c r="AG491" t="s">
        <v>2013</v>
      </c>
      <c r="AH491">
        <v>131379</v>
      </c>
      <c r="AI491" t="s">
        <v>443</v>
      </c>
      <c r="AJ491" s="1">
        <v>13115</v>
      </c>
      <c r="AK491">
        <v>18.100000000000001</v>
      </c>
      <c r="AL491" s="2">
        <v>0.1</v>
      </c>
      <c r="AM491" s="3">
        <v>2.6506944444444445</v>
      </c>
      <c r="AN491" t="s">
        <v>2012</v>
      </c>
      <c r="AO491" t="s">
        <v>2014</v>
      </c>
      <c r="AP491" t="b">
        <v>0</v>
      </c>
      <c r="AQ491" t="b">
        <v>0</v>
      </c>
      <c r="AR491" t="b">
        <v>0</v>
      </c>
    </row>
    <row r="492" spans="1:45" x14ac:dyDescent="0.3">
      <c r="A492" t="s">
        <v>1676</v>
      </c>
      <c r="B492" t="s">
        <v>1761</v>
      </c>
      <c r="C492" t="s">
        <v>2015</v>
      </c>
      <c r="D492" t="s">
        <v>1690</v>
      </c>
      <c r="E492" t="s">
        <v>1691</v>
      </c>
      <c r="F492" t="s">
        <v>47</v>
      </c>
      <c r="G492">
        <v>13.5</v>
      </c>
      <c r="H492">
        <v>20.3</v>
      </c>
      <c r="I492">
        <v>29.1</v>
      </c>
      <c r="J492">
        <v>3.7</v>
      </c>
      <c r="K492">
        <v>73.3</v>
      </c>
      <c r="L492">
        <v>19.600000000000001</v>
      </c>
      <c r="M492">
        <v>36.5</v>
      </c>
      <c r="N492">
        <v>19.899999999999999</v>
      </c>
      <c r="O492">
        <v>19.5</v>
      </c>
      <c r="P492" t="s">
        <v>1615</v>
      </c>
      <c r="Q492" t="s">
        <v>572</v>
      </c>
      <c r="R492" t="s">
        <v>2015</v>
      </c>
      <c r="S492" t="s">
        <v>574</v>
      </c>
      <c r="T492">
        <v>5520</v>
      </c>
      <c r="U492">
        <v>26.7</v>
      </c>
      <c r="V492">
        <v>892</v>
      </c>
      <c r="W492">
        <v>13.2</v>
      </c>
      <c r="X492">
        <v>1286</v>
      </c>
      <c r="Y492">
        <v>76.400000000000006</v>
      </c>
      <c r="Z492">
        <v>406</v>
      </c>
      <c r="AA492">
        <v>32.799999999999997</v>
      </c>
      <c r="AB492">
        <v>1129</v>
      </c>
      <c r="AC492">
        <v>84.2</v>
      </c>
      <c r="AD492">
        <v>199</v>
      </c>
      <c r="AE492" t="s">
        <v>57</v>
      </c>
      <c r="AF492">
        <v>0</v>
      </c>
      <c r="AG492" t="s">
        <v>2016</v>
      </c>
      <c r="AH492">
        <v>131819</v>
      </c>
      <c r="AI492" t="s">
        <v>1691</v>
      </c>
      <c r="AJ492" s="1">
        <v>7100</v>
      </c>
      <c r="AK492">
        <v>10.1</v>
      </c>
      <c r="AL492" s="2">
        <v>0.17</v>
      </c>
      <c r="AM492" s="3">
        <v>2.2000000000000002</v>
      </c>
      <c r="AN492" t="s">
        <v>2015</v>
      </c>
      <c r="AO492" t="s">
        <v>2017</v>
      </c>
      <c r="AP492" t="b">
        <v>0</v>
      </c>
      <c r="AQ492" t="b">
        <v>0</v>
      </c>
      <c r="AR492" t="b">
        <v>0</v>
      </c>
    </row>
    <row r="493" spans="1:45" x14ac:dyDescent="0.3">
      <c r="A493" t="s">
        <v>1676</v>
      </c>
      <c r="B493" t="s">
        <v>2018</v>
      </c>
      <c r="C493" t="s">
        <v>2019</v>
      </c>
      <c r="D493" t="s">
        <v>758</v>
      </c>
      <c r="E493" t="s">
        <v>759</v>
      </c>
      <c r="F493" t="s">
        <v>47</v>
      </c>
      <c r="G493">
        <v>4.0999999999999996</v>
      </c>
      <c r="H493">
        <v>2.8</v>
      </c>
      <c r="I493">
        <v>9.1</v>
      </c>
      <c r="J493">
        <v>71</v>
      </c>
      <c r="L493">
        <v>1.8</v>
      </c>
      <c r="M493">
        <v>34.5</v>
      </c>
      <c r="N493">
        <v>3</v>
      </c>
      <c r="O493">
        <v>5.2</v>
      </c>
      <c r="P493" t="s">
        <v>1615</v>
      </c>
      <c r="Q493" t="s">
        <v>679</v>
      </c>
      <c r="R493" t="s">
        <v>2020</v>
      </c>
      <c r="S493" t="s">
        <v>680</v>
      </c>
      <c r="T493">
        <v>9330</v>
      </c>
      <c r="U493">
        <v>33.799999999999997</v>
      </c>
      <c r="V493">
        <v>500</v>
      </c>
      <c r="W493">
        <v>17.100000000000001</v>
      </c>
      <c r="X493">
        <v>963</v>
      </c>
      <c r="Y493">
        <v>60.2</v>
      </c>
      <c r="Z493">
        <v>775</v>
      </c>
      <c r="AA493">
        <v>27.1</v>
      </c>
      <c r="AB493">
        <v>1258</v>
      </c>
      <c r="AC493">
        <v>21.2</v>
      </c>
      <c r="AD493">
        <v>1837</v>
      </c>
      <c r="AE493" t="s">
        <v>57</v>
      </c>
      <c r="AF493">
        <v>0</v>
      </c>
      <c r="AG493" t="s">
        <v>2021</v>
      </c>
      <c r="AH493">
        <v>623718</v>
      </c>
      <c r="AI493" t="s">
        <v>759</v>
      </c>
      <c r="AJ493" s="1">
        <v>7462</v>
      </c>
      <c r="AK493">
        <v>20.399999999999999</v>
      </c>
      <c r="AL493" s="2">
        <v>0.02</v>
      </c>
      <c r="AM493" t="s">
        <v>1142</v>
      </c>
      <c r="AN493" t="s">
        <v>2020</v>
      </c>
      <c r="AO493" t="s">
        <v>2022</v>
      </c>
      <c r="AP493" t="b">
        <v>0</v>
      </c>
      <c r="AQ493" t="b">
        <v>0</v>
      </c>
      <c r="AR493" t="b">
        <v>0</v>
      </c>
    </row>
    <row r="494" spans="1:45" x14ac:dyDescent="0.3">
      <c r="A494" t="s">
        <v>1676</v>
      </c>
      <c r="B494" t="s">
        <v>1442</v>
      </c>
      <c r="C494" t="s">
        <v>2023</v>
      </c>
      <c r="D494" t="s">
        <v>45</v>
      </c>
      <c r="E494" t="s">
        <v>46</v>
      </c>
      <c r="F494" t="s">
        <v>47</v>
      </c>
      <c r="G494">
        <v>2.6</v>
      </c>
      <c r="H494">
        <v>4</v>
      </c>
      <c r="I494">
        <v>5.2</v>
      </c>
      <c r="J494">
        <v>41.7</v>
      </c>
      <c r="K494">
        <v>53.2</v>
      </c>
      <c r="L494">
        <v>96.4</v>
      </c>
      <c r="M494">
        <v>18</v>
      </c>
      <c r="N494">
        <v>7.8</v>
      </c>
      <c r="O494">
        <v>1.3</v>
      </c>
      <c r="P494" t="s">
        <v>1615</v>
      </c>
      <c r="Q494" t="s">
        <v>372</v>
      </c>
      <c r="R494" t="s">
        <v>2023</v>
      </c>
      <c r="S494" t="s">
        <v>374</v>
      </c>
      <c r="T494">
        <v>4820</v>
      </c>
      <c r="U494">
        <v>26.9</v>
      </c>
      <c r="V494">
        <v>881</v>
      </c>
      <c r="W494">
        <v>25.3</v>
      </c>
      <c r="X494">
        <v>599</v>
      </c>
      <c r="Y494">
        <v>74.599999999999994</v>
      </c>
      <c r="Z494">
        <v>452</v>
      </c>
      <c r="AA494">
        <v>62.4</v>
      </c>
      <c r="AB494">
        <v>606</v>
      </c>
      <c r="AC494">
        <v>80.8</v>
      </c>
      <c r="AD494">
        <v>243</v>
      </c>
      <c r="AE494" t="s">
        <v>49</v>
      </c>
      <c r="AF494">
        <v>0</v>
      </c>
      <c r="AG494" t="s">
        <v>2024</v>
      </c>
      <c r="AH494">
        <v>589226</v>
      </c>
      <c r="AI494" t="s">
        <v>46</v>
      </c>
      <c r="AJ494" s="1">
        <v>6393</v>
      </c>
      <c r="AK494">
        <v>18.600000000000001</v>
      </c>
      <c r="AL494" s="2">
        <v>0.3</v>
      </c>
      <c r="AM494" t="s">
        <v>410</v>
      </c>
      <c r="AN494" t="s">
        <v>2023</v>
      </c>
      <c r="AO494" t="s">
        <v>2025</v>
      </c>
      <c r="AP494" t="b">
        <v>0</v>
      </c>
      <c r="AQ494" t="b">
        <v>0</v>
      </c>
      <c r="AR494" t="b">
        <v>0</v>
      </c>
      <c r="AS494" t="s">
        <v>2026</v>
      </c>
    </row>
    <row r="495" spans="1:45" x14ac:dyDescent="0.3">
      <c r="A495" t="s">
        <v>1676</v>
      </c>
      <c r="B495" t="s">
        <v>1613</v>
      </c>
      <c r="C495" t="s">
        <v>2027</v>
      </c>
      <c r="D495" t="s">
        <v>2028</v>
      </c>
      <c r="E495" t="s">
        <v>2029</v>
      </c>
      <c r="F495" t="s">
        <v>56</v>
      </c>
      <c r="G495">
        <v>18.899999999999999</v>
      </c>
      <c r="H495">
        <v>36.6</v>
      </c>
      <c r="I495">
        <v>27</v>
      </c>
      <c r="J495">
        <v>2.2000000000000002</v>
      </c>
      <c r="K495">
        <v>1.5</v>
      </c>
      <c r="L495">
        <v>3.9</v>
      </c>
      <c r="M495">
        <v>40.299999999999997</v>
      </c>
      <c r="N495">
        <v>45.5</v>
      </c>
      <c r="O495">
        <v>1.6</v>
      </c>
      <c r="P495" t="s">
        <v>1615</v>
      </c>
      <c r="Q495" t="s">
        <v>621</v>
      </c>
      <c r="R495" t="s">
        <v>2027</v>
      </c>
      <c r="S495" t="s">
        <v>622</v>
      </c>
      <c r="T495">
        <v>14500</v>
      </c>
      <c r="U495">
        <v>30</v>
      </c>
      <c r="V495">
        <v>689</v>
      </c>
      <c r="W495">
        <v>13.1</v>
      </c>
      <c r="X495">
        <v>1293</v>
      </c>
      <c r="Y495">
        <v>20.2</v>
      </c>
      <c r="Z495">
        <v>1672</v>
      </c>
      <c r="AA495">
        <v>31.4</v>
      </c>
      <c r="AB495">
        <v>1154</v>
      </c>
      <c r="AC495">
        <v>31.8</v>
      </c>
      <c r="AD495">
        <v>1434</v>
      </c>
      <c r="AE495" t="s">
        <v>57</v>
      </c>
      <c r="AF495">
        <v>0</v>
      </c>
      <c r="AG495" t="s">
        <v>2030</v>
      </c>
      <c r="AH495">
        <v>131734</v>
      </c>
      <c r="AI495" t="s">
        <v>2029</v>
      </c>
      <c r="AJ495" s="1">
        <v>25937</v>
      </c>
      <c r="AK495">
        <v>10.6</v>
      </c>
      <c r="AL495" s="2">
        <v>0.05</v>
      </c>
      <c r="AM495" s="3">
        <v>2.3638888888888889</v>
      </c>
      <c r="AN495" t="s">
        <v>2027</v>
      </c>
      <c r="AO495" t="s">
        <v>2031</v>
      </c>
      <c r="AP495" t="b">
        <v>0</v>
      </c>
      <c r="AQ495" t="b">
        <v>0</v>
      </c>
      <c r="AR495" t="b">
        <v>0</v>
      </c>
    </row>
    <row r="496" spans="1:45" x14ac:dyDescent="0.3">
      <c r="A496" t="s">
        <v>1676</v>
      </c>
      <c r="B496">
        <v>551</v>
      </c>
      <c r="C496" t="s">
        <v>2032</v>
      </c>
      <c r="D496" t="s">
        <v>45</v>
      </c>
      <c r="E496" t="s">
        <v>46</v>
      </c>
      <c r="F496" t="s">
        <v>56</v>
      </c>
      <c r="G496">
        <v>10.6</v>
      </c>
      <c r="H496">
        <v>5.8</v>
      </c>
      <c r="I496">
        <v>16.899999999999999</v>
      </c>
      <c r="J496">
        <v>30.4</v>
      </c>
      <c r="K496">
        <v>21.5</v>
      </c>
      <c r="L496">
        <v>7.1</v>
      </c>
      <c r="M496">
        <v>73.099999999999994</v>
      </c>
      <c r="N496">
        <v>7.2</v>
      </c>
      <c r="O496">
        <v>33</v>
      </c>
      <c r="P496" t="s">
        <v>1615</v>
      </c>
      <c r="Q496" t="s">
        <v>372</v>
      </c>
      <c r="R496" t="s">
        <v>2033</v>
      </c>
      <c r="S496" t="s">
        <v>374</v>
      </c>
      <c r="T496">
        <v>4620</v>
      </c>
      <c r="U496">
        <v>33.799999999999997</v>
      </c>
      <c r="V496">
        <v>501</v>
      </c>
      <c r="W496">
        <v>31.1</v>
      </c>
      <c r="X496">
        <v>441</v>
      </c>
      <c r="Y496">
        <v>71.5</v>
      </c>
      <c r="Z496">
        <v>524</v>
      </c>
      <c r="AA496">
        <v>67</v>
      </c>
      <c r="AB496">
        <v>498</v>
      </c>
      <c r="AC496">
        <v>65.900000000000006</v>
      </c>
      <c r="AD496">
        <v>465</v>
      </c>
      <c r="AE496" t="s">
        <v>208</v>
      </c>
      <c r="AF496">
        <v>0</v>
      </c>
      <c r="AG496" t="s">
        <v>2034</v>
      </c>
      <c r="AH496">
        <v>962</v>
      </c>
      <c r="AI496" t="s">
        <v>46</v>
      </c>
      <c r="AJ496" s="1">
        <v>23920</v>
      </c>
      <c r="AK496">
        <v>16.600000000000001</v>
      </c>
      <c r="AL496" s="2">
        <v>0.09</v>
      </c>
      <c r="AM496" s="3">
        <v>2.0770833333333334</v>
      </c>
      <c r="AN496" t="s">
        <v>2033</v>
      </c>
      <c r="AO496" t="s">
        <v>2035</v>
      </c>
      <c r="AP496" t="b">
        <v>0</v>
      </c>
      <c r="AQ496" t="b">
        <v>0</v>
      </c>
      <c r="AR496" t="b">
        <v>0</v>
      </c>
    </row>
    <row r="497" spans="1:45" x14ac:dyDescent="0.3">
      <c r="A497" t="s">
        <v>1842</v>
      </c>
      <c r="B497" t="s">
        <v>2004</v>
      </c>
      <c r="C497" t="s">
        <v>2036</v>
      </c>
      <c r="D497" t="s">
        <v>45</v>
      </c>
      <c r="E497" t="s">
        <v>46</v>
      </c>
      <c r="F497" t="s">
        <v>47</v>
      </c>
      <c r="G497">
        <v>16.2</v>
      </c>
      <c r="H497">
        <v>29.3</v>
      </c>
      <c r="I497">
        <v>32.9</v>
      </c>
      <c r="J497">
        <v>4.3</v>
      </c>
      <c r="K497">
        <v>8</v>
      </c>
      <c r="L497">
        <v>19.399999999999999</v>
      </c>
      <c r="M497">
        <v>30.6</v>
      </c>
      <c r="N497">
        <v>40.5</v>
      </c>
      <c r="O497">
        <v>4.8</v>
      </c>
      <c r="P497" t="s">
        <v>1615</v>
      </c>
      <c r="Q497" t="s">
        <v>696</v>
      </c>
      <c r="R497" t="s">
        <v>2036</v>
      </c>
      <c r="S497" t="s">
        <v>697</v>
      </c>
      <c r="T497">
        <v>6120</v>
      </c>
      <c r="U497">
        <v>35.200000000000003</v>
      </c>
      <c r="V497">
        <v>454</v>
      </c>
      <c r="W497">
        <v>17.100000000000001</v>
      </c>
      <c r="X497">
        <v>959</v>
      </c>
      <c r="Y497">
        <v>57.2</v>
      </c>
      <c r="Z497">
        <v>842</v>
      </c>
      <c r="AA497">
        <v>38.5</v>
      </c>
      <c r="AB497">
        <v>1010</v>
      </c>
      <c r="AC497">
        <v>46.5</v>
      </c>
      <c r="AD497">
        <v>914</v>
      </c>
      <c r="AE497" t="s">
        <v>49</v>
      </c>
      <c r="AF497">
        <v>0</v>
      </c>
      <c r="AG497" t="s">
        <v>2037</v>
      </c>
      <c r="AH497">
        <v>131636</v>
      </c>
      <c r="AI497" t="s">
        <v>46</v>
      </c>
      <c r="AJ497" s="1">
        <v>12771</v>
      </c>
      <c r="AK497">
        <v>12</v>
      </c>
      <c r="AL497" s="2">
        <v>0.12</v>
      </c>
      <c r="AM497" s="3">
        <v>2.6097222222222221</v>
      </c>
      <c r="AN497" t="s">
        <v>2036</v>
      </c>
      <c r="AO497" t="s">
        <v>2038</v>
      </c>
      <c r="AP497" t="b">
        <v>0</v>
      </c>
      <c r="AQ497" t="b">
        <v>0</v>
      </c>
      <c r="AR497" t="b">
        <v>0</v>
      </c>
      <c r="AS497" t="s">
        <v>2039</v>
      </c>
    </row>
    <row r="498" spans="1:45" x14ac:dyDescent="0.3">
      <c r="A498" t="s">
        <v>1842</v>
      </c>
      <c r="B498" t="s">
        <v>1718</v>
      </c>
      <c r="C498" t="s">
        <v>2040</v>
      </c>
      <c r="D498" t="s">
        <v>1047</v>
      </c>
      <c r="E498" t="s">
        <v>737</v>
      </c>
      <c r="F498" t="s">
        <v>77</v>
      </c>
      <c r="G498">
        <v>11.7</v>
      </c>
      <c r="H498">
        <v>30.5</v>
      </c>
      <c r="I498">
        <v>13.4</v>
      </c>
      <c r="J498">
        <v>18.2</v>
      </c>
      <c r="K498">
        <v>1.5</v>
      </c>
      <c r="L498">
        <v>1.4</v>
      </c>
      <c r="M498">
        <v>88.3</v>
      </c>
      <c r="N498">
        <v>6.1</v>
      </c>
      <c r="O498">
        <v>14.6</v>
      </c>
      <c r="P498" t="s">
        <v>1615</v>
      </c>
      <c r="Q498" t="s">
        <v>696</v>
      </c>
      <c r="R498" t="s">
        <v>2040</v>
      </c>
      <c r="S498" t="s">
        <v>697</v>
      </c>
      <c r="T498">
        <v>6360</v>
      </c>
      <c r="U498">
        <v>17.899999999999999</v>
      </c>
      <c r="V498">
        <v>1554</v>
      </c>
      <c r="W498">
        <v>16.600000000000001</v>
      </c>
      <c r="X498">
        <v>998</v>
      </c>
      <c r="Y498">
        <v>88.2</v>
      </c>
      <c r="Z498">
        <v>151</v>
      </c>
      <c r="AA498">
        <v>30.5</v>
      </c>
      <c r="AB498">
        <v>1170</v>
      </c>
      <c r="AC498">
        <v>50</v>
      </c>
      <c r="AD498">
        <v>801</v>
      </c>
      <c r="AE498" t="s">
        <v>57</v>
      </c>
      <c r="AF498">
        <v>0</v>
      </c>
      <c r="AG498" t="s">
        <v>2041</v>
      </c>
      <c r="AH498">
        <v>587793</v>
      </c>
      <c r="AI498" t="s">
        <v>737</v>
      </c>
      <c r="AJ498" s="1">
        <v>34323</v>
      </c>
      <c r="AK498">
        <v>16</v>
      </c>
      <c r="AL498" s="2">
        <v>0.01</v>
      </c>
      <c r="AM498" s="3">
        <v>1.7902777777777779</v>
      </c>
      <c r="AN498" t="s">
        <v>2040</v>
      </c>
      <c r="AO498" t="s">
        <v>2042</v>
      </c>
      <c r="AP498" t="b">
        <v>0</v>
      </c>
      <c r="AQ498" t="b">
        <v>0</v>
      </c>
      <c r="AR498" t="b">
        <v>0</v>
      </c>
    </row>
    <row r="499" spans="1:45" x14ac:dyDescent="0.3">
      <c r="A499" t="s">
        <v>1842</v>
      </c>
      <c r="B499" t="s">
        <v>2043</v>
      </c>
      <c r="C499" t="s">
        <v>2044</v>
      </c>
      <c r="D499" t="s">
        <v>54</v>
      </c>
      <c r="E499" t="s">
        <v>55</v>
      </c>
      <c r="F499" t="s">
        <v>56</v>
      </c>
      <c r="G499">
        <v>5.3</v>
      </c>
      <c r="H499">
        <v>4.8</v>
      </c>
      <c r="I499">
        <v>5.6</v>
      </c>
      <c r="J499">
        <v>8</v>
      </c>
      <c r="K499">
        <v>74.2</v>
      </c>
      <c r="L499">
        <v>97.5</v>
      </c>
      <c r="M499">
        <v>62.8</v>
      </c>
      <c r="N499">
        <v>6.4</v>
      </c>
      <c r="O499">
        <v>41.4</v>
      </c>
      <c r="P499" t="s">
        <v>1615</v>
      </c>
      <c r="Q499" t="s">
        <v>696</v>
      </c>
      <c r="R499" t="s">
        <v>2044</v>
      </c>
      <c r="S499" t="s">
        <v>697</v>
      </c>
      <c r="T499">
        <v>6410</v>
      </c>
      <c r="U499">
        <v>17.8</v>
      </c>
      <c r="V499">
        <v>1563</v>
      </c>
      <c r="W499">
        <v>15.1</v>
      </c>
      <c r="X499">
        <v>1111</v>
      </c>
      <c r="Y499">
        <v>71</v>
      </c>
      <c r="Z499">
        <v>537</v>
      </c>
      <c r="AA499">
        <v>45</v>
      </c>
      <c r="AB499">
        <v>892</v>
      </c>
      <c r="AC499">
        <v>93.9</v>
      </c>
      <c r="AD499">
        <v>65</v>
      </c>
      <c r="AE499" t="s">
        <v>57</v>
      </c>
      <c r="AF499">
        <v>0</v>
      </c>
      <c r="AG499" t="s">
        <v>2045</v>
      </c>
      <c r="AH499">
        <v>131549</v>
      </c>
      <c r="AI499" t="s">
        <v>55</v>
      </c>
      <c r="AJ499" s="1">
        <v>23125</v>
      </c>
      <c r="AK499">
        <v>18.5</v>
      </c>
      <c r="AL499" s="2">
        <v>0.37</v>
      </c>
      <c r="AM499" s="3">
        <v>2.3638888888888889</v>
      </c>
      <c r="AN499" t="s">
        <v>2044</v>
      </c>
      <c r="AO499" t="s">
        <v>2046</v>
      </c>
      <c r="AP499" t="b">
        <v>0</v>
      </c>
      <c r="AQ499" t="b">
        <v>0</v>
      </c>
      <c r="AR499" t="b">
        <v>0</v>
      </c>
      <c r="AS499" t="s">
        <v>2047</v>
      </c>
    </row>
    <row r="500" spans="1:45" x14ac:dyDescent="0.3">
      <c r="A500" t="s">
        <v>1787</v>
      </c>
      <c r="B500" t="s">
        <v>2043</v>
      </c>
      <c r="C500" t="s">
        <v>2048</v>
      </c>
      <c r="D500" t="s">
        <v>95</v>
      </c>
      <c r="E500" t="s">
        <v>96</v>
      </c>
      <c r="F500" t="s">
        <v>77</v>
      </c>
      <c r="G500">
        <v>5.5</v>
      </c>
      <c r="H500">
        <v>3.4</v>
      </c>
      <c r="I500">
        <v>12.4</v>
      </c>
      <c r="J500">
        <v>57.8</v>
      </c>
      <c r="K500">
        <v>5.3</v>
      </c>
      <c r="L500">
        <v>3</v>
      </c>
      <c r="M500">
        <v>39.700000000000003</v>
      </c>
      <c r="N500">
        <v>1.4</v>
      </c>
      <c r="O500">
        <v>1.6</v>
      </c>
      <c r="P500" t="s">
        <v>1615</v>
      </c>
      <c r="Q500" t="s">
        <v>696</v>
      </c>
      <c r="R500" t="s">
        <v>2048</v>
      </c>
      <c r="S500" t="s">
        <v>697</v>
      </c>
      <c r="T500">
        <v>7150</v>
      </c>
      <c r="U500">
        <v>28.2</v>
      </c>
      <c r="V500">
        <v>797</v>
      </c>
      <c r="W500">
        <v>31.6</v>
      </c>
      <c r="X500">
        <v>428</v>
      </c>
      <c r="Y500">
        <v>50.1</v>
      </c>
      <c r="Z500">
        <v>1019</v>
      </c>
      <c r="AA500">
        <v>71.400000000000006</v>
      </c>
      <c r="AB500">
        <v>399</v>
      </c>
      <c r="AC500">
        <v>24.7</v>
      </c>
      <c r="AD500">
        <v>1717</v>
      </c>
      <c r="AE500" t="s">
        <v>57</v>
      </c>
      <c r="AF500">
        <v>0</v>
      </c>
      <c r="AG500" t="s">
        <v>2049</v>
      </c>
      <c r="AH500">
        <v>623613</v>
      </c>
      <c r="AI500" t="s">
        <v>98</v>
      </c>
      <c r="AJ500" s="1">
        <v>33883</v>
      </c>
      <c r="AK500">
        <v>15.4</v>
      </c>
      <c r="AL500" s="2">
        <v>0.03</v>
      </c>
      <c r="AN500" t="s">
        <v>2048</v>
      </c>
      <c r="AO500" t="s">
        <v>2050</v>
      </c>
      <c r="AP500" t="b">
        <v>0</v>
      </c>
      <c r="AQ500" t="b">
        <v>0</v>
      </c>
      <c r="AR500" t="b">
        <v>0</v>
      </c>
    </row>
    <row r="501" spans="1:45" x14ac:dyDescent="0.3">
      <c r="A501" t="s">
        <v>1842</v>
      </c>
      <c r="B501" t="s">
        <v>2004</v>
      </c>
      <c r="C501" t="s">
        <v>2051</v>
      </c>
      <c r="D501" t="s">
        <v>378</v>
      </c>
      <c r="E501" t="s">
        <v>379</v>
      </c>
      <c r="F501" t="s">
        <v>56</v>
      </c>
      <c r="G501">
        <v>14</v>
      </c>
      <c r="H501">
        <v>19.100000000000001</v>
      </c>
      <c r="I501">
        <v>49.8</v>
      </c>
      <c r="J501">
        <v>2.2999999999999998</v>
      </c>
      <c r="K501">
        <v>3</v>
      </c>
      <c r="L501">
        <v>16.2</v>
      </c>
      <c r="M501">
        <v>51.9</v>
      </c>
      <c r="N501">
        <v>38.5</v>
      </c>
      <c r="O501">
        <v>11.6</v>
      </c>
      <c r="P501" t="s">
        <v>1615</v>
      </c>
      <c r="Q501" t="s">
        <v>733</v>
      </c>
      <c r="R501" t="s">
        <v>2051</v>
      </c>
      <c r="S501" t="s">
        <v>735</v>
      </c>
      <c r="T501">
        <v>11390</v>
      </c>
      <c r="U501">
        <v>25.9</v>
      </c>
      <c r="V501">
        <v>946</v>
      </c>
      <c r="W501">
        <v>12.9</v>
      </c>
      <c r="X501">
        <v>1313</v>
      </c>
      <c r="Y501">
        <v>44.7</v>
      </c>
      <c r="Z501">
        <v>1126</v>
      </c>
      <c r="AA501">
        <v>20.6</v>
      </c>
      <c r="AB501">
        <v>1507</v>
      </c>
      <c r="AC501">
        <v>59</v>
      </c>
      <c r="AD501">
        <v>603</v>
      </c>
      <c r="AE501" t="s">
        <v>57</v>
      </c>
      <c r="AF501">
        <v>0</v>
      </c>
      <c r="AG501" t="s">
        <v>2052</v>
      </c>
      <c r="AH501">
        <v>131457</v>
      </c>
      <c r="AI501" t="s">
        <v>381</v>
      </c>
      <c r="AJ501" s="1">
        <v>12595</v>
      </c>
      <c r="AK501">
        <v>9.1</v>
      </c>
      <c r="AL501" s="2">
        <v>0.15</v>
      </c>
      <c r="AM501" s="3">
        <v>2.4048611111111109</v>
      </c>
      <c r="AN501" t="s">
        <v>2051</v>
      </c>
      <c r="AO501" t="s">
        <v>2053</v>
      </c>
      <c r="AP501" t="b">
        <v>0</v>
      </c>
      <c r="AQ501" t="b">
        <v>0</v>
      </c>
      <c r="AR501" t="b">
        <v>1</v>
      </c>
    </row>
    <row r="502" spans="1:45" x14ac:dyDescent="0.3">
      <c r="A502" t="s">
        <v>1842</v>
      </c>
      <c r="B502" t="s">
        <v>1613</v>
      </c>
      <c r="C502" t="s">
        <v>2054</v>
      </c>
      <c r="D502" t="s">
        <v>378</v>
      </c>
      <c r="E502" t="s">
        <v>379</v>
      </c>
      <c r="F502" t="s">
        <v>47</v>
      </c>
      <c r="G502">
        <v>6.2</v>
      </c>
      <c r="H502">
        <v>9</v>
      </c>
      <c r="I502">
        <v>74.2</v>
      </c>
      <c r="J502">
        <v>13.8</v>
      </c>
      <c r="K502">
        <v>7.9</v>
      </c>
      <c r="L502">
        <v>43.1</v>
      </c>
      <c r="M502">
        <v>44.7</v>
      </c>
      <c r="N502">
        <v>9.1999999999999993</v>
      </c>
      <c r="O502">
        <v>2.2000000000000002</v>
      </c>
      <c r="P502" t="s">
        <v>1615</v>
      </c>
      <c r="Q502" t="s">
        <v>696</v>
      </c>
      <c r="R502" t="s">
        <v>2055</v>
      </c>
      <c r="S502" t="s">
        <v>697</v>
      </c>
      <c r="T502">
        <v>7200</v>
      </c>
      <c r="U502">
        <v>39.1</v>
      </c>
      <c r="V502">
        <v>330</v>
      </c>
      <c r="W502">
        <v>27.1</v>
      </c>
      <c r="X502">
        <v>539</v>
      </c>
      <c r="Y502">
        <v>43.2</v>
      </c>
      <c r="Z502">
        <v>1162</v>
      </c>
      <c r="AA502">
        <v>64.099999999999994</v>
      </c>
      <c r="AB502">
        <v>565</v>
      </c>
      <c r="AC502">
        <v>65.599999999999994</v>
      </c>
      <c r="AD502">
        <v>473</v>
      </c>
      <c r="AE502" t="s">
        <v>57</v>
      </c>
      <c r="AF502">
        <v>0</v>
      </c>
      <c r="AG502" t="s">
        <v>2056</v>
      </c>
      <c r="AH502">
        <v>131519</v>
      </c>
      <c r="AI502" t="s">
        <v>381</v>
      </c>
      <c r="AJ502" s="1">
        <v>7198</v>
      </c>
      <c r="AK502">
        <v>12</v>
      </c>
      <c r="AL502" s="2">
        <v>0.21</v>
      </c>
      <c r="AM502" t="s">
        <v>789</v>
      </c>
      <c r="AN502" t="s">
        <v>2057</v>
      </c>
      <c r="AO502" t="s">
        <v>2058</v>
      </c>
      <c r="AP502" t="b">
        <v>0</v>
      </c>
      <c r="AQ502" t="b">
        <v>0</v>
      </c>
      <c r="AR502" t="b">
        <v>1</v>
      </c>
    </row>
    <row r="503" spans="1:45" x14ac:dyDescent="0.3">
      <c r="A503" t="s">
        <v>1842</v>
      </c>
      <c r="B503" t="s">
        <v>1746</v>
      </c>
      <c r="C503" t="s">
        <v>2059</v>
      </c>
      <c r="D503" t="s">
        <v>1511</v>
      </c>
      <c r="E503" t="s">
        <v>1415</v>
      </c>
      <c r="F503" t="s">
        <v>56</v>
      </c>
      <c r="G503">
        <v>5</v>
      </c>
      <c r="H503">
        <v>6.4</v>
      </c>
      <c r="I503">
        <v>5.2</v>
      </c>
      <c r="J503">
        <v>51.7</v>
      </c>
      <c r="K503">
        <v>9.9</v>
      </c>
      <c r="L503">
        <v>1.4</v>
      </c>
      <c r="M503">
        <v>90.7</v>
      </c>
      <c r="N503">
        <v>4.7</v>
      </c>
      <c r="O503">
        <v>3.8</v>
      </c>
      <c r="P503" t="s">
        <v>1615</v>
      </c>
      <c r="Q503" t="s">
        <v>696</v>
      </c>
      <c r="R503" t="s">
        <v>2059</v>
      </c>
      <c r="S503" t="s">
        <v>697</v>
      </c>
      <c r="T503">
        <v>7820</v>
      </c>
      <c r="U503">
        <v>12.9</v>
      </c>
      <c r="V503">
        <v>1852</v>
      </c>
      <c r="W503">
        <v>16</v>
      </c>
      <c r="X503">
        <v>1051</v>
      </c>
      <c r="Y503">
        <v>90.6</v>
      </c>
      <c r="Z503">
        <v>117</v>
      </c>
      <c r="AA503">
        <v>20.9</v>
      </c>
      <c r="AB503">
        <v>1489</v>
      </c>
      <c r="AC503">
        <v>63.1</v>
      </c>
      <c r="AD503">
        <v>516</v>
      </c>
      <c r="AE503" t="s">
        <v>57</v>
      </c>
      <c r="AF503">
        <v>0</v>
      </c>
      <c r="AG503" t="s">
        <v>2060</v>
      </c>
      <c r="AH503">
        <v>623046</v>
      </c>
      <c r="AI503" t="s">
        <v>1415</v>
      </c>
      <c r="AJ503" s="1">
        <v>28400</v>
      </c>
      <c r="AK503">
        <v>21.9</v>
      </c>
      <c r="AL503" s="2">
        <v>0.01</v>
      </c>
      <c r="AM503" s="3">
        <v>2.4048611111111109</v>
      </c>
      <c r="AN503" t="s">
        <v>2061</v>
      </c>
      <c r="AO503" t="s">
        <v>2062</v>
      </c>
      <c r="AP503" t="b">
        <v>0</v>
      </c>
      <c r="AQ503" t="b">
        <v>0</v>
      </c>
      <c r="AR503" t="b">
        <v>0</v>
      </c>
    </row>
    <row r="504" spans="1:45" x14ac:dyDescent="0.3">
      <c r="A504" t="s">
        <v>1746</v>
      </c>
      <c r="B504" t="s">
        <v>1761</v>
      </c>
      <c r="C504" t="s">
        <v>2063</v>
      </c>
      <c r="D504" t="s">
        <v>45</v>
      </c>
      <c r="E504" t="s">
        <v>46</v>
      </c>
      <c r="F504" t="s">
        <v>47</v>
      </c>
      <c r="G504">
        <v>9.4</v>
      </c>
      <c r="H504">
        <v>4.8</v>
      </c>
      <c r="I504">
        <v>53.1</v>
      </c>
      <c r="J504">
        <v>11.6</v>
      </c>
      <c r="K504">
        <v>18</v>
      </c>
      <c r="L504">
        <v>75.099999999999994</v>
      </c>
      <c r="M504">
        <v>32.299999999999997</v>
      </c>
      <c r="N504">
        <v>16.5</v>
      </c>
      <c r="O504">
        <v>1.1000000000000001</v>
      </c>
      <c r="P504" t="s">
        <v>1615</v>
      </c>
      <c r="Q504" t="s">
        <v>486</v>
      </c>
      <c r="R504" t="s">
        <v>2063</v>
      </c>
      <c r="S504" t="s">
        <v>487</v>
      </c>
      <c r="T504">
        <v>2550</v>
      </c>
      <c r="U504">
        <v>36.700000000000003</v>
      </c>
      <c r="V504">
        <v>401</v>
      </c>
      <c r="W504">
        <v>28.3</v>
      </c>
      <c r="X504">
        <v>507</v>
      </c>
      <c r="Y504">
        <v>84.6</v>
      </c>
      <c r="Z504">
        <v>220</v>
      </c>
      <c r="AA504">
        <v>64.2</v>
      </c>
      <c r="AB504">
        <v>561</v>
      </c>
      <c r="AC504">
        <v>81.400000000000006</v>
      </c>
      <c r="AD504">
        <v>233</v>
      </c>
      <c r="AE504" t="s">
        <v>49</v>
      </c>
      <c r="AF504">
        <v>0</v>
      </c>
      <c r="AG504" t="s">
        <v>2064</v>
      </c>
      <c r="AH504">
        <v>614</v>
      </c>
      <c r="AI504" t="s">
        <v>46</v>
      </c>
      <c r="AJ504" s="1">
        <v>4791</v>
      </c>
      <c r="AK504">
        <v>11.6</v>
      </c>
      <c r="AL504" s="2">
        <v>0.33</v>
      </c>
      <c r="AM504" s="3">
        <v>2.4868055555555557</v>
      </c>
      <c r="AN504" t="s">
        <v>2063</v>
      </c>
      <c r="AO504" t="s">
        <v>2065</v>
      </c>
      <c r="AP504" t="b">
        <v>0</v>
      </c>
      <c r="AQ504" t="b">
        <v>0</v>
      </c>
      <c r="AR504" t="b">
        <v>0</v>
      </c>
      <c r="AS504" t="s">
        <v>2066</v>
      </c>
    </row>
    <row r="505" spans="1:45" x14ac:dyDescent="0.3">
      <c r="A505" t="s">
        <v>1746</v>
      </c>
      <c r="B505" t="s">
        <v>1700</v>
      </c>
      <c r="C505" t="s">
        <v>2067</v>
      </c>
      <c r="D505" t="s">
        <v>1678</v>
      </c>
      <c r="E505" t="s">
        <v>1679</v>
      </c>
      <c r="F505" t="s">
        <v>56</v>
      </c>
      <c r="G505">
        <v>15.6</v>
      </c>
      <c r="H505">
        <v>25.7</v>
      </c>
      <c r="I505">
        <v>13.7</v>
      </c>
      <c r="J505">
        <v>8.5</v>
      </c>
      <c r="K505">
        <v>2.8</v>
      </c>
      <c r="L505">
        <v>14.8</v>
      </c>
      <c r="M505">
        <v>56.6</v>
      </c>
      <c r="N505">
        <v>33.200000000000003</v>
      </c>
      <c r="O505">
        <v>26</v>
      </c>
      <c r="P505" t="s">
        <v>1615</v>
      </c>
      <c r="Q505" t="s">
        <v>621</v>
      </c>
      <c r="R505" t="s">
        <v>2067</v>
      </c>
      <c r="S505" t="s">
        <v>622</v>
      </c>
      <c r="T505">
        <v>12360</v>
      </c>
      <c r="U505">
        <v>22.2</v>
      </c>
      <c r="V505">
        <v>1208</v>
      </c>
      <c r="W505">
        <v>18.3</v>
      </c>
      <c r="X505">
        <v>899</v>
      </c>
      <c r="Y505">
        <v>35.799999999999997</v>
      </c>
      <c r="Z505">
        <v>1305</v>
      </c>
      <c r="AA505">
        <v>59.3</v>
      </c>
      <c r="AB505">
        <v>656</v>
      </c>
      <c r="AC505">
        <v>37.6</v>
      </c>
      <c r="AD505">
        <v>1214</v>
      </c>
      <c r="AE505" t="s">
        <v>57</v>
      </c>
      <c r="AF505">
        <v>0</v>
      </c>
      <c r="AG505" t="s">
        <v>2068</v>
      </c>
      <c r="AH505">
        <v>131330</v>
      </c>
      <c r="AI505" t="s">
        <v>1679</v>
      </c>
      <c r="AJ505" s="1">
        <v>18621</v>
      </c>
      <c r="AK505">
        <v>16.899999999999999</v>
      </c>
      <c r="AL505" s="2">
        <v>0.13</v>
      </c>
      <c r="AM505" t="s">
        <v>234</v>
      </c>
      <c r="AN505" t="s">
        <v>2067</v>
      </c>
      <c r="AO505" t="s">
        <v>2069</v>
      </c>
      <c r="AP505" t="b">
        <v>0</v>
      </c>
      <c r="AQ505" t="b">
        <v>0</v>
      </c>
      <c r="AR505" t="b">
        <v>0</v>
      </c>
    </row>
    <row r="506" spans="1:45" x14ac:dyDescent="0.3">
      <c r="A506" t="s">
        <v>1746</v>
      </c>
      <c r="B506" t="s">
        <v>2004</v>
      </c>
      <c r="C506" t="s">
        <v>2070</v>
      </c>
      <c r="D506" t="s">
        <v>878</v>
      </c>
      <c r="E506" t="s">
        <v>879</v>
      </c>
      <c r="F506" t="s">
        <v>77</v>
      </c>
      <c r="G506">
        <v>19.2</v>
      </c>
      <c r="H506">
        <v>41.7</v>
      </c>
      <c r="I506">
        <v>19.3</v>
      </c>
      <c r="J506">
        <v>1.5</v>
      </c>
      <c r="K506">
        <v>27.9</v>
      </c>
      <c r="L506">
        <v>3</v>
      </c>
      <c r="M506">
        <v>27.4</v>
      </c>
      <c r="N506">
        <v>14.6</v>
      </c>
      <c r="O506">
        <v>9.6999999999999993</v>
      </c>
      <c r="P506" t="s">
        <v>1615</v>
      </c>
      <c r="Q506" t="s">
        <v>1068</v>
      </c>
      <c r="R506" t="s">
        <v>2070</v>
      </c>
      <c r="S506" t="s">
        <v>1070</v>
      </c>
      <c r="T506">
        <v>15960</v>
      </c>
      <c r="U506">
        <v>27.1</v>
      </c>
      <c r="V506">
        <v>867</v>
      </c>
      <c r="W506">
        <v>15.4</v>
      </c>
      <c r="X506">
        <v>1087</v>
      </c>
      <c r="Y506">
        <v>19.100000000000001</v>
      </c>
      <c r="Z506">
        <v>1700</v>
      </c>
      <c r="AA506">
        <v>42.9</v>
      </c>
      <c r="AB506">
        <v>924</v>
      </c>
      <c r="AC506">
        <v>35.1</v>
      </c>
      <c r="AD506">
        <v>1310</v>
      </c>
      <c r="AE506" t="s">
        <v>57</v>
      </c>
      <c r="AF506">
        <v>0</v>
      </c>
      <c r="AG506" t="s">
        <v>2071</v>
      </c>
      <c r="AH506">
        <v>589100</v>
      </c>
      <c r="AI506" t="s">
        <v>879</v>
      </c>
      <c r="AJ506" s="1">
        <v>35688</v>
      </c>
      <c r="AK506">
        <v>18</v>
      </c>
      <c r="AL506" s="2">
        <v>0.02</v>
      </c>
      <c r="AM506" s="3">
        <v>2.3638888888888889</v>
      </c>
      <c r="AN506" t="s">
        <v>2070</v>
      </c>
      <c r="AO506" t="s">
        <v>2072</v>
      </c>
      <c r="AP506" t="b">
        <v>0</v>
      </c>
      <c r="AQ506" t="b">
        <v>0</v>
      </c>
      <c r="AR506" t="b">
        <v>0</v>
      </c>
    </row>
    <row r="507" spans="1:45" x14ac:dyDescent="0.3">
      <c r="A507" t="s">
        <v>1746</v>
      </c>
      <c r="B507" t="s">
        <v>1668</v>
      </c>
      <c r="C507" t="s">
        <v>2073</v>
      </c>
      <c r="D507" t="s">
        <v>45</v>
      </c>
      <c r="E507" t="s">
        <v>46</v>
      </c>
      <c r="F507" t="s">
        <v>56</v>
      </c>
      <c r="G507">
        <v>8.1</v>
      </c>
      <c r="H507">
        <v>4.5</v>
      </c>
      <c r="I507">
        <v>22.4</v>
      </c>
      <c r="J507">
        <v>28.7</v>
      </c>
      <c r="K507">
        <v>12.6</v>
      </c>
      <c r="L507">
        <v>23.8</v>
      </c>
      <c r="M507">
        <v>73.400000000000006</v>
      </c>
      <c r="N507">
        <v>25.1</v>
      </c>
      <c r="O507">
        <v>8.3000000000000007</v>
      </c>
      <c r="P507" t="s">
        <v>1615</v>
      </c>
      <c r="Q507" t="s">
        <v>614</v>
      </c>
      <c r="R507" t="s">
        <v>2073</v>
      </c>
      <c r="S507" t="s">
        <v>615</v>
      </c>
      <c r="T507">
        <v>3100</v>
      </c>
      <c r="U507">
        <v>44.1</v>
      </c>
      <c r="V507">
        <v>215</v>
      </c>
      <c r="W507">
        <v>26</v>
      </c>
      <c r="X507">
        <v>570</v>
      </c>
      <c r="Y507">
        <v>79.599999999999994</v>
      </c>
      <c r="Z507">
        <v>328</v>
      </c>
      <c r="AA507">
        <v>75.599999999999994</v>
      </c>
      <c r="AB507">
        <v>322</v>
      </c>
      <c r="AC507">
        <v>62.2</v>
      </c>
      <c r="AD507">
        <v>538</v>
      </c>
      <c r="AE507" t="s">
        <v>49</v>
      </c>
      <c r="AF507">
        <v>0</v>
      </c>
      <c r="AG507" t="s">
        <v>2074</v>
      </c>
      <c r="AH507">
        <v>699</v>
      </c>
      <c r="AI507" t="s">
        <v>46</v>
      </c>
      <c r="AJ507" s="1">
        <v>16910</v>
      </c>
      <c r="AK507">
        <v>11</v>
      </c>
      <c r="AL507" s="2">
        <v>0.15</v>
      </c>
      <c r="AM507" s="3">
        <v>2.1590277777777778</v>
      </c>
      <c r="AN507" t="s">
        <v>2073</v>
      </c>
      <c r="AO507" t="s">
        <v>2075</v>
      </c>
      <c r="AP507" t="b">
        <v>0</v>
      </c>
      <c r="AQ507" t="b">
        <v>0</v>
      </c>
      <c r="AR507" t="b">
        <v>0</v>
      </c>
      <c r="AS507" t="s">
        <v>2076</v>
      </c>
    </row>
    <row r="508" spans="1:45" x14ac:dyDescent="0.3">
      <c r="A508" t="s">
        <v>1746</v>
      </c>
      <c r="C508" t="s">
        <v>2077</v>
      </c>
      <c r="D508" t="s">
        <v>402</v>
      </c>
      <c r="E508" t="s">
        <v>403</v>
      </c>
      <c r="F508" t="s">
        <v>388</v>
      </c>
      <c r="G508">
        <v>3.8</v>
      </c>
      <c r="H508">
        <v>2.6</v>
      </c>
      <c r="I508">
        <v>23.1</v>
      </c>
      <c r="J508">
        <v>17.600000000000001</v>
      </c>
      <c r="K508">
        <v>100</v>
      </c>
      <c r="L508">
        <v>98.3</v>
      </c>
      <c r="M508">
        <v>15.9</v>
      </c>
      <c r="N508">
        <v>3.3</v>
      </c>
      <c r="O508">
        <v>1</v>
      </c>
      <c r="P508" t="s">
        <v>1615</v>
      </c>
      <c r="Q508" t="s">
        <v>1475</v>
      </c>
      <c r="R508" t="s">
        <v>2077</v>
      </c>
      <c r="T508">
        <v>1000231</v>
      </c>
      <c r="V508">
        <v>0</v>
      </c>
      <c r="X508">
        <v>0</v>
      </c>
      <c r="Z508">
        <v>0</v>
      </c>
      <c r="AB508">
        <v>0</v>
      </c>
      <c r="AD508">
        <v>0</v>
      </c>
      <c r="AE508" t="s">
        <v>57</v>
      </c>
      <c r="AF508">
        <v>0</v>
      </c>
      <c r="AG508" t="s">
        <v>2078</v>
      </c>
      <c r="AH508">
        <v>622560</v>
      </c>
      <c r="AI508" t="s">
        <v>403</v>
      </c>
      <c r="AJ508" s="1">
        <v>1070</v>
      </c>
      <c r="AK508">
        <v>11.6</v>
      </c>
      <c r="AL508" s="2">
        <v>0.34</v>
      </c>
      <c r="AM508" s="3">
        <v>4.1256944444444441</v>
      </c>
      <c r="AN508" t="s">
        <v>2077</v>
      </c>
      <c r="AO508" t="s">
        <v>2079</v>
      </c>
      <c r="AP508" t="b">
        <v>0</v>
      </c>
      <c r="AQ508" t="b">
        <v>0</v>
      </c>
      <c r="AR508" t="b">
        <v>0</v>
      </c>
    </row>
    <row r="509" spans="1:45" x14ac:dyDescent="0.3">
      <c r="A509" t="s">
        <v>1746</v>
      </c>
      <c r="B509" t="s">
        <v>1700</v>
      </c>
      <c r="C509" t="s">
        <v>2080</v>
      </c>
      <c r="D509" t="s">
        <v>758</v>
      </c>
      <c r="E509" t="s">
        <v>759</v>
      </c>
      <c r="F509" t="s">
        <v>47</v>
      </c>
      <c r="G509">
        <v>17.8</v>
      </c>
      <c r="H509">
        <v>5.9</v>
      </c>
      <c r="I509">
        <v>9.1</v>
      </c>
      <c r="J509">
        <v>40.6</v>
      </c>
      <c r="L509">
        <v>1</v>
      </c>
      <c r="M509">
        <v>32.5</v>
      </c>
      <c r="N509">
        <v>14.9</v>
      </c>
      <c r="O509">
        <v>13.4</v>
      </c>
      <c r="P509" t="s">
        <v>1615</v>
      </c>
      <c r="Q509" t="s">
        <v>733</v>
      </c>
      <c r="R509" t="s">
        <v>2080</v>
      </c>
      <c r="S509" t="s">
        <v>735</v>
      </c>
      <c r="T509">
        <v>10830</v>
      </c>
      <c r="U509">
        <v>35.299999999999997</v>
      </c>
      <c r="V509">
        <v>451</v>
      </c>
      <c r="W509">
        <v>15.8</v>
      </c>
      <c r="X509">
        <v>1060</v>
      </c>
      <c r="Y509">
        <v>46</v>
      </c>
      <c r="Z509">
        <v>1096</v>
      </c>
      <c r="AA509">
        <v>35.4</v>
      </c>
      <c r="AB509">
        <v>1083</v>
      </c>
      <c r="AC509">
        <v>19.2</v>
      </c>
      <c r="AD509">
        <v>1883</v>
      </c>
      <c r="AE509" t="s">
        <v>57</v>
      </c>
      <c r="AF509">
        <v>0</v>
      </c>
      <c r="AG509" t="s">
        <v>2081</v>
      </c>
      <c r="AH509">
        <v>979</v>
      </c>
      <c r="AI509" t="s">
        <v>759</v>
      </c>
      <c r="AJ509" s="1">
        <v>14338</v>
      </c>
      <c r="AK509">
        <v>21.3</v>
      </c>
      <c r="AL509" s="2">
        <v>0</v>
      </c>
      <c r="AM509" t="s">
        <v>234</v>
      </c>
      <c r="AN509" t="s">
        <v>2080</v>
      </c>
      <c r="AO509" t="s">
        <v>2082</v>
      </c>
      <c r="AP509" t="b">
        <v>0</v>
      </c>
      <c r="AQ509" t="b">
        <v>0</v>
      </c>
      <c r="AR509" t="b">
        <v>0</v>
      </c>
    </row>
    <row r="510" spans="1:45" x14ac:dyDescent="0.3">
      <c r="A510" t="s">
        <v>1746</v>
      </c>
      <c r="B510" t="s">
        <v>2043</v>
      </c>
      <c r="C510" t="s">
        <v>2083</v>
      </c>
      <c r="D510" t="s">
        <v>166</v>
      </c>
      <c r="E510" t="s">
        <v>167</v>
      </c>
      <c r="F510" t="s">
        <v>56</v>
      </c>
      <c r="G510">
        <v>7</v>
      </c>
      <c r="H510">
        <v>8.1</v>
      </c>
      <c r="I510">
        <v>61.8</v>
      </c>
      <c r="J510">
        <v>17.100000000000001</v>
      </c>
      <c r="K510">
        <v>9.5</v>
      </c>
      <c r="L510">
        <v>17.7</v>
      </c>
      <c r="M510">
        <v>46.8</v>
      </c>
      <c r="N510">
        <v>9</v>
      </c>
      <c r="O510">
        <v>28.4</v>
      </c>
      <c r="P510" t="s">
        <v>1615</v>
      </c>
      <c r="Q510" t="s">
        <v>696</v>
      </c>
      <c r="R510" t="s">
        <v>2084</v>
      </c>
      <c r="S510" t="s">
        <v>697</v>
      </c>
      <c r="T510">
        <v>6940</v>
      </c>
      <c r="U510">
        <v>32.200000000000003</v>
      </c>
      <c r="V510">
        <v>581</v>
      </c>
      <c r="W510">
        <v>37.6</v>
      </c>
      <c r="X510">
        <v>298</v>
      </c>
      <c r="Y510">
        <v>49.1</v>
      </c>
      <c r="Z510">
        <v>1037</v>
      </c>
      <c r="AA510">
        <v>73.7</v>
      </c>
      <c r="AB510">
        <v>354</v>
      </c>
      <c r="AC510">
        <v>45</v>
      </c>
      <c r="AD510">
        <v>958</v>
      </c>
      <c r="AE510" t="s">
        <v>57</v>
      </c>
      <c r="AF510">
        <v>0</v>
      </c>
      <c r="AG510" t="s">
        <v>2085</v>
      </c>
      <c r="AH510">
        <v>950</v>
      </c>
      <c r="AI510" t="s">
        <v>167</v>
      </c>
      <c r="AJ510" s="1">
        <v>12805</v>
      </c>
      <c r="AK510">
        <v>25.2</v>
      </c>
      <c r="AL510" s="2">
        <v>0.15</v>
      </c>
      <c r="AM510" s="3">
        <v>2.036111111111111</v>
      </c>
      <c r="AN510" t="s">
        <v>2084</v>
      </c>
      <c r="AO510" t="s">
        <v>2086</v>
      </c>
      <c r="AP510" t="b">
        <v>0</v>
      </c>
      <c r="AQ510" t="b">
        <v>0</v>
      </c>
      <c r="AR510" t="b">
        <v>0</v>
      </c>
    </row>
    <row r="511" spans="1:45" x14ac:dyDescent="0.3">
      <c r="A511" t="s">
        <v>1746</v>
      </c>
      <c r="B511" t="s">
        <v>1761</v>
      </c>
      <c r="C511" t="s">
        <v>2087</v>
      </c>
      <c r="D511" t="s">
        <v>54</v>
      </c>
      <c r="E511" t="s">
        <v>55</v>
      </c>
      <c r="F511" t="s">
        <v>56</v>
      </c>
      <c r="G511">
        <v>5.3</v>
      </c>
      <c r="H511">
        <v>5.3</v>
      </c>
      <c r="I511">
        <v>8.1</v>
      </c>
      <c r="J511">
        <v>10.6</v>
      </c>
      <c r="K511">
        <v>84.4</v>
      </c>
      <c r="L511">
        <v>99.5</v>
      </c>
      <c r="M511">
        <v>58.3</v>
      </c>
      <c r="N511">
        <v>15.2</v>
      </c>
      <c r="O511">
        <v>4.3</v>
      </c>
      <c r="P511" t="s">
        <v>1615</v>
      </c>
      <c r="Q511" t="s">
        <v>572</v>
      </c>
      <c r="R511" t="s">
        <v>2087</v>
      </c>
      <c r="S511" t="s">
        <v>574</v>
      </c>
      <c r="T511">
        <v>5610</v>
      </c>
      <c r="U511">
        <v>22.8</v>
      </c>
      <c r="V511">
        <v>1166</v>
      </c>
      <c r="W511">
        <v>18.5</v>
      </c>
      <c r="X511">
        <v>890</v>
      </c>
      <c r="Y511">
        <v>80</v>
      </c>
      <c r="Z511">
        <v>323</v>
      </c>
      <c r="AA511">
        <v>46.8</v>
      </c>
      <c r="AB511">
        <v>867</v>
      </c>
      <c r="AC511">
        <v>93.4</v>
      </c>
      <c r="AD511">
        <v>76</v>
      </c>
      <c r="AE511" t="s">
        <v>57</v>
      </c>
      <c r="AF511">
        <v>0</v>
      </c>
      <c r="AG511" t="s">
        <v>2088</v>
      </c>
      <c r="AH511">
        <v>131410</v>
      </c>
      <c r="AI511" t="s">
        <v>55</v>
      </c>
      <c r="AJ511" s="1">
        <v>15545</v>
      </c>
      <c r="AK511">
        <v>18.3</v>
      </c>
      <c r="AL511" s="2">
        <v>0.5</v>
      </c>
      <c r="AM511" s="3">
        <v>2.4868055555555557</v>
      </c>
      <c r="AN511" t="s">
        <v>2087</v>
      </c>
      <c r="AO511" t="s">
        <v>2089</v>
      </c>
      <c r="AP511" t="b">
        <v>0</v>
      </c>
      <c r="AQ511" t="b">
        <v>0</v>
      </c>
      <c r="AR511" t="b">
        <v>0</v>
      </c>
      <c r="AS511" t="s">
        <v>2090</v>
      </c>
    </row>
    <row r="512" spans="1:45" x14ac:dyDescent="0.3">
      <c r="A512" t="s">
        <v>1746</v>
      </c>
      <c r="B512" t="s">
        <v>1928</v>
      </c>
      <c r="C512" t="s">
        <v>2091</v>
      </c>
      <c r="D512" t="s">
        <v>2092</v>
      </c>
      <c r="E512" t="s">
        <v>2093</v>
      </c>
      <c r="F512" t="s">
        <v>47</v>
      </c>
      <c r="G512">
        <v>11.5</v>
      </c>
      <c r="H512">
        <v>26.8</v>
      </c>
      <c r="I512">
        <v>22</v>
      </c>
      <c r="J512">
        <v>3</v>
      </c>
      <c r="K512">
        <v>15.7</v>
      </c>
      <c r="L512">
        <v>72</v>
      </c>
      <c r="M512">
        <v>29.9</v>
      </c>
      <c r="N512">
        <v>35</v>
      </c>
      <c r="O512">
        <v>6.8</v>
      </c>
      <c r="P512" t="s">
        <v>1615</v>
      </c>
      <c r="Q512" t="s">
        <v>733</v>
      </c>
      <c r="R512" t="s">
        <v>2091</v>
      </c>
      <c r="S512" t="s">
        <v>735</v>
      </c>
      <c r="T512">
        <v>11470</v>
      </c>
      <c r="U512">
        <v>26.4</v>
      </c>
      <c r="V512">
        <v>916</v>
      </c>
      <c r="W512">
        <v>23.9</v>
      </c>
      <c r="X512">
        <v>662</v>
      </c>
      <c r="Y512">
        <v>32</v>
      </c>
      <c r="Z512">
        <v>1400</v>
      </c>
      <c r="AA512">
        <v>46.4</v>
      </c>
      <c r="AB512">
        <v>874</v>
      </c>
      <c r="AC512">
        <v>57</v>
      </c>
      <c r="AD512">
        <v>642</v>
      </c>
      <c r="AE512" t="s">
        <v>57</v>
      </c>
      <c r="AF512">
        <v>0</v>
      </c>
      <c r="AG512" t="s">
        <v>2094</v>
      </c>
      <c r="AH512">
        <v>131704</v>
      </c>
      <c r="AI512" t="s">
        <v>2093</v>
      </c>
      <c r="AJ512" s="1">
        <v>10830</v>
      </c>
      <c r="AK512">
        <v>31.7</v>
      </c>
      <c r="AL512" s="2">
        <v>0.22</v>
      </c>
      <c r="AM512" t="s">
        <v>318</v>
      </c>
      <c r="AN512" t="s">
        <v>2091</v>
      </c>
      <c r="AO512" t="s">
        <v>2095</v>
      </c>
      <c r="AP512" t="b">
        <v>0</v>
      </c>
      <c r="AQ512" t="b">
        <v>0</v>
      </c>
      <c r="AR512" t="b">
        <v>0</v>
      </c>
    </row>
    <row r="513" spans="1:45" x14ac:dyDescent="0.3">
      <c r="A513" t="s">
        <v>1746</v>
      </c>
      <c r="B513" t="s">
        <v>1608</v>
      </c>
      <c r="C513" t="s">
        <v>2096</v>
      </c>
      <c r="D513" t="s">
        <v>442</v>
      </c>
      <c r="E513" t="s">
        <v>443</v>
      </c>
      <c r="F513" t="s">
        <v>56</v>
      </c>
      <c r="G513">
        <v>8.6</v>
      </c>
      <c r="H513">
        <v>4</v>
      </c>
      <c r="I513">
        <v>2.9</v>
      </c>
      <c r="J513">
        <v>49.7</v>
      </c>
      <c r="K513">
        <v>4</v>
      </c>
      <c r="L513">
        <v>3.6</v>
      </c>
      <c r="M513">
        <v>53.3</v>
      </c>
      <c r="N513">
        <v>15.2</v>
      </c>
      <c r="O513">
        <v>23.2</v>
      </c>
      <c r="P513" t="s">
        <v>1615</v>
      </c>
      <c r="Q513" t="s">
        <v>372</v>
      </c>
      <c r="R513" t="s">
        <v>2096</v>
      </c>
      <c r="S513" t="s">
        <v>374</v>
      </c>
      <c r="T513">
        <v>4570</v>
      </c>
      <c r="U513">
        <v>32</v>
      </c>
      <c r="V513">
        <v>591</v>
      </c>
      <c r="W513">
        <v>24.6</v>
      </c>
      <c r="X513">
        <v>624</v>
      </c>
      <c r="Y513">
        <v>79.599999999999994</v>
      </c>
      <c r="Z513">
        <v>331</v>
      </c>
      <c r="AA513">
        <v>80.3</v>
      </c>
      <c r="AB513">
        <v>260</v>
      </c>
      <c r="AC513">
        <v>40.200000000000003</v>
      </c>
      <c r="AD513">
        <v>1112</v>
      </c>
      <c r="AE513" t="s">
        <v>57</v>
      </c>
      <c r="AF513">
        <v>0</v>
      </c>
      <c r="AG513" t="s">
        <v>2097</v>
      </c>
      <c r="AH513">
        <v>792</v>
      </c>
      <c r="AI513" t="s">
        <v>443</v>
      </c>
      <c r="AJ513" s="1">
        <v>21836</v>
      </c>
      <c r="AK513">
        <v>27</v>
      </c>
      <c r="AL513" s="2">
        <v>0.05</v>
      </c>
      <c r="AM513" s="3">
        <v>2.2819444444444446</v>
      </c>
      <c r="AN513" t="s">
        <v>2096</v>
      </c>
      <c r="AO513" t="s">
        <v>2098</v>
      </c>
      <c r="AP513" t="b">
        <v>0</v>
      </c>
      <c r="AQ513" t="b">
        <v>0</v>
      </c>
      <c r="AR513" t="b">
        <v>0</v>
      </c>
    </row>
    <row r="514" spans="1:45" x14ac:dyDescent="0.3">
      <c r="A514" t="s">
        <v>1746</v>
      </c>
      <c r="B514" t="s">
        <v>1650</v>
      </c>
      <c r="C514" t="s">
        <v>2099</v>
      </c>
      <c r="D514" t="s">
        <v>442</v>
      </c>
      <c r="E514" t="s">
        <v>443</v>
      </c>
      <c r="F514" t="s">
        <v>56</v>
      </c>
      <c r="G514">
        <v>11.7</v>
      </c>
      <c r="H514">
        <v>4</v>
      </c>
      <c r="I514">
        <v>3.6</v>
      </c>
      <c r="J514">
        <v>43.3</v>
      </c>
      <c r="K514">
        <v>7.3</v>
      </c>
      <c r="L514">
        <v>7.9</v>
      </c>
      <c r="M514">
        <v>70.400000000000006</v>
      </c>
      <c r="N514">
        <v>14.6</v>
      </c>
      <c r="O514">
        <v>2.6</v>
      </c>
      <c r="P514" t="s">
        <v>1615</v>
      </c>
      <c r="Q514" t="s">
        <v>572</v>
      </c>
      <c r="R514" t="s">
        <v>2099</v>
      </c>
      <c r="S514" t="s">
        <v>574</v>
      </c>
      <c r="T514">
        <v>5940</v>
      </c>
      <c r="U514">
        <v>31.9</v>
      </c>
      <c r="V514">
        <v>593</v>
      </c>
      <c r="W514">
        <v>25.1</v>
      </c>
      <c r="X514">
        <v>608</v>
      </c>
      <c r="Y514">
        <v>74.2</v>
      </c>
      <c r="Z514">
        <v>462</v>
      </c>
      <c r="AA514">
        <v>52.3</v>
      </c>
      <c r="AB514">
        <v>763</v>
      </c>
      <c r="AC514">
        <v>52</v>
      </c>
      <c r="AD514">
        <v>739</v>
      </c>
      <c r="AE514" t="s">
        <v>57</v>
      </c>
      <c r="AF514">
        <v>0</v>
      </c>
      <c r="AG514" t="s">
        <v>2100</v>
      </c>
      <c r="AH514">
        <v>713</v>
      </c>
      <c r="AI514" t="s">
        <v>443</v>
      </c>
      <c r="AJ514" s="1">
        <v>17196</v>
      </c>
      <c r="AK514">
        <v>26</v>
      </c>
      <c r="AL514" s="2">
        <v>7.0000000000000007E-2</v>
      </c>
      <c r="AM514" s="3">
        <v>2.4048611111111109</v>
      </c>
      <c r="AN514" t="s">
        <v>2099</v>
      </c>
      <c r="AO514" t="s">
        <v>2101</v>
      </c>
      <c r="AP514" t="b">
        <v>0</v>
      </c>
      <c r="AQ514" t="b">
        <v>0</v>
      </c>
      <c r="AR514" t="b">
        <v>0</v>
      </c>
    </row>
    <row r="515" spans="1:45" x14ac:dyDescent="0.3">
      <c r="A515" t="s">
        <v>1641</v>
      </c>
      <c r="B515" t="s">
        <v>1746</v>
      </c>
      <c r="C515" t="s">
        <v>2102</v>
      </c>
      <c r="D515" t="s">
        <v>2103</v>
      </c>
      <c r="E515" t="s">
        <v>2104</v>
      </c>
      <c r="F515" t="s">
        <v>77</v>
      </c>
      <c r="G515">
        <v>17.600000000000001</v>
      </c>
      <c r="H515">
        <v>8.4</v>
      </c>
      <c r="I515">
        <v>4.5999999999999996</v>
      </c>
      <c r="J515">
        <v>5.3</v>
      </c>
      <c r="K515">
        <v>2.8</v>
      </c>
      <c r="L515">
        <v>4</v>
      </c>
      <c r="M515">
        <v>95.2</v>
      </c>
      <c r="N515">
        <v>96.4</v>
      </c>
      <c r="O515">
        <v>3.7</v>
      </c>
      <c r="P515" t="s">
        <v>1615</v>
      </c>
      <c r="Q515" t="s">
        <v>679</v>
      </c>
      <c r="R515" t="s">
        <v>2102</v>
      </c>
      <c r="S515" t="s">
        <v>680</v>
      </c>
      <c r="T515">
        <v>8220</v>
      </c>
      <c r="U515">
        <v>21.3</v>
      </c>
      <c r="V515">
        <v>1279</v>
      </c>
      <c r="W515">
        <v>27</v>
      </c>
      <c r="X515">
        <v>540</v>
      </c>
      <c r="Y515">
        <v>49.4</v>
      </c>
      <c r="Z515">
        <v>1030</v>
      </c>
      <c r="AA515">
        <v>34</v>
      </c>
      <c r="AB515">
        <v>1109</v>
      </c>
      <c r="AC515">
        <v>42.3</v>
      </c>
      <c r="AD515">
        <v>1038</v>
      </c>
      <c r="AE515" t="s">
        <v>57</v>
      </c>
      <c r="AF515">
        <v>0</v>
      </c>
      <c r="AG515" t="s">
        <v>2105</v>
      </c>
      <c r="AH515">
        <v>131292</v>
      </c>
      <c r="AI515" t="s">
        <v>2104</v>
      </c>
      <c r="AJ515" s="1">
        <v>91494</v>
      </c>
      <c r="AK515">
        <v>18.2</v>
      </c>
      <c r="AL515" s="2">
        <v>0.05</v>
      </c>
      <c r="AM515" s="3">
        <v>2.6097222222222221</v>
      </c>
      <c r="AN515" t="s">
        <v>2102</v>
      </c>
      <c r="AO515" t="s">
        <v>2106</v>
      </c>
      <c r="AP515" t="b">
        <v>0</v>
      </c>
      <c r="AQ515" t="b">
        <v>0</v>
      </c>
      <c r="AR515" t="b">
        <v>0</v>
      </c>
    </row>
    <row r="516" spans="1:45" x14ac:dyDescent="0.3">
      <c r="A516" t="s">
        <v>1700</v>
      </c>
      <c r="B516" t="s">
        <v>1676</v>
      </c>
      <c r="C516" t="s">
        <v>2107</v>
      </c>
      <c r="D516" t="s">
        <v>378</v>
      </c>
      <c r="E516" t="s">
        <v>379</v>
      </c>
      <c r="F516" t="s">
        <v>47</v>
      </c>
      <c r="G516">
        <v>11.7</v>
      </c>
      <c r="H516">
        <v>3.3</v>
      </c>
      <c r="I516">
        <v>87.5</v>
      </c>
      <c r="J516">
        <v>1.4</v>
      </c>
      <c r="K516">
        <v>6.3</v>
      </c>
      <c r="L516">
        <v>60</v>
      </c>
      <c r="M516">
        <v>18.8</v>
      </c>
      <c r="N516">
        <v>1.9</v>
      </c>
      <c r="O516">
        <v>10.1</v>
      </c>
      <c r="P516" t="s">
        <v>1615</v>
      </c>
      <c r="Q516" t="s">
        <v>1068</v>
      </c>
      <c r="R516" t="s">
        <v>2107</v>
      </c>
      <c r="S516" t="s">
        <v>1070</v>
      </c>
      <c r="T516">
        <v>15200</v>
      </c>
      <c r="U516">
        <v>20.5</v>
      </c>
      <c r="V516">
        <v>1334</v>
      </c>
      <c r="W516">
        <v>16.5</v>
      </c>
      <c r="X516">
        <v>1003</v>
      </c>
      <c r="Y516">
        <v>15.2</v>
      </c>
      <c r="Z516">
        <v>1761</v>
      </c>
      <c r="AA516">
        <v>25.2</v>
      </c>
      <c r="AB516">
        <v>1330</v>
      </c>
      <c r="AC516">
        <v>64.400000000000006</v>
      </c>
      <c r="AD516">
        <v>496</v>
      </c>
      <c r="AE516" t="s">
        <v>57</v>
      </c>
      <c r="AF516">
        <v>0</v>
      </c>
      <c r="AG516" t="s">
        <v>2108</v>
      </c>
      <c r="AH516">
        <v>587730</v>
      </c>
      <c r="AI516" t="s">
        <v>381</v>
      </c>
      <c r="AJ516" s="1">
        <v>9271</v>
      </c>
      <c r="AK516">
        <v>19</v>
      </c>
      <c r="AL516" s="2">
        <v>0.27</v>
      </c>
      <c r="AM516" s="3">
        <v>2.3638888888888889</v>
      </c>
      <c r="AN516" t="s">
        <v>2107</v>
      </c>
      <c r="AO516" t="s">
        <v>2109</v>
      </c>
      <c r="AP516" t="b">
        <v>0</v>
      </c>
      <c r="AQ516" t="b">
        <v>0</v>
      </c>
      <c r="AR516" t="b">
        <v>1</v>
      </c>
    </row>
    <row r="517" spans="1:45" x14ac:dyDescent="0.3">
      <c r="A517" t="s">
        <v>1700</v>
      </c>
      <c r="B517" t="s">
        <v>1711</v>
      </c>
      <c r="C517" t="s">
        <v>2110</v>
      </c>
      <c r="D517" t="s">
        <v>139</v>
      </c>
      <c r="E517" t="s">
        <v>140</v>
      </c>
      <c r="F517" t="s">
        <v>56</v>
      </c>
      <c r="G517">
        <v>11.1</v>
      </c>
      <c r="H517">
        <v>13.5</v>
      </c>
      <c r="I517">
        <v>3.8</v>
      </c>
      <c r="J517">
        <v>15.6</v>
      </c>
      <c r="K517">
        <v>13.2</v>
      </c>
      <c r="L517">
        <v>43.7</v>
      </c>
      <c r="M517">
        <v>67.3</v>
      </c>
      <c r="N517">
        <v>34.299999999999997</v>
      </c>
      <c r="O517">
        <v>26.3</v>
      </c>
      <c r="P517" t="s">
        <v>1615</v>
      </c>
      <c r="Q517" t="s">
        <v>572</v>
      </c>
      <c r="R517" t="s">
        <v>2110</v>
      </c>
      <c r="S517" t="s">
        <v>574</v>
      </c>
      <c r="T517">
        <v>5220</v>
      </c>
      <c r="U517">
        <v>22.6</v>
      </c>
      <c r="V517">
        <v>1174</v>
      </c>
      <c r="W517">
        <v>31.2</v>
      </c>
      <c r="X517">
        <v>436</v>
      </c>
      <c r="Y517">
        <v>67</v>
      </c>
      <c r="Z517">
        <v>621</v>
      </c>
      <c r="AA517">
        <v>75.5</v>
      </c>
      <c r="AB517">
        <v>325</v>
      </c>
      <c r="AC517">
        <v>77.2</v>
      </c>
      <c r="AD517">
        <v>292</v>
      </c>
      <c r="AE517" t="s">
        <v>57</v>
      </c>
      <c r="AF517">
        <v>0</v>
      </c>
      <c r="AG517" t="s">
        <v>2111</v>
      </c>
      <c r="AH517">
        <v>694</v>
      </c>
      <c r="AI517" t="s">
        <v>140</v>
      </c>
      <c r="AJ517" s="1">
        <v>29656</v>
      </c>
      <c r="AK517">
        <v>29.4</v>
      </c>
      <c r="AL517" s="2">
        <v>0.21</v>
      </c>
      <c r="AM517" s="3">
        <v>2.1180555555555554</v>
      </c>
      <c r="AN517" t="s">
        <v>2110</v>
      </c>
      <c r="AO517" t="s">
        <v>2112</v>
      </c>
      <c r="AP517" t="b">
        <v>0</v>
      </c>
      <c r="AQ517" t="b">
        <v>0</v>
      </c>
      <c r="AR517" t="b">
        <v>0</v>
      </c>
      <c r="AS517" t="s">
        <v>2113</v>
      </c>
    </row>
    <row r="518" spans="1:45" x14ac:dyDescent="0.3">
      <c r="A518" t="s">
        <v>1700</v>
      </c>
      <c r="B518" t="s">
        <v>2018</v>
      </c>
      <c r="C518" t="s">
        <v>2114</v>
      </c>
      <c r="D518" t="s">
        <v>541</v>
      </c>
      <c r="E518" t="s">
        <v>542</v>
      </c>
      <c r="F518" t="s">
        <v>47</v>
      </c>
      <c r="G518">
        <v>10.8</v>
      </c>
      <c r="H518">
        <v>5.3</v>
      </c>
      <c r="I518">
        <v>15.8</v>
      </c>
      <c r="J518">
        <v>35</v>
      </c>
      <c r="K518">
        <v>22.1</v>
      </c>
      <c r="L518">
        <v>8.6</v>
      </c>
      <c r="M518">
        <v>54.7</v>
      </c>
      <c r="N518">
        <v>4</v>
      </c>
      <c r="O518">
        <v>17.7</v>
      </c>
      <c r="P518" t="s">
        <v>1615</v>
      </c>
      <c r="Q518" t="s">
        <v>696</v>
      </c>
      <c r="R518" t="s">
        <v>2114</v>
      </c>
      <c r="S518" t="s">
        <v>697</v>
      </c>
      <c r="T518">
        <v>7040</v>
      </c>
      <c r="U518">
        <v>27.4</v>
      </c>
      <c r="V518">
        <v>851</v>
      </c>
      <c r="W518">
        <v>19</v>
      </c>
      <c r="X518">
        <v>862</v>
      </c>
      <c r="Y518">
        <v>67.5</v>
      </c>
      <c r="Z518">
        <v>611</v>
      </c>
      <c r="AA518">
        <v>28.3</v>
      </c>
      <c r="AB518">
        <v>1225</v>
      </c>
      <c r="AC518">
        <v>57.9</v>
      </c>
      <c r="AD518">
        <v>623</v>
      </c>
      <c r="AE518" t="s">
        <v>57</v>
      </c>
      <c r="AF518">
        <v>0</v>
      </c>
      <c r="AG518" t="s">
        <v>2115</v>
      </c>
      <c r="AH518">
        <v>625131</v>
      </c>
      <c r="AI518" t="s">
        <v>542</v>
      </c>
      <c r="AJ518" s="1">
        <v>8331</v>
      </c>
      <c r="AK518">
        <v>13.5</v>
      </c>
      <c r="AL518" s="2">
        <v>0.08</v>
      </c>
      <c r="AM518" s="3">
        <v>2.0770833333333334</v>
      </c>
      <c r="AN518" t="s">
        <v>2114</v>
      </c>
      <c r="AO518" t="s">
        <v>2116</v>
      </c>
      <c r="AP518" t="b">
        <v>0</v>
      </c>
      <c r="AQ518" t="b">
        <v>0</v>
      </c>
      <c r="AR518" t="b">
        <v>0</v>
      </c>
    </row>
    <row r="519" spans="1:45" x14ac:dyDescent="0.3">
      <c r="A519" t="s">
        <v>1700</v>
      </c>
      <c r="B519">
        <v>593</v>
      </c>
      <c r="C519" t="s">
        <v>2117</v>
      </c>
      <c r="D519" t="s">
        <v>45</v>
      </c>
      <c r="E519" t="s">
        <v>46</v>
      </c>
      <c r="F519" t="s">
        <v>77</v>
      </c>
      <c r="G519">
        <v>13.7</v>
      </c>
      <c r="H519">
        <v>23</v>
      </c>
      <c r="I519">
        <v>2.9</v>
      </c>
      <c r="J519">
        <v>23.6</v>
      </c>
      <c r="K519">
        <v>9.5</v>
      </c>
      <c r="L519">
        <v>4.3</v>
      </c>
      <c r="M519">
        <v>72.2</v>
      </c>
      <c r="N519">
        <v>9.1999999999999993</v>
      </c>
      <c r="O519">
        <v>12.1</v>
      </c>
      <c r="P519" t="s">
        <v>1615</v>
      </c>
      <c r="Q519" t="s">
        <v>372</v>
      </c>
      <c r="R519" t="s">
        <v>2117</v>
      </c>
      <c r="S519" t="s">
        <v>374</v>
      </c>
      <c r="T519">
        <v>4150</v>
      </c>
      <c r="U519">
        <v>28.5</v>
      </c>
      <c r="V519">
        <v>771</v>
      </c>
      <c r="W519">
        <v>34.4</v>
      </c>
      <c r="X519">
        <v>366</v>
      </c>
      <c r="Y519">
        <v>74.7</v>
      </c>
      <c r="Z519">
        <v>444</v>
      </c>
      <c r="AA519">
        <v>78.3</v>
      </c>
      <c r="AB519">
        <v>285</v>
      </c>
      <c r="AC519">
        <v>39.9</v>
      </c>
      <c r="AD519">
        <v>1118</v>
      </c>
      <c r="AE519" t="s">
        <v>208</v>
      </c>
      <c r="AF519">
        <v>0</v>
      </c>
      <c r="AG519" t="s">
        <v>2118</v>
      </c>
      <c r="AH519">
        <v>595858</v>
      </c>
      <c r="AI519" t="s">
        <v>46</v>
      </c>
      <c r="AJ519" s="1">
        <v>65269</v>
      </c>
      <c r="AK519">
        <v>39.1</v>
      </c>
      <c r="AL519" s="2">
        <v>0.04</v>
      </c>
      <c r="AM519" s="3">
        <v>2.4048611111111109</v>
      </c>
      <c r="AN519" t="s">
        <v>2117</v>
      </c>
      <c r="AO519" t="s">
        <v>2119</v>
      </c>
      <c r="AP519" t="b">
        <v>0</v>
      </c>
      <c r="AQ519" t="b">
        <v>0</v>
      </c>
      <c r="AR519" t="b">
        <v>0</v>
      </c>
      <c r="AS519" t="s">
        <v>2120</v>
      </c>
    </row>
    <row r="520" spans="1:45" x14ac:dyDescent="0.3">
      <c r="A520" t="s">
        <v>1700</v>
      </c>
      <c r="B520" t="s">
        <v>1700</v>
      </c>
      <c r="C520" t="s">
        <v>2121</v>
      </c>
      <c r="D520" t="s">
        <v>54</v>
      </c>
      <c r="E520" t="s">
        <v>55</v>
      </c>
      <c r="F520" t="s">
        <v>77</v>
      </c>
      <c r="G520">
        <v>9</v>
      </c>
      <c r="H520">
        <v>9</v>
      </c>
      <c r="I520">
        <v>7.5</v>
      </c>
      <c r="J520">
        <v>11.9</v>
      </c>
      <c r="K520">
        <v>46.9</v>
      </c>
      <c r="L520">
        <v>75.3</v>
      </c>
      <c r="M520">
        <v>76.099999999999994</v>
      </c>
      <c r="N520">
        <v>2.1</v>
      </c>
      <c r="O520">
        <v>14.3</v>
      </c>
      <c r="P520" t="s">
        <v>1615</v>
      </c>
      <c r="Q520" t="s">
        <v>572</v>
      </c>
      <c r="R520" t="s">
        <v>2121</v>
      </c>
      <c r="S520" t="s">
        <v>574</v>
      </c>
      <c r="T520">
        <v>6010</v>
      </c>
      <c r="U520">
        <v>19.5</v>
      </c>
      <c r="V520">
        <v>1426</v>
      </c>
      <c r="W520">
        <v>15</v>
      </c>
      <c r="X520">
        <v>1128</v>
      </c>
      <c r="Y520">
        <v>82.6</v>
      </c>
      <c r="Z520">
        <v>269</v>
      </c>
      <c r="AA520">
        <v>30.2</v>
      </c>
      <c r="AB520">
        <v>1178</v>
      </c>
      <c r="AC520">
        <v>78.599999999999994</v>
      </c>
      <c r="AD520">
        <v>277</v>
      </c>
      <c r="AE520" t="s">
        <v>57</v>
      </c>
      <c r="AF520">
        <v>0</v>
      </c>
      <c r="AG520" t="s">
        <v>2122</v>
      </c>
      <c r="AH520">
        <v>131439</v>
      </c>
      <c r="AI520" t="s">
        <v>55</v>
      </c>
      <c r="AJ520" s="1">
        <v>26890</v>
      </c>
      <c r="AK520">
        <v>15.9</v>
      </c>
      <c r="AL520" s="2">
        <v>0.25</v>
      </c>
      <c r="AM520" s="3">
        <v>2.2000000000000002</v>
      </c>
      <c r="AN520" t="s">
        <v>2121</v>
      </c>
      <c r="AO520" t="s">
        <v>2123</v>
      </c>
      <c r="AP520" t="b">
        <v>0</v>
      </c>
      <c r="AQ520" t="b">
        <v>0</v>
      </c>
      <c r="AR520" t="b">
        <v>0</v>
      </c>
      <c r="AS520" t="s">
        <v>2124</v>
      </c>
    </row>
    <row r="521" spans="1:45" x14ac:dyDescent="0.3">
      <c r="A521" t="s">
        <v>1700</v>
      </c>
      <c r="B521" t="s">
        <v>1842</v>
      </c>
      <c r="C521" t="s">
        <v>2125</v>
      </c>
      <c r="D521" t="s">
        <v>54</v>
      </c>
      <c r="E521" t="s">
        <v>55</v>
      </c>
      <c r="F521" t="s">
        <v>56</v>
      </c>
      <c r="G521">
        <v>11.5</v>
      </c>
      <c r="H521">
        <v>6.8</v>
      </c>
      <c r="I521">
        <v>5.7</v>
      </c>
      <c r="J521">
        <v>5.0999999999999996</v>
      </c>
      <c r="K521">
        <v>77.400000000000006</v>
      </c>
      <c r="L521">
        <v>100</v>
      </c>
      <c r="M521">
        <v>35.4</v>
      </c>
      <c r="N521">
        <v>21.7</v>
      </c>
      <c r="O521">
        <v>1.7</v>
      </c>
      <c r="P521" t="s">
        <v>1615</v>
      </c>
      <c r="Q521" t="s">
        <v>679</v>
      </c>
      <c r="R521" t="s">
        <v>2125</v>
      </c>
      <c r="S521" t="s">
        <v>680</v>
      </c>
      <c r="T521">
        <v>9950</v>
      </c>
      <c r="U521">
        <v>19.399999999999999</v>
      </c>
      <c r="V521">
        <v>1439</v>
      </c>
      <c r="W521">
        <v>18.100000000000001</v>
      </c>
      <c r="X521">
        <v>914</v>
      </c>
      <c r="Y521">
        <v>55.3</v>
      </c>
      <c r="Z521">
        <v>882</v>
      </c>
      <c r="AA521">
        <v>40</v>
      </c>
      <c r="AB521">
        <v>980</v>
      </c>
      <c r="AC521">
        <v>87.1</v>
      </c>
      <c r="AD521">
        <v>165</v>
      </c>
      <c r="AE521" t="s">
        <v>57</v>
      </c>
      <c r="AF521">
        <v>0</v>
      </c>
      <c r="AG521" t="s">
        <v>2126</v>
      </c>
      <c r="AH521">
        <v>131626</v>
      </c>
      <c r="AI521" t="s">
        <v>55</v>
      </c>
      <c r="AJ521" s="1">
        <v>17315</v>
      </c>
      <c r="AK521">
        <v>19.8</v>
      </c>
      <c r="AL521" s="2">
        <v>0.48</v>
      </c>
      <c r="AM521" s="3">
        <v>2.5277777777777777</v>
      </c>
      <c r="AN521" t="s">
        <v>2125</v>
      </c>
      <c r="AO521" t="s">
        <v>2127</v>
      </c>
      <c r="AP521" t="b">
        <v>0</v>
      </c>
      <c r="AQ521" t="b">
        <v>0</v>
      </c>
      <c r="AR521" t="b">
        <v>0</v>
      </c>
      <c r="AS521" t="s">
        <v>2128</v>
      </c>
    </row>
    <row r="522" spans="1:45" x14ac:dyDescent="0.3">
      <c r="A522" t="s">
        <v>1700</v>
      </c>
      <c r="B522" t="s">
        <v>1650</v>
      </c>
      <c r="C522" t="s">
        <v>2129</v>
      </c>
      <c r="D522" t="s">
        <v>2028</v>
      </c>
      <c r="E522" t="s">
        <v>2029</v>
      </c>
      <c r="F522" t="s">
        <v>56</v>
      </c>
      <c r="G522">
        <v>12.6</v>
      </c>
      <c r="H522">
        <v>16.899999999999999</v>
      </c>
      <c r="I522">
        <v>64.599999999999994</v>
      </c>
      <c r="J522">
        <v>1.4</v>
      </c>
      <c r="K522">
        <v>3.3</v>
      </c>
      <c r="L522">
        <v>55.7</v>
      </c>
      <c r="M522">
        <v>29.4</v>
      </c>
      <c r="N522">
        <v>4</v>
      </c>
      <c r="O522">
        <v>4.9000000000000004</v>
      </c>
      <c r="P522" t="s">
        <v>1615</v>
      </c>
      <c r="Q522" t="s">
        <v>621</v>
      </c>
      <c r="R522" t="s">
        <v>2130</v>
      </c>
      <c r="S522" t="s">
        <v>622</v>
      </c>
      <c r="T522">
        <v>14820</v>
      </c>
      <c r="U522">
        <v>26.4</v>
      </c>
      <c r="V522">
        <v>917</v>
      </c>
      <c r="W522">
        <v>10.9</v>
      </c>
      <c r="X522">
        <v>1542</v>
      </c>
      <c r="Y522">
        <v>8.8000000000000007</v>
      </c>
      <c r="Z522">
        <v>1871</v>
      </c>
      <c r="AA522">
        <v>46.6</v>
      </c>
      <c r="AB522">
        <v>873</v>
      </c>
      <c r="AC522">
        <v>47.2</v>
      </c>
      <c r="AD522">
        <v>887</v>
      </c>
      <c r="AE522" t="s">
        <v>57</v>
      </c>
      <c r="AF522">
        <v>0</v>
      </c>
      <c r="AG522" t="s">
        <v>2131</v>
      </c>
      <c r="AH522">
        <v>131424</v>
      </c>
      <c r="AI522" t="s">
        <v>2029</v>
      </c>
      <c r="AJ522" s="1">
        <v>17491</v>
      </c>
      <c r="AK522">
        <v>8.3000000000000007</v>
      </c>
      <c r="AL522" s="2">
        <v>0.28000000000000003</v>
      </c>
      <c r="AM522" s="3">
        <v>2.2409722222222221</v>
      </c>
      <c r="AN522" t="s">
        <v>2130</v>
      </c>
      <c r="AO522" t="s">
        <v>2132</v>
      </c>
      <c r="AP522" t="b">
        <v>0</v>
      </c>
      <c r="AQ522" t="b">
        <v>0</v>
      </c>
      <c r="AR522" t="b">
        <v>0</v>
      </c>
    </row>
    <row r="523" spans="1:45" x14ac:dyDescent="0.3">
      <c r="A523" t="s">
        <v>1700</v>
      </c>
      <c r="B523" t="s">
        <v>1842</v>
      </c>
      <c r="C523" t="s">
        <v>2133</v>
      </c>
      <c r="D523" t="s">
        <v>87</v>
      </c>
      <c r="E523" t="s">
        <v>88</v>
      </c>
      <c r="F523" t="s">
        <v>56</v>
      </c>
      <c r="G523">
        <v>6.9</v>
      </c>
      <c r="H523">
        <v>6.1</v>
      </c>
      <c r="I523">
        <v>2.4</v>
      </c>
      <c r="J523">
        <v>34.1</v>
      </c>
      <c r="K523">
        <v>32.700000000000003</v>
      </c>
      <c r="L523">
        <v>41.5</v>
      </c>
      <c r="M523">
        <v>44.9</v>
      </c>
      <c r="N523">
        <v>6.4</v>
      </c>
      <c r="O523">
        <v>34.799999999999997</v>
      </c>
      <c r="P523" t="s">
        <v>1615</v>
      </c>
      <c r="Q523" t="s">
        <v>372</v>
      </c>
      <c r="R523" t="s">
        <v>2134</v>
      </c>
      <c r="S523" t="s">
        <v>374</v>
      </c>
      <c r="T523">
        <v>4970</v>
      </c>
      <c r="U523">
        <v>27.4</v>
      </c>
      <c r="V523">
        <v>857</v>
      </c>
      <c r="W523">
        <v>29.9</v>
      </c>
      <c r="X523">
        <v>476</v>
      </c>
      <c r="Y523">
        <v>73.099999999999994</v>
      </c>
      <c r="Z523">
        <v>482</v>
      </c>
      <c r="AA523">
        <v>57.2</v>
      </c>
      <c r="AB523">
        <v>702</v>
      </c>
      <c r="AC523">
        <v>75.5</v>
      </c>
      <c r="AD523">
        <v>324</v>
      </c>
      <c r="AE523" t="s">
        <v>57</v>
      </c>
      <c r="AF523">
        <v>0</v>
      </c>
      <c r="AG523" t="s">
        <v>2135</v>
      </c>
      <c r="AH523">
        <v>589256</v>
      </c>
      <c r="AI523" t="s">
        <v>88</v>
      </c>
      <c r="AJ523" s="1">
        <v>14113</v>
      </c>
      <c r="AK523">
        <v>40</v>
      </c>
      <c r="AL523" s="2">
        <v>0.19</v>
      </c>
      <c r="AM523" s="3">
        <v>2.4048611111111109</v>
      </c>
      <c r="AN523" t="s">
        <v>2134</v>
      </c>
      <c r="AO523" t="s">
        <v>2136</v>
      </c>
      <c r="AP523" t="b">
        <v>0</v>
      </c>
      <c r="AQ523" t="b">
        <v>0</v>
      </c>
      <c r="AR523" t="b">
        <v>0</v>
      </c>
    </row>
    <row r="524" spans="1:45" x14ac:dyDescent="0.3">
      <c r="A524" t="s">
        <v>1700</v>
      </c>
      <c r="B524" t="s">
        <v>2043</v>
      </c>
      <c r="C524" t="s">
        <v>2137</v>
      </c>
      <c r="D524" t="s">
        <v>1384</v>
      </c>
      <c r="E524" t="s">
        <v>1385</v>
      </c>
      <c r="F524" t="s">
        <v>47</v>
      </c>
      <c r="G524">
        <v>10.4</v>
      </c>
      <c r="H524">
        <v>16.8</v>
      </c>
      <c r="I524">
        <v>41.8</v>
      </c>
      <c r="J524">
        <v>2.4</v>
      </c>
      <c r="K524">
        <v>26.7</v>
      </c>
      <c r="L524">
        <v>47.8</v>
      </c>
      <c r="M524">
        <v>48.1</v>
      </c>
      <c r="N524">
        <v>21.6</v>
      </c>
      <c r="O524">
        <v>6.7</v>
      </c>
      <c r="P524" t="s">
        <v>1615</v>
      </c>
      <c r="Q524" t="s">
        <v>621</v>
      </c>
      <c r="R524" t="s">
        <v>2137</v>
      </c>
      <c r="S524" t="s">
        <v>622</v>
      </c>
      <c r="T524">
        <v>14850</v>
      </c>
      <c r="U524">
        <v>22.4</v>
      </c>
      <c r="V524">
        <v>1198</v>
      </c>
      <c r="W524">
        <v>12.3</v>
      </c>
      <c r="X524">
        <v>1383</v>
      </c>
      <c r="Y524">
        <v>27.4</v>
      </c>
      <c r="Z524">
        <v>1512</v>
      </c>
      <c r="AA524">
        <v>20.9</v>
      </c>
      <c r="AB524">
        <v>1490</v>
      </c>
      <c r="AC524">
        <v>61.9</v>
      </c>
      <c r="AD524">
        <v>543</v>
      </c>
      <c r="AE524" t="s">
        <v>57</v>
      </c>
      <c r="AF524">
        <v>0</v>
      </c>
      <c r="AG524" t="s">
        <v>2138</v>
      </c>
      <c r="AH524">
        <v>131705</v>
      </c>
      <c r="AI524" t="s">
        <v>1385</v>
      </c>
      <c r="AJ524" s="1">
        <v>8210</v>
      </c>
      <c r="AK524">
        <v>11.2</v>
      </c>
      <c r="AL524" s="2">
        <v>0.15</v>
      </c>
      <c r="AM524" s="3">
        <v>2.5687500000000001</v>
      </c>
      <c r="AN524" t="s">
        <v>2137</v>
      </c>
      <c r="AO524" t="s">
        <v>2139</v>
      </c>
      <c r="AP524" t="b">
        <v>0</v>
      </c>
      <c r="AQ524" t="b">
        <v>0</v>
      </c>
      <c r="AR524" t="b">
        <v>0</v>
      </c>
    </row>
    <row r="525" spans="1:45" x14ac:dyDescent="0.3">
      <c r="A525" t="s">
        <v>1700</v>
      </c>
      <c r="B525" t="s">
        <v>1676</v>
      </c>
      <c r="C525" t="s">
        <v>2140</v>
      </c>
      <c r="D525" t="s">
        <v>45</v>
      </c>
      <c r="E525" t="s">
        <v>46</v>
      </c>
      <c r="F525" t="s">
        <v>47</v>
      </c>
      <c r="G525">
        <v>5.0999999999999996</v>
      </c>
      <c r="H525">
        <v>6.3</v>
      </c>
      <c r="I525">
        <v>100</v>
      </c>
      <c r="J525">
        <v>8.6</v>
      </c>
      <c r="K525">
        <v>3.2</v>
      </c>
      <c r="L525">
        <v>10.9</v>
      </c>
      <c r="M525">
        <v>42.8</v>
      </c>
      <c r="N525">
        <v>15.4</v>
      </c>
      <c r="O525">
        <v>1.7</v>
      </c>
      <c r="P525" t="s">
        <v>1615</v>
      </c>
      <c r="Q525" t="s">
        <v>372</v>
      </c>
      <c r="R525" t="s">
        <v>2140</v>
      </c>
      <c r="S525" t="s">
        <v>374</v>
      </c>
      <c r="T525">
        <v>5010</v>
      </c>
      <c r="U525">
        <v>39.6</v>
      </c>
      <c r="V525">
        <v>321</v>
      </c>
      <c r="W525">
        <v>22</v>
      </c>
      <c r="X525">
        <v>732</v>
      </c>
      <c r="Y525">
        <v>80.599999999999994</v>
      </c>
      <c r="Z525">
        <v>309</v>
      </c>
      <c r="AA525">
        <v>78.5</v>
      </c>
      <c r="AB525">
        <v>283</v>
      </c>
      <c r="AC525">
        <v>38.700000000000003</v>
      </c>
      <c r="AD525">
        <v>1164</v>
      </c>
      <c r="AE525" t="s">
        <v>49</v>
      </c>
      <c r="AF525">
        <v>0</v>
      </c>
      <c r="AG525" t="s">
        <v>2141</v>
      </c>
      <c r="AH525">
        <v>627</v>
      </c>
      <c r="AI525" t="s">
        <v>46</v>
      </c>
      <c r="AJ525" s="1">
        <v>8293</v>
      </c>
      <c r="AK525">
        <v>4.0999999999999996</v>
      </c>
      <c r="AL525" s="2">
        <v>0.09</v>
      </c>
      <c r="AM525" s="3">
        <v>2.2819444444444446</v>
      </c>
      <c r="AN525" t="s">
        <v>2140</v>
      </c>
      <c r="AO525" t="s">
        <v>2142</v>
      </c>
      <c r="AP525" t="b">
        <v>0</v>
      </c>
      <c r="AQ525" t="b">
        <v>0</v>
      </c>
      <c r="AR525" t="b">
        <v>0</v>
      </c>
      <c r="AS525" t="s">
        <v>2143</v>
      </c>
    </row>
    <row r="526" spans="1:45" x14ac:dyDescent="0.3">
      <c r="A526" t="s">
        <v>1928</v>
      </c>
      <c r="B526" t="s">
        <v>2043</v>
      </c>
      <c r="C526" t="s">
        <v>2144</v>
      </c>
      <c r="D526" t="s">
        <v>1384</v>
      </c>
      <c r="E526" t="s">
        <v>1385</v>
      </c>
      <c r="F526" t="s">
        <v>47</v>
      </c>
      <c r="G526">
        <v>11.2</v>
      </c>
      <c r="H526">
        <v>18.5</v>
      </c>
      <c r="I526">
        <v>31.1</v>
      </c>
      <c r="J526">
        <v>7.9</v>
      </c>
      <c r="K526">
        <v>3.5</v>
      </c>
      <c r="L526">
        <v>28.6</v>
      </c>
      <c r="M526">
        <v>64.2</v>
      </c>
      <c r="N526">
        <v>23.2</v>
      </c>
      <c r="O526">
        <v>16.100000000000001</v>
      </c>
      <c r="P526" t="s">
        <v>1615</v>
      </c>
      <c r="Q526" t="s">
        <v>621</v>
      </c>
      <c r="R526" t="s">
        <v>2144</v>
      </c>
      <c r="S526" t="s">
        <v>622</v>
      </c>
      <c r="T526">
        <v>13260</v>
      </c>
      <c r="U526">
        <v>22.2</v>
      </c>
      <c r="V526">
        <v>1210</v>
      </c>
      <c r="W526">
        <v>15.3</v>
      </c>
      <c r="X526">
        <v>1094</v>
      </c>
      <c r="Y526">
        <v>39</v>
      </c>
      <c r="Z526">
        <v>1242</v>
      </c>
      <c r="AA526">
        <v>36.9</v>
      </c>
      <c r="AB526">
        <v>1050</v>
      </c>
      <c r="AC526">
        <v>39.200000000000003</v>
      </c>
      <c r="AD526">
        <v>1143</v>
      </c>
      <c r="AE526" t="s">
        <v>57</v>
      </c>
      <c r="AF526">
        <v>0</v>
      </c>
      <c r="AG526" t="s">
        <v>2145</v>
      </c>
      <c r="AH526">
        <v>131361</v>
      </c>
      <c r="AI526" t="s">
        <v>1385</v>
      </c>
      <c r="AJ526" s="1">
        <v>7986</v>
      </c>
      <c r="AK526">
        <v>13.3</v>
      </c>
      <c r="AL526" s="2">
        <v>0.08</v>
      </c>
      <c r="AM526" t="s">
        <v>699</v>
      </c>
      <c r="AN526" t="s">
        <v>2144</v>
      </c>
      <c r="AO526" t="s">
        <v>2146</v>
      </c>
      <c r="AP526" t="b">
        <v>0</v>
      </c>
      <c r="AQ526" t="b">
        <v>0</v>
      </c>
      <c r="AR526" t="b">
        <v>0</v>
      </c>
    </row>
    <row r="527" spans="1:45" x14ac:dyDescent="0.3">
      <c r="A527" t="s">
        <v>1928</v>
      </c>
      <c r="B527" t="s">
        <v>1761</v>
      </c>
      <c r="C527" t="s">
        <v>2147</v>
      </c>
      <c r="D527" t="s">
        <v>175</v>
      </c>
      <c r="E527" t="s">
        <v>176</v>
      </c>
      <c r="F527" t="s">
        <v>56</v>
      </c>
      <c r="G527">
        <v>10.4</v>
      </c>
      <c r="H527">
        <v>51.5</v>
      </c>
      <c r="I527">
        <v>9.4</v>
      </c>
      <c r="J527">
        <v>10</v>
      </c>
      <c r="K527">
        <v>12.5</v>
      </c>
      <c r="L527">
        <v>3.7</v>
      </c>
      <c r="M527">
        <v>20.3</v>
      </c>
      <c r="N527">
        <v>41</v>
      </c>
      <c r="O527">
        <v>2.4</v>
      </c>
      <c r="P527" t="s">
        <v>1615</v>
      </c>
      <c r="Q527" t="s">
        <v>621</v>
      </c>
      <c r="R527" t="s">
        <v>2147</v>
      </c>
      <c r="S527" t="s">
        <v>622</v>
      </c>
      <c r="T527">
        <v>14650</v>
      </c>
      <c r="U527">
        <v>24</v>
      </c>
      <c r="V527">
        <v>1081</v>
      </c>
      <c r="W527">
        <v>26.1</v>
      </c>
      <c r="X527">
        <v>568</v>
      </c>
      <c r="Y527">
        <v>26.4</v>
      </c>
      <c r="Z527">
        <v>1529</v>
      </c>
      <c r="AA527">
        <v>74</v>
      </c>
      <c r="AB527">
        <v>348</v>
      </c>
      <c r="AC527">
        <v>29.1</v>
      </c>
      <c r="AD527">
        <v>1537</v>
      </c>
      <c r="AE527" t="s">
        <v>57</v>
      </c>
      <c r="AF527">
        <v>0</v>
      </c>
      <c r="AG527" t="s">
        <v>2148</v>
      </c>
      <c r="AH527">
        <v>131726</v>
      </c>
      <c r="AI527" t="s">
        <v>176</v>
      </c>
      <c r="AJ527" s="1">
        <v>17662</v>
      </c>
      <c r="AK527">
        <v>24</v>
      </c>
      <c r="AL527" s="2">
        <v>0.04</v>
      </c>
      <c r="AM527" t="s">
        <v>220</v>
      </c>
      <c r="AN527" t="s">
        <v>2149</v>
      </c>
      <c r="AO527" t="s">
        <v>2150</v>
      </c>
      <c r="AP527" t="b">
        <v>0</v>
      </c>
      <c r="AQ527" t="b">
        <v>0</v>
      </c>
      <c r="AR527" t="b">
        <v>0</v>
      </c>
    </row>
    <row r="528" spans="1:45" x14ac:dyDescent="0.3">
      <c r="A528" t="s">
        <v>1928</v>
      </c>
      <c r="B528" t="s">
        <v>2043</v>
      </c>
      <c r="C528" t="s">
        <v>2151</v>
      </c>
      <c r="D528" t="s">
        <v>758</v>
      </c>
      <c r="E528" t="s">
        <v>759</v>
      </c>
      <c r="F528" t="s">
        <v>56</v>
      </c>
      <c r="G528">
        <v>17.100000000000001</v>
      </c>
      <c r="H528">
        <v>6.5</v>
      </c>
      <c r="I528">
        <v>5.5</v>
      </c>
      <c r="J528">
        <v>21.4</v>
      </c>
      <c r="K528">
        <v>24.7</v>
      </c>
      <c r="L528">
        <v>1.1000000000000001</v>
      </c>
      <c r="M528">
        <v>56</v>
      </c>
      <c r="N528">
        <v>49.8</v>
      </c>
      <c r="O528">
        <v>1.5</v>
      </c>
      <c r="P528" t="s">
        <v>1615</v>
      </c>
      <c r="Q528" t="s">
        <v>733</v>
      </c>
      <c r="R528" t="s">
        <v>2151</v>
      </c>
      <c r="S528" t="s">
        <v>735</v>
      </c>
      <c r="T528">
        <v>10280</v>
      </c>
      <c r="U528">
        <v>40</v>
      </c>
      <c r="V528">
        <v>307</v>
      </c>
      <c r="W528">
        <v>15.2</v>
      </c>
      <c r="X528">
        <v>1103</v>
      </c>
      <c r="Y528">
        <v>33.700000000000003</v>
      </c>
      <c r="Z528">
        <v>1357</v>
      </c>
      <c r="AA528">
        <v>30.3</v>
      </c>
      <c r="AB528">
        <v>1174</v>
      </c>
      <c r="AC528">
        <v>19.3</v>
      </c>
      <c r="AD528">
        <v>1881</v>
      </c>
      <c r="AE528" t="s">
        <v>57</v>
      </c>
      <c r="AF528">
        <v>6</v>
      </c>
      <c r="AG528" t="s">
        <v>2152</v>
      </c>
      <c r="AH528">
        <v>131348</v>
      </c>
      <c r="AI528" t="s">
        <v>759</v>
      </c>
      <c r="AJ528" s="1">
        <v>17879</v>
      </c>
      <c r="AK528">
        <v>14.2</v>
      </c>
      <c r="AL528" s="2">
        <v>0</v>
      </c>
      <c r="AM528" s="3">
        <v>2.2819444444444446</v>
      </c>
      <c r="AN528" t="s">
        <v>2151</v>
      </c>
      <c r="AO528" t="s">
        <v>2153</v>
      </c>
      <c r="AP528" t="b">
        <v>0</v>
      </c>
      <c r="AQ528" t="b">
        <v>0</v>
      </c>
      <c r="AR528" t="b">
        <v>0</v>
      </c>
    </row>
    <row r="529" spans="1:45" x14ac:dyDescent="0.3">
      <c r="A529" t="s">
        <v>1928</v>
      </c>
      <c r="B529" t="s">
        <v>2004</v>
      </c>
      <c r="C529" t="s">
        <v>2154</v>
      </c>
      <c r="D529" t="s">
        <v>1047</v>
      </c>
      <c r="E529" t="s">
        <v>737</v>
      </c>
      <c r="F529" t="s">
        <v>56</v>
      </c>
      <c r="G529">
        <v>10</v>
      </c>
      <c r="H529">
        <v>43.2</v>
      </c>
      <c r="I529">
        <v>18</v>
      </c>
      <c r="J529">
        <v>6.7</v>
      </c>
      <c r="K529">
        <v>1.1000000000000001</v>
      </c>
      <c r="L529">
        <v>1.8</v>
      </c>
      <c r="M529">
        <v>41.6</v>
      </c>
      <c r="N529">
        <v>47.7</v>
      </c>
      <c r="O529">
        <v>7.5</v>
      </c>
      <c r="P529" t="s">
        <v>1615</v>
      </c>
      <c r="Q529" t="s">
        <v>733</v>
      </c>
      <c r="R529" t="s">
        <v>2154</v>
      </c>
      <c r="S529" t="s">
        <v>735</v>
      </c>
      <c r="T529">
        <v>10480</v>
      </c>
      <c r="U529">
        <v>18.8</v>
      </c>
      <c r="V529">
        <v>1476</v>
      </c>
      <c r="W529">
        <v>9.9</v>
      </c>
      <c r="X529">
        <v>1650</v>
      </c>
      <c r="Y529">
        <v>53.5</v>
      </c>
      <c r="Z529">
        <v>931</v>
      </c>
      <c r="AA529">
        <v>24.1</v>
      </c>
      <c r="AB529">
        <v>1363</v>
      </c>
      <c r="AC529">
        <v>50.6</v>
      </c>
      <c r="AD529">
        <v>786</v>
      </c>
      <c r="AE529" t="s">
        <v>57</v>
      </c>
      <c r="AF529">
        <v>0</v>
      </c>
      <c r="AG529" t="s">
        <v>2155</v>
      </c>
      <c r="AH529">
        <v>623421</v>
      </c>
      <c r="AI529" t="s">
        <v>737</v>
      </c>
      <c r="AJ529" s="1">
        <v>12720</v>
      </c>
      <c r="AK529">
        <v>13.4</v>
      </c>
      <c r="AL529" s="2">
        <v>0.02</v>
      </c>
      <c r="AM529" t="s">
        <v>410</v>
      </c>
      <c r="AN529" t="s">
        <v>2154</v>
      </c>
      <c r="AO529" t="s">
        <v>2156</v>
      </c>
      <c r="AP529" t="b">
        <v>0</v>
      </c>
      <c r="AQ529" t="b">
        <v>0</v>
      </c>
      <c r="AR529" t="b">
        <v>0</v>
      </c>
    </row>
    <row r="530" spans="1:45" x14ac:dyDescent="0.3">
      <c r="A530" t="s">
        <v>1928</v>
      </c>
      <c r="B530" t="s">
        <v>2157</v>
      </c>
      <c r="C530" t="s">
        <v>2158</v>
      </c>
      <c r="D530" t="s">
        <v>2159</v>
      </c>
      <c r="E530" t="s">
        <v>2160</v>
      </c>
      <c r="F530" t="s">
        <v>47</v>
      </c>
      <c r="G530">
        <v>6.1</v>
      </c>
      <c r="H530">
        <v>4.5999999999999996</v>
      </c>
      <c r="I530">
        <v>31.7</v>
      </c>
      <c r="J530">
        <v>7.2</v>
      </c>
      <c r="K530">
        <v>18</v>
      </c>
      <c r="L530">
        <v>19.2</v>
      </c>
      <c r="M530">
        <v>75.900000000000006</v>
      </c>
      <c r="N530">
        <v>95.9</v>
      </c>
      <c r="O530">
        <v>1.9</v>
      </c>
      <c r="P530" t="s">
        <v>1615</v>
      </c>
      <c r="Q530" t="s">
        <v>679</v>
      </c>
      <c r="R530" t="s">
        <v>2158</v>
      </c>
      <c r="S530" t="s">
        <v>680</v>
      </c>
      <c r="T530">
        <v>9180</v>
      </c>
      <c r="U530">
        <v>23.4</v>
      </c>
      <c r="V530">
        <v>1123</v>
      </c>
      <c r="W530">
        <v>16.2</v>
      </c>
      <c r="X530">
        <v>1034</v>
      </c>
      <c r="Y530">
        <v>60.6</v>
      </c>
      <c r="Z530">
        <v>766</v>
      </c>
      <c r="AA530">
        <v>20.5</v>
      </c>
      <c r="AB530">
        <v>1512</v>
      </c>
      <c r="AC530">
        <v>53.8</v>
      </c>
      <c r="AD530">
        <v>696</v>
      </c>
      <c r="AE530" t="s">
        <v>57</v>
      </c>
      <c r="AF530">
        <v>0</v>
      </c>
      <c r="AG530" t="s">
        <v>2161</v>
      </c>
      <c r="AH530">
        <v>626004</v>
      </c>
      <c r="AI530" t="s">
        <v>2160</v>
      </c>
      <c r="AJ530" s="1">
        <v>10056</v>
      </c>
      <c r="AK530">
        <v>12.3</v>
      </c>
      <c r="AL530" s="2">
        <v>0.14000000000000001</v>
      </c>
      <c r="AM530" s="3">
        <v>2.4868055555555557</v>
      </c>
      <c r="AN530" t="s">
        <v>2158</v>
      </c>
      <c r="AO530" t="s">
        <v>2162</v>
      </c>
      <c r="AP530" t="b">
        <v>0</v>
      </c>
      <c r="AQ530" t="b">
        <v>0</v>
      </c>
      <c r="AR530" t="b">
        <v>0</v>
      </c>
    </row>
    <row r="531" spans="1:45" x14ac:dyDescent="0.3">
      <c r="A531" t="s">
        <v>1787</v>
      </c>
      <c r="B531" t="s">
        <v>1641</v>
      </c>
      <c r="C531" t="s">
        <v>2163</v>
      </c>
      <c r="D531" t="s">
        <v>887</v>
      </c>
      <c r="E531" t="s">
        <v>888</v>
      </c>
      <c r="F531" t="s">
        <v>56</v>
      </c>
      <c r="G531">
        <v>16</v>
      </c>
      <c r="H531">
        <v>9.1</v>
      </c>
      <c r="I531">
        <v>33.299999999999997</v>
      </c>
      <c r="J531">
        <v>4.8</v>
      </c>
      <c r="K531">
        <v>7.7</v>
      </c>
      <c r="L531">
        <v>8.3000000000000007</v>
      </c>
      <c r="M531">
        <v>86.7</v>
      </c>
      <c r="N531">
        <v>7.5</v>
      </c>
      <c r="O531">
        <v>31.6</v>
      </c>
      <c r="P531" t="s">
        <v>1615</v>
      </c>
      <c r="Q531" t="s">
        <v>733</v>
      </c>
      <c r="R531" t="s">
        <v>2164</v>
      </c>
      <c r="S531" t="s">
        <v>735</v>
      </c>
      <c r="T531">
        <v>10030</v>
      </c>
      <c r="U531">
        <v>19.7</v>
      </c>
      <c r="V531">
        <v>1396</v>
      </c>
      <c r="W531">
        <v>28.4</v>
      </c>
      <c r="X531">
        <v>505</v>
      </c>
      <c r="Y531">
        <v>43.5</v>
      </c>
      <c r="Z531">
        <v>1153</v>
      </c>
      <c r="AA531">
        <v>29.6</v>
      </c>
      <c r="AB531">
        <v>1193</v>
      </c>
      <c r="AC531">
        <v>37.799999999999997</v>
      </c>
      <c r="AD531">
        <v>1203</v>
      </c>
      <c r="AE531" t="s">
        <v>57</v>
      </c>
      <c r="AF531">
        <v>0</v>
      </c>
      <c r="AG531" t="s">
        <v>2165</v>
      </c>
      <c r="AH531">
        <v>131738</v>
      </c>
      <c r="AI531" t="s">
        <v>888</v>
      </c>
      <c r="AJ531" s="1">
        <v>33268</v>
      </c>
      <c r="AK531">
        <v>25</v>
      </c>
      <c r="AL531" s="2">
        <v>0.06</v>
      </c>
      <c r="AM531" s="3">
        <v>2.8555555555555556</v>
      </c>
      <c r="AN531" t="s">
        <v>2164</v>
      </c>
      <c r="AO531" t="s">
        <v>2166</v>
      </c>
      <c r="AP531" t="b">
        <v>0</v>
      </c>
      <c r="AQ531" t="b">
        <v>0</v>
      </c>
      <c r="AR531" t="b">
        <v>0</v>
      </c>
    </row>
    <row r="532" spans="1:45" x14ac:dyDescent="0.3">
      <c r="A532" t="s">
        <v>1787</v>
      </c>
      <c r="B532" t="s">
        <v>2043</v>
      </c>
      <c r="C532" t="s">
        <v>2167</v>
      </c>
      <c r="D532" t="s">
        <v>1652</v>
      </c>
      <c r="E532" t="s">
        <v>1653</v>
      </c>
      <c r="F532" t="s">
        <v>47</v>
      </c>
      <c r="G532">
        <v>16.899999999999999</v>
      </c>
      <c r="H532">
        <v>36.6</v>
      </c>
      <c r="I532">
        <v>13.6</v>
      </c>
      <c r="J532">
        <v>14.9</v>
      </c>
      <c r="L532">
        <v>1</v>
      </c>
      <c r="M532">
        <v>25.1</v>
      </c>
      <c r="N532">
        <v>22.2</v>
      </c>
      <c r="O532">
        <v>1.2</v>
      </c>
      <c r="P532" t="s">
        <v>1615</v>
      </c>
      <c r="Q532" t="s">
        <v>733</v>
      </c>
      <c r="R532" t="s">
        <v>2167</v>
      </c>
      <c r="S532" t="s">
        <v>735</v>
      </c>
      <c r="T532">
        <v>10190</v>
      </c>
      <c r="U532">
        <v>21.7</v>
      </c>
      <c r="V532">
        <v>1251</v>
      </c>
      <c r="W532">
        <v>15.8</v>
      </c>
      <c r="X532">
        <v>1059</v>
      </c>
      <c r="Y532">
        <v>50.7</v>
      </c>
      <c r="Z532">
        <v>1001</v>
      </c>
      <c r="AA532">
        <v>35.200000000000003</v>
      </c>
      <c r="AB532">
        <v>1089</v>
      </c>
      <c r="AC532">
        <v>29.8</v>
      </c>
      <c r="AD532">
        <v>1497</v>
      </c>
      <c r="AE532" t="s">
        <v>57</v>
      </c>
      <c r="AF532">
        <v>0</v>
      </c>
      <c r="AG532" t="s">
        <v>2168</v>
      </c>
      <c r="AH532">
        <v>624465</v>
      </c>
      <c r="AI532" t="s">
        <v>1653</v>
      </c>
      <c r="AJ532" s="1">
        <v>6237</v>
      </c>
      <c r="AK532">
        <v>13.2</v>
      </c>
      <c r="AL532" s="2">
        <v>0</v>
      </c>
      <c r="AM532">
        <v>0.97083333333333333</v>
      </c>
      <c r="AN532" t="s">
        <v>2169</v>
      </c>
      <c r="AO532" t="s">
        <v>2170</v>
      </c>
      <c r="AP532" t="b">
        <v>0</v>
      </c>
      <c r="AQ532" t="b">
        <v>0</v>
      </c>
      <c r="AR532" t="b">
        <v>0</v>
      </c>
    </row>
    <row r="533" spans="1:45" x14ac:dyDescent="0.3">
      <c r="A533" t="s">
        <v>1787</v>
      </c>
      <c r="B533" t="s">
        <v>2157</v>
      </c>
      <c r="C533" t="s">
        <v>2171</v>
      </c>
      <c r="D533" t="s">
        <v>402</v>
      </c>
      <c r="E533" t="s">
        <v>403</v>
      </c>
      <c r="F533" t="s">
        <v>56</v>
      </c>
      <c r="G533">
        <v>16.399999999999999</v>
      </c>
      <c r="H533">
        <v>12.7</v>
      </c>
      <c r="I533">
        <v>14.5</v>
      </c>
      <c r="J533">
        <v>2.7</v>
      </c>
      <c r="K533">
        <v>98</v>
      </c>
      <c r="L533">
        <v>3.9</v>
      </c>
      <c r="M533">
        <v>59.3</v>
      </c>
      <c r="N533">
        <v>8.6999999999999993</v>
      </c>
      <c r="O533">
        <v>1.5</v>
      </c>
      <c r="P533" t="s">
        <v>1615</v>
      </c>
      <c r="Q533" t="s">
        <v>679</v>
      </c>
      <c r="R533" t="s">
        <v>2171</v>
      </c>
      <c r="S533" t="s">
        <v>680</v>
      </c>
      <c r="T533">
        <v>8990</v>
      </c>
      <c r="U533">
        <v>19.899999999999999</v>
      </c>
      <c r="V533">
        <v>1380</v>
      </c>
      <c r="W533">
        <v>12.2</v>
      </c>
      <c r="X533">
        <v>1388</v>
      </c>
      <c r="Y533">
        <v>68</v>
      </c>
      <c r="Z533">
        <v>602</v>
      </c>
      <c r="AA533">
        <v>31.4</v>
      </c>
      <c r="AB533">
        <v>1152</v>
      </c>
      <c r="AC533">
        <v>75.5</v>
      </c>
      <c r="AD533">
        <v>323</v>
      </c>
      <c r="AE533" t="s">
        <v>57</v>
      </c>
      <c r="AF533">
        <v>0</v>
      </c>
      <c r="AG533" t="s">
        <v>2172</v>
      </c>
      <c r="AH533">
        <v>624018</v>
      </c>
      <c r="AI533" t="s">
        <v>403</v>
      </c>
      <c r="AJ533" s="1">
        <v>29628</v>
      </c>
      <c r="AK533">
        <v>14.5</v>
      </c>
      <c r="AL533" s="2">
        <v>0.02</v>
      </c>
      <c r="AM533" s="3">
        <v>2.5277777777777777</v>
      </c>
      <c r="AN533" t="s">
        <v>2171</v>
      </c>
      <c r="AO533" t="s">
        <v>2173</v>
      </c>
      <c r="AP533" t="b">
        <v>0</v>
      </c>
      <c r="AQ533" t="b">
        <v>0</v>
      </c>
      <c r="AR533" t="b">
        <v>0</v>
      </c>
    </row>
    <row r="534" spans="1:45" x14ac:dyDescent="0.3">
      <c r="A534" t="s">
        <v>1787</v>
      </c>
      <c r="B534" t="s">
        <v>2004</v>
      </c>
      <c r="C534" t="s">
        <v>2174</v>
      </c>
      <c r="D534" t="s">
        <v>1075</v>
      </c>
      <c r="E534" t="s">
        <v>1076</v>
      </c>
      <c r="F534" t="s">
        <v>56</v>
      </c>
      <c r="G534">
        <v>11.7</v>
      </c>
      <c r="H534">
        <v>17.100000000000001</v>
      </c>
      <c r="I534">
        <v>2.7</v>
      </c>
      <c r="J534">
        <v>27</v>
      </c>
      <c r="K534">
        <v>1.4</v>
      </c>
      <c r="L534">
        <v>4.8</v>
      </c>
      <c r="M534">
        <v>60.6</v>
      </c>
      <c r="N534">
        <v>3.7</v>
      </c>
      <c r="O534">
        <v>44.9</v>
      </c>
      <c r="P534" t="s">
        <v>1615</v>
      </c>
      <c r="Q534" t="s">
        <v>679</v>
      </c>
      <c r="R534" t="s">
        <v>2174</v>
      </c>
      <c r="S534" t="s">
        <v>680</v>
      </c>
      <c r="T534">
        <v>9470</v>
      </c>
      <c r="U534">
        <v>19</v>
      </c>
      <c r="V534">
        <v>1468</v>
      </c>
      <c r="W534">
        <v>17.8</v>
      </c>
      <c r="X534">
        <v>930</v>
      </c>
      <c r="Y534">
        <v>56.2</v>
      </c>
      <c r="Z534">
        <v>863</v>
      </c>
      <c r="AA534">
        <v>68.400000000000006</v>
      </c>
      <c r="AB534">
        <v>470</v>
      </c>
      <c r="AC534">
        <v>35.1</v>
      </c>
      <c r="AD534">
        <v>1313</v>
      </c>
      <c r="AE534" t="s">
        <v>57</v>
      </c>
      <c r="AF534">
        <v>0</v>
      </c>
      <c r="AG534" t="s">
        <v>2175</v>
      </c>
      <c r="AH534">
        <v>131718</v>
      </c>
      <c r="AI534" t="s">
        <v>1076</v>
      </c>
      <c r="AJ534" s="1">
        <v>31172</v>
      </c>
      <c r="AK534">
        <v>29.4</v>
      </c>
      <c r="AL534" s="2">
        <v>0.05</v>
      </c>
      <c r="AM534" s="3">
        <v>2.1590277777777778</v>
      </c>
      <c r="AN534" t="s">
        <v>2174</v>
      </c>
      <c r="AO534" t="s">
        <v>2176</v>
      </c>
      <c r="AP534" t="b">
        <v>0</v>
      </c>
      <c r="AQ534" t="b">
        <v>0</v>
      </c>
      <c r="AR534" t="b">
        <v>0</v>
      </c>
    </row>
    <row r="535" spans="1:45" x14ac:dyDescent="0.3">
      <c r="A535" t="s">
        <v>1731</v>
      </c>
      <c r="B535" t="s">
        <v>1641</v>
      </c>
      <c r="C535" t="s">
        <v>2177</v>
      </c>
      <c r="D535" t="s">
        <v>54</v>
      </c>
      <c r="E535" t="s">
        <v>55</v>
      </c>
      <c r="F535" t="s">
        <v>56</v>
      </c>
      <c r="G535">
        <v>5.8</v>
      </c>
      <c r="H535">
        <v>6.4</v>
      </c>
      <c r="I535">
        <v>6.1</v>
      </c>
      <c r="J535">
        <v>16.399999999999999</v>
      </c>
      <c r="K535">
        <v>80.3</v>
      </c>
      <c r="L535">
        <v>47.1</v>
      </c>
      <c r="M535">
        <v>72.599999999999994</v>
      </c>
      <c r="N535">
        <v>4.8</v>
      </c>
      <c r="O535">
        <v>5.3</v>
      </c>
      <c r="P535" t="s">
        <v>1615</v>
      </c>
      <c r="Q535" t="s">
        <v>372</v>
      </c>
      <c r="R535" t="s">
        <v>2177</v>
      </c>
      <c r="S535" t="s">
        <v>374</v>
      </c>
      <c r="T535">
        <v>4080</v>
      </c>
      <c r="U535">
        <v>23.2</v>
      </c>
      <c r="V535">
        <v>1132</v>
      </c>
      <c r="W535">
        <v>21.1</v>
      </c>
      <c r="X535">
        <v>762</v>
      </c>
      <c r="Y535">
        <v>86.7</v>
      </c>
      <c r="Z535">
        <v>178</v>
      </c>
      <c r="AA535">
        <v>38.4</v>
      </c>
      <c r="AB535">
        <v>1013</v>
      </c>
      <c r="AC535">
        <v>89</v>
      </c>
      <c r="AD535">
        <v>137</v>
      </c>
      <c r="AE535" t="s">
        <v>57</v>
      </c>
      <c r="AF535">
        <v>0</v>
      </c>
      <c r="AG535" t="s">
        <v>2178</v>
      </c>
      <c r="AH535">
        <v>131397</v>
      </c>
      <c r="AI535" t="s">
        <v>55</v>
      </c>
      <c r="AJ535" s="1">
        <v>14260</v>
      </c>
      <c r="AK535">
        <v>19.100000000000001</v>
      </c>
      <c r="AL535" s="2">
        <v>0.21</v>
      </c>
      <c r="AM535" s="3">
        <v>2.2409722222222221</v>
      </c>
      <c r="AN535" t="s">
        <v>2177</v>
      </c>
      <c r="AO535" t="s">
        <v>2179</v>
      </c>
      <c r="AP535" t="b">
        <v>0</v>
      </c>
      <c r="AQ535" t="b">
        <v>0</v>
      </c>
      <c r="AR535" t="b">
        <v>0</v>
      </c>
      <c r="AS535" t="s">
        <v>2180</v>
      </c>
    </row>
    <row r="536" spans="1:45" x14ac:dyDescent="0.3">
      <c r="A536" t="s">
        <v>1731</v>
      </c>
      <c r="B536" t="s">
        <v>1676</v>
      </c>
      <c r="C536" t="s">
        <v>2181</v>
      </c>
      <c r="D536" t="s">
        <v>175</v>
      </c>
      <c r="E536" t="s">
        <v>176</v>
      </c>
      <c r="F536" t="s">
        <v>56</v>
      </c>
      <c r="G536">
        <v>16.600000000000001</v>
      </c>
      <c r="H536">
        <v>8.5</v>
      </c>
      <c r="I536">
        <v>66.099999999999994</v>
      </c>
      <c r="J536">
        <v>8.8000000000000007</v>
      </c>
      <c r="K536">
        <v>7.5</v>
      </c>
      <c r="L536">
        <v>4.3</v>
      </c>
      <c r="M536">
        <v>28.9</v>
      </c>
      <c r="N536">
        <v>3.8</v>
      </c>
      <c r="O536">
        <v>8.6999999999999993</v>
      </c>
      <c r="P536" t="s">
        <v>1615</v>
      </c>
      <c r="Q536" t="s">
        <v>679</v>
      </c>
      <c r="R536" t="s">
        <v>2181</v>
      </c>
      <c r="S536" t="s">
        <v>680</v>
      </c>
      <c r="T536">
        <v>8400</v>
      </c>
      <c r="U536">
        <v>33.200000000000003</v>
      </c>
      <c r="V536">
        <v>532</v>
      </c>
      <c r="W536">
        <v>20.9</v>
      </c>
      <c r="X536">
        <v>774</v>
      </c>
      <c r="Y536">
        <v>42</v>
      </c>
      <c r="Z536">
        <v>1181</v>
      </c>
      <c r="AA536">
        <v>68.900000000000006</v>
      </c>
      <c r="AB536">
        <v>456</v>
      </c>
      <c r="AC536">
        <v>33.9</v>
      </c>
      <c r="AD536">
        <v>1358</v>
      </c>
      <c r="AE536" t="s">
        <v>57</v>
      </c>
      <c r="AF536">
        <v>0</v>
      </c>
      <c r="AG536" t="s">
        <v>2182</v>
      </c>
      <c r="AH536">
        <v>937</v>
      </c>
      <c r="AI536" t="s">
        <v>176</v>
      </c>
      <c r="AJ536" s="1">
        <v>13832</v>
      </c>
      <c r="AK536">
        <v>8.9</v>
      </c>
      <c r="AL536" s="2">
        <v>0.06</v>
      </c>
      <c r="AM536" t="s">
        <v>1244</v>
      </c>
      <c r="AN536" t="s">
        <v>2181</v>
      </c>
      <c r="AO536" t="s">
        <v>2183</v>
      </c>
      <c r="AP536" t="b">
        <v>0</v>
      </c>
      <c r="AQ536" t="b">
        <v>0</v>
      </c>
      <c r="AR536" t="b">
        <v>0</v>
      </c>
    </row>
    <row r="537" spans="1:45" x14ac:dyDescent="0.3">
      <c r="A537" t="s">
        <v>1731</v>
      </c>
      <c r="B537" t="s">
        <v>1842</v>
      </c>
      <c r="C537" t="s">
        <v>2184</v>
      </c>
      <c r="D537" t="s">
        <v>45</v>
      </c>
      <c r="E537" t="s">
        <v>46</v>
      </c>
      <c r="F537" t="s">
        <v>56</v>
      </c>
      <c r="G537">
        <v>10.199999999999999</v>
      </c>
      <c r="H537">
        <v>6.8</v>
      </c>
      <c r="I537">
        <v>14.1</v>
      </c>
      <c r="J537">
        <v>13.5</v>
      </c>
      <c r="K537">
        <v>49.8</v>
      </c>
      <c r="L537">
        <v>25.8</v>
      </c>
      <c r="M537">
        <v>45</v>
      </c>
      <c r="N537">
        <v>4.5</v>
      </c>
      <c r="O537">
        <v>57.7</v>
      </c>
      <c r="P537" t="s">
        <v>1615</v>
      </c>
      <c r="Q537" t="s">
        <v>696</v>
      </c>
      <c r="R537" t="s">
        <v>2184</v>
      </c>
      <c r="S537" t="s">
        <v>697</v>
      </c>
      <c r="T537">
        <v>7070</v>
      </c>
      <c r="U537">
        <v>28.8</v>
      </c>
      <c r="V537">
        <v>753</v>
      </c>
      <c r="W537">
        <v>24.6</v>
      </c>
      <c r="X537">
        <v>623</v>
      </c>
      <c r="Y537">
        <v>61.5</v>
      </c>
      <c r="Z537">
        <v>743</v>
      </c>
      <c r="AA537">
        <v>66.8</v>
      </c>
      <c r="AB537">
        <v>508</v>
      </c>
      <c r="AC537">
        <v>50.1</v>
      </c>
      <c r="AD537">
        <v>799</v>
      </c>
      <c r="AE537" t="s">
        <v>208</v>
      </c>
      <c r="AF537">
        <v>0</v>
      </c>
      <c r="AG537" t="s">
        <v>2185</v>
      </c>
      <c r="AH537">
        <v>791</v>
      </c>
      <c r="AI537" t="s">
        <v>46</v>
      </c>
      <c r="AJ537" s="1">
        <v>11668</v>
      </c>
      <c r="AK537">
        <v>17.2</v>
      </c>
      <c r="AL537" s="2">
        <v>0.11</v>
      </c>
      <c r="AM537" s="3">
        <v>1.9541666666666666</v>
      </c>
      <c r="AN537" t="s">
        <v>2184</v>
      </c>
      <c r="AO537" t="s">
        <v>2186</v>
      </c>
      <c r="AP537" t="b">
        <v>0</v>
      </c>
      <c r="AQ537" t="b">
        <v>0</v>
      </c>
      <c r="AR537" t="b">
        <v>0</v>
      </c>
      <c r="AS537" t="s">
        <v>2187</v>
      </c>
    </row>
    <row r="538" spans="1:45" x14ac:dyDescent="0.3">
      <c r="A538" t="s">
        <v>1731</v>
      </c>
      <c r="B538" t="s">
        <v>2043</v>
      </c>
      <c r="C538" t="s">
        <v>2188</v>
      </c>
      <c r="D538" t="s">
        <v>442</v>
      </c>
      <c r="E538" t="s">
        <v>443</v>
      </c>
      <c r="F538" t="s">
        <v>56</v>
      </c>
      <c r="G538">
        <v>9.1</v>
      </c>
      <c r="H538">
        <v>2.7</v>
      </c>
      <c r="I538">
        <v>4.0999999999999996</v>
      </c>
      <c r="J538">
        <v>41.6</v>
      </c>
      <c r="K538">
        <v>4.5</v>
      </c>
      <c r="L538">
        <v>4.2</v>
      </c>
      <c r="M538">
        <v>71</v>
      </c>
      <c r="N538">
        <v>3.1</v>
      </c>
      <c r="O538">
        <v>22.5</v>
      </c>
      <c r="P538" t="s">
        <v>1615</v>
      </c>
      <c r="Q538" t="s">
        <v>372</v>
      </c>
      <c r="R538" t="s">
        <v>2188</v>
      </c>
      <c r="S538" t="s">
        <v>374</v>
      </c>
      <c r="T538">
        <v>4960</v>
      </c>
      <c r="U538">
        <v>29.6</v>
      </c>
      <c r="V538">
        <v>717</v>
      </c>
      <c r="W538">
        <v>26.2</v>
      </c>
      <c r="X538">
        <v>564</v>
      </c>
      <c r="Y538">
        <v>84.1</v>
      </c>
      <c r="Z538">
        <v>235</v>
      </c>
      <c r="AA538">
        <v>67</v>
      </c>
      <c r="AB538">
        <v>500</v>
      </c>
      <c r="AC538">
        <v>46</v>
      </c>
      <c r="AD538">
        <v>932</v>
      </c>
      <c r="AE538" t="s">
        <v>57</v>
      </c>
      <c r="AF538">
        <v>0</v>
      </c>
      <c r="AG538" t="s">
        <v>2189</v>
      </c>
      <c r="AH538">
        <v>131550</v>
      </c>
      <c r="AI538" t="s">
        <v>443</v>
      </c>
      <c r="AJ538" s="1">
        <v>20968</v>
      </c>
      <c r="AK538">
        <v>26</v>
      </c>
      <c r="AL538" s="2">
        <v>0.04</v>
      </c>
      <c r="AM538" s="3">
        <v>2.6916666666666669</v>
      </c>
      <c r="AN538" t="s">
        <v>2188</v>
      </c>
      <c r="AO538" t="s">
        <v>2190</v>
      </c>
      <c r="AP538" t="b">
        <v>0</v>
      </c>
      <c r="AQ538" t="b">
        <v>0</v>
      </c>
      <c r="AR538" t="b">
        <v>0</v>
      </c>
    </row>
    <row r="539" spans="1:45" x14ac:dyDescent="0.3">
      <c r="A539" t="s">
        <v>2018</v>
      </c>
      <c r="B539" t="s">
        <v>2043</v>
      </c>
      <c r="C539" t="s">
        <v>2191</v>
      </c>
      <c r="D539" t="s">
        <v>2192</v>
      </c>
      <c r="E539" t="s">
        <v>2193</v>
      </c>
      <c r="F539" t="s">
        <v>77</v>
      </c>
      <c r="G539">
        <v>15.5</v>
      </c>
      <c r="H539">
        <v>19.5</v>
      </c>
      <c r="I539">
        <v>5.3</v>
      </c>
      <c r="J539">
        <v>4.4000000000000004</v>
      </c>
      <c r="K539">
        <v>7.8</v>
      </c>
      <c r="L539">
        <v>3.8</v>
      </c>
      <c r="M539">
        <v>80.099999999999994</v>
      </c>
      <c r="N539">
        <v>26.7</v>
      </c>
      <c r="O539">
        <v>42.7</v>
      </c>
      <c r="P539" t="s">
        <v>1615</v>
      </c>
      <c r="Q539" t="s">
        <v>733</v>
      </c>
      <c r="R539" t="s">
        <v>2194</v>
      </c>
      <c r="S539" t="s">
        <v>735</v>
      </c>
      <c r="T539">
        <v>10160</v>
      </c>
      <c r="U539">
        <v>23.3</v>
      </c>
      <c r="V539">
        <v>1127</v>
      </c>
      <c r="W539">
        <v>16.8</v>
      </c>
      <c r="X539">
        <v>981</v>
      </c>
      <c r="Y539">
        <v>46</v>
      </c>
      <c r="Z539">
        <v>1094</v>
      </c>
      <c r="AA539">
        <v>35.200000000000003</v>
      </c>
      <c r="AB539">
        <v>1088</v>
      </c>
      <c r="AC539">
        <v>39</v>
      </c>
      <c r="AD539">
        <v>1148</v>
      </c>
      <c r="AE539" t="s">
        <v>57</v>
      </c>
      <c r="AF539">
        <v>0</v>
      </c>
      <c r="AG539" t="s">
        <v>2195</v>
      </c>
      <c r="AH539">
        <v>131789</v>
      </c>
      <c r="AI539" t="s">
        <v>2193</v>
      </c>
      <c r="AJ539" s="1">
        <v>43018</v>
      </c>
      <c r="AK539">
        <v>21.1</v>
      </c>
      <c r="AL539" s="2">
        <v>0.04</v>
      </c>
      <c r="AM539" s="3">
        <v>2.6916666666666669</v>
      </c>
      <c r="AN539" t="s">
        <v>2194</v>
      </c>
      <c r="AO539" t="s">
        <v>2196</v>
      </c>
      <c r="AP539" t="b">
        <v>0</v>
      </c>
      <c r="AQ539" t="b">
        <v>0</v>
      </c>
      <c r="AR539" t="b">
        <v>0</v>
      </c>
    </row>
    <row r="540" spans="1:45" x14ac:dyDescent="0.3">
      <c r="A540" t="s">
        <v>2018</v>
      </c>
      <c r="B540" t="s">
        <v>1928</v>
      </c>
      <c r="C540" t="s">
        <v>2197</v>
      </c>
      <c r="D540" t="s">
        <v>796</v>
      </c>
      <c r="E540" t="s">
        <v>797</v>
      </c>
      <c r="F540" t="s">
        <v>77</v>
      </c>
      <c r="G540">
        <v>25.2</v>
      </c>
      <c r="H540">
        <v>18.600000000000001</v>
      </c>
      <c r="I540">
        <v>6.5</v>
      </c>
      <c r="J540">
        <v>2.5</v>
      </c>
      <c r="K540">
        <v>4.3</v>
      </c>
      <c r="L540">
        <v>1.3</v>
      </c>
      <c r="M540">
        <v>51.9</v>
      </c>
      <c r="N540">
        <v>18.5</v>
      </c>
      <c r="O540">
        <v>33.9</v>
      </c>
      <c r="P540" t="s">
        <v>1615</v>
      </c>
      <c r="Q540" t="s">
        <v>1068</v>
      </c>
      <c r="R540" t="s">
        <v>2197</v>
      </c>
      <c r="S540" t="s">
        <v>1070</v>
      </c>
      <c r="T540">
        <v>16770</v>
      </c>
      <c r="U540">
        <v>18.100000000000001</v>
      </c>
      <c r="V540">
        <v>1543</v>
      </c>
      <c r="W540">
        <v>12.6</v>
      </c>
      <c r="X540">
        <v>1347</v>
      </c>
      <c r="Y540">
        <v>23.5</v>
      </c>
      <c r="Z540">
        <v>1595</v>
      </c>
      <c r="AA540">
        <v>25.7</v>
      </c>
      <c r="AB540">
        <v>1308</v>
      </c>
      <c r="AC540">
        <v>33.799999999999997</v>
      </c>
      <c r="AD540">
        <v>1362</v>
      </c>
      <c r="AE540" t="s">
        <v>57</v>
      </c>
      <c r="AF540">
        <v>0</v>
      </c>
      <c r="AG540" t="s">
        <v>2198</v>
      </c>
      <c r="AH540">
        <v>131364</v>
      </c>
      <c r="AI540" t="s">
        <v>797</v>
      </c>
      <c r="AJ540" s="1">
        <v>70633</v>
      </c>
      <c r="AK540">
        <v>18.7</v>
      </c>
      <c r="AL540" s="2">
        <v>0.01</v>
      </c>
      <c r="AM540" s="3">
        <v>2.6097222222222221</v>
      </c>
      <c r="AN540" t="s">
        <v>2197</v>
      </c>
      <c r="AO540" t="s">
        <v>2199</v>
      </c>
      <c r="AP540" t="b">
        <v>0</v>
      </c>
      <c r="AQ540" t="b">
        <v>0</v>
      </c>
      <c r="AR540" t="b">
        <v>0</v>
      </c>
    </row>
    <row r="541" spans="1:45" x14ac:dyDescent="0.3">
      <c r="A541" t="s">
        <v>2018</v>
      </c>
      <c r="B541" t="s">
        <v>2200</v>
      </c>
      <c r="C541" t="s">
        <v>2201</v>
      </c>
      <c r="D541" t="s">
        <v>402</v>
      </c>
      <c r="E541" t="s">
        <v>403</v>
      </c>
      <c r="F541" t="s">
        <v>77</v>
      </c>
      <c r="G541">
        <v>10.6</v>
      </c>
      <c r="H541">
        <v>5</v>
      </c>
      <c r="I541">
        <v>33.9</v>
      </c>
      <c r="J541">
        <v>1.8</v>
      </c>
      <c r="K541">
        <v>98.3</v>
      </c>
      <c r="L541">
        <v>7.9</v>
      </c>
      <c r="M541">
        <v>68.3</v>
      </c>
      <c r="N541">
        <v>2.4</v>
      </c>
      <c r="O541">
        <v>9.3000000000000007</v>
      </c>
      <c r="P541" t="s">
        <v>1615</v>
      </c>
      <c r="Q541" t="s">
        <v>679</v>
      </c>
      <c r="R541" t="s">
        <v>2201</v>
      </c>
      <c r="S541" t="s">
        <v>680</v>
      </c>
      <c r="T541">
        <v>9530</v>
      </c>
      <c r="U541">
        <v>36</v>
      </c>
      <c r="V541">
        <v>428</v>
      </c>
      <c r="W541">
        <v>20.399999999999999</v>
      </c>
      <c r="X541">
        <v>794</v>
      </c>
      <c r="Y541">
        <v>42.8</v>
      </c>
      <c r="Z541">
        <v>1171</v>
      </c>
      <c r="AA541">
        <v>21.6</v>
      </c>
      <c r="AB541">
        <v>1459</v>
      </c>
      <c r="AC541">
        <v>80.2</v>
      </c>
      <c r="AD541">
        <v>254</v>
      </c>
      <c r="AE541" t="s">
        <v>57</v>
      </c>
      <c r="AF541">
        <v>11</v>
      </c>
      <c r="AG541" t="s">
        <v>2202</v>
      </c>
      <c r="AH541">
        <v>625134</v>
      </c>
      <c r="AI541" t="s">
        <v>403</v>
      </c>
      <c r="AJ541" s="1">
        <v>37222</v>
      </c>
      <c r="AK541">
        <v>10.199999999999999</v>
      </c>
      <c r="AL541" s="2">
        <v>7.0000000000000007E-2</v>
      </c>
      <c r="AM541" s="3">
        <v>2.6097222222222221</v>
      </c>
      <c r="AN541" t="s">
        <v>2201</v>
      </c>
      <c r="AO541" t="s">
        <v>2203</v>
      </c>
      <c r="AP541" t="b">
        <v>0</v>
      </c>
      <c r="AQ541" t="b">
        <v>0</v>
      </c>
      <c r="AR541" t="b">
        <v>0</v>
      </c>
    </row>
    <row r="542" spans="1:45" x14ac:dyDescent="0.3">
      <c r="A542" t="s">
        <v>2018</v>
      </c>
      <c r="B542" t="s">
        <v>2043</v>
      </c>
      <c r="C542" t="s">
        <v>2204</v>
      </c>
      <c r="D542" t="s">
        <v>45</v>
      </c>
      <c r="E542" t="s">
        <v>46</v>
      </c>
      <c r="F542" t="s">
        <v>77</v>
      </c>
      <c r="G542">
        <v>10.9</v>
      </c>
      <c r="H542">
        <v>10.6</v>
      </c>
      <c r="I542">
        <v>6.2</v>
      </c>
      <c r="J542">
        <v>11.3</v>
      </c>
      <c r="K542">
        <v>36.6</v>
      </c>
      <c r="L542">
        <v>9.6</v>
      </c>
      <c r="M542">
        <v>70.5</v>
      </c>
      <c r="N542">
        <v>13.7</v>
      </c>
      <c r="O542">
        <v>55.4</v>
      </c>
      <c r="P542" t="s">
        <v>1615</v>
      </c>
      <c r="Q542" t="s">
        <v>696</v>
      </c>
      <c r="R542" t="s">
        <v>2204</v>
      </c>
      <c r="S542" t="s">
        <v>697</v>
      </c>
      <c r="T542">
        <v>7790</v>
      </c>
      <c r="U542">
        <v>30.7</v>
      </c>
      <c r="V542">
        <v>656</v>
      </c>
      <c r="W542">
        <v>20.9</v>
      </c>
      <c r="X542">
        <v>778</v>
      </c>
      <c r="Y542">
        <v>56.9</v>
      </c>
      <c r="Z542">
        <v>849</v>
      </c>
      <c r="AA542">
        <v>58</v>
      </c>
      <c r="AB542">
        <v>681</v>
      </c>
      <c r="AC542">
        <v>58.9</v>
      </c>
      <c r="AD542">
        <v>609</v>
      </c>
      <c r="AE542" t="s">
        <v>208</v>
      </c>
      <c r="AF542">
        <v>0</v>
      </c>
      <c r="AG542" t="s">
        <v>2205</v>
      </c>
      <c r="AH542">
        <v>131276</v>
      </c>
      <c r="AI542" t="s">
        <v>46</v>
      </c>
      <c r="AJ542" s="1">
        <v>37331</v>
      </c>
      <c r="AK542">
        <v>21.1</v>
      </c>
      <c r="AL542" s="2">
        <v>0.06</v>
      </c>
      <c r="AM542" s="3">
        <v>2.1180555555555554</v>
      </c>
      <c r="AN542" t="s">
        <v>2204</v>
      </c>
      <c r="AO542" t="s">
        <v>2206</v>
      </c>
      <c r="AP542" t="b">
        <v>0</v>
      </c>
      <c r="AQ542" t="b">
        <v>0</v>
      </c>
      <c r="AR542" t="b">
        <v>0</v>
      </c>
      <c r="AS542" t="s">
        <v>2207</v>
      </c>
    </row>
    <row r="543" spans="1:45" x14ac:dyDescent="0.3">
      <c r="A543" t="s">
        <v>2018</v>
      </c>
      <c r="B543" t="s">
        <v>1608</v>
      </c>
      <c r="C543" t="s">
        <v>2208</v>
      </c>
      <c r="D543" t="s">
        <v>45</v>
      </c>
      <c r="E543" t="s">
        <v>46</v>
      </c>
      <c r="F543" t="s">
        <v>47</v>
      </c>
      <c r="G543">
        <v>15.2</v>
      </c>
      <c r="H543">
        <v>8.1999999999999993</v>
      </c>
      <c r="I543">
        <v>41.1</v>
      </c>
      <c r="J543">
        <v>2.6</v>
      </c>
      <c r="K543">
        <v>5.7</v>
      </c>
      <c r="L543">
        <v>92.3</v>
      </c>
      <c r="M543">
        <v>19.600000000000001</v>
      </c>
      <c r="N543">
        <v>13.5</v>
      </c>
      <c r="O543">
        <v>1</v>
      </c>
      <c r="P543" t="s">
        <v>1615</v>
      </c>
      <c r="Q543" t="s">
        <v>679</v>
      </c>
      <c r="R543" t="s">
        <v>2208</v>
      </c>
      <c r="S543" t="s">
        <v>680</v>
      </c>
      <c r="T543">
        <v>9340</v>
      </c>
      <c r="U543">
        <v>29.8</v>
      </c>
      <c r="V543">
        <v>699</v>
      </c>
      <c r="W543">
        <v>15.5</v>
      </c>
      <c r="X543">
        <v>1083</v>
      </c>
      <c r="Y543">
        <v>45.8</v>
      </c>
      <c r="Z543">
        <v>1102</v>
      </c>
      <c r="AA543">
        <v>27.2</v>
      </c>
      <c r="AB543">
        <v>1257</v>
      </c>
      <c r="AC543">
        <v>61.1</v>
      </c>
      <c r="AD543">
        <v>560</v>
      </c>
      <c r="AE543" t="s">
        <v>49</v>
      </c>
      <c r="AF543">
        <v>0</v>
      </c>
      <c r="AG543" t="s">
        <v>2209</v>
      </c>
      <c r="AH543">
        <v>131659</v>
      </c>
      <c r="AI543" t="s">
        <v>46</v>
      </c>
      <c r="AJ543" s="1">
        <v>8644</v>
      </c>
      <c r="AK543">
        <v>9.3000000000000007</v>
      </c>
      <c r="AL543" s="2">
        <v>0.34</v>
      </c>
      <c r="AM543" s="3">
        <v>3.0604166666666668</v>
      </c>
      <c r="AN543" t="s">
        <v>2208</v>
      </c>
      <c r="AO543" t="s">
        <v>2210</v>
      </c>
      <c r="AP543" t="b">
        <v>0</v>
      </c>
      <c r="AQ543" t="b">
        <v>0</v>
      </c>
      <c r="AR543" t="b">
        <v>0</v>
      </c>
      <c r="AS543" t="s">
        <v>2211</v>
      </c>
    </row>
    <row r="544" spans="1:45" x14ac:dyDescent="0.3">
      <c r="A544" t="s">
        <v>2018</v>
      </c>
      <c r="B544" t="s">
        <v>2043</v>
      </c>
      <c r="C544" t="s">
        <v>2212</v>
      </c>
      <c r="D544" t="s">
        <v>1999</v>
      </c>
      <c r="E544" t="s">
        <v>2000</v>
      </c>
      <c r="F544" t="s">
        <v>77</v>
      </c>
      <c r="G544">
        <v>19.3</v>
      </c>
      <c r="H544">
        <v>4.8</v>
      </c>
      <c r="I544">
        <v>19.2</v>
      </c>
      <c r="J544">
        <v>8.5</v>
      </c>
      <c r="K544">
        <v>4.0999999999999996</v>
      </c>
      <c r="L544">
        <v>2.2000000000000002</v>
      </c>
      <c r="M544">
        <v>62.1</v>
      </c>
      <c r="N544">
        <v>17.3</v>
      </c>
      <c r="O544">
        <v>52.1</v>
      </c>
      <c r="P544" t="s">
        <v>1615</v>
      </c>
      <c r="Q544" t="s">
        <v>679</v>
      </c>
      <c r="R544" t="s">
        <v>2213</v>
      </c>
      <c r="S544" t="s">
        <v>680</v>
      </c>
      <c r="T544">
        <v>8580</v>
      </c>
      <c r="U544">
        <v>32.5</v>
      </c>
      <c r="V544">
        <v>569</v>
      </c>
      <c r="W544">
        <v>21.6</v>
      </c>
      <c r="X544">
        <v>746</v>
      </c>
      <c r="Y544">
        <v>41.6</v>
      </c>
      <c r="Z544">
        <v>1191</v>
      </c>
      <c r="AA544">
        <v>64.2</v>
      </c>
      <c r="AB544">
        <v>562</v>
      </c>
      <c r="AC544">
        <v>35.299999999999997</v>
      </c>
      <c r="AD544">
        <v>1307</v>
      </c>
      <c r="AE544" t="s">
        <v>57</v>
      </c>
      <c r="AF544">
        <v>0</v>
      </c>
      <c r="AG544" t="s">
        <v>2214</v>
      </c>
      <c r="AH544">
        <v>131416</v>
      </c>
      <c r="AI544" t="s">
        <v>2000</v>
      </c>
      <c r="AJ544" s="1">
        <v>42576</v>
      </c>
      <c r="AK544">
        <v>17.7</v>
      </c>
      <c r="AL544" s="2">
        <v>0.02</v>
      </c>
      <c r="AM544" s="3">
        <v>2.0770833333333334</v>
      </c>
      <c r="AN544" t="s">
        <v>2213</v>
      </c>
      <c r="AO544" t="s">
        <v>2215</v>
      </c>
      <c r="AP544" t="b">
        <v>0</v>
      </c>
      <c r="AQ544" t="b">
        <v>0</v>
      </c>
      <c r="AR544" t="b">
        <v>0</v>
      </c>
    </row>
    <row r="545" spans="1:45" x14ac:dyDescent="0.3">
      <c r="A545" t="s">
        <v>2018</v>
      </c>
      <c r="B545" t="s">
        <v>2043</v>
      </c>
      <c r="C545" t="s">
        <v>2216</v>
      </c>
      <c r="D545" t="s">
        <v>2092</v>
      </c>
      <c r="E545" t="s">
        <v>2093</v>
      </c>
      <c r="F545" t="s">
        <v>56</v>
      </c>
      <c r="G545">
        <v>11.5</v>
      </c>
      <c r="H545">
        <v>16.7</v>
      </c>
      <c r="I545">
        <v>5.9</v>
      </c>
      <c r="J545">
        <v>5.3</v>
      </c>
      <c r="K545">
        <v>12.1</v>
      </c>
      <c r="L545">
        <v>5.0999999999999996</v>
      </c>
      <c r="M545">
        <v>71.5</v>
      </c>
      <c r="N545">
        <v>90.4</v>
      </c>
      <c r="O545">
        <v>9.8000000000000007</v>
      </c>
      <c r="P545" t="s">
        <v>1615</v>
      </c>
      <c r="Q545" t="s">
        <v>733</v>
      </c>
      <c r="R545" t="s">
        <v>2216</v>
      </c>
      <c r="S545" t="s">
        <v>735</v>
      </c>
      <c r="T545">
        <v>11010</v>
      </c>
      <c r="U545">
        <v>18.600000000000001</v>
      </c>
      <c r="V545">
        <v>1493</v>
      </c>
      <c r="W545">
        <v>27.1</v>
      </c>
      <c r="X545">
        <v>538</v>
      </c>
      <c r="Y545">
        <v>40.299999999999997</v>
      </c>
      <c r="Z545">
        <v>1217</v>
      </c>
      <c r="AA545">
        <v>42.5</v>
      </c>
      <c r="AB545">
        <v>930</v>
      </c>
      <c r="AC545">
        <v>47.6</v>
      </c>
      <c r="AD545">
        <v>874</v>
      </c>
      <c r="AE545" t="s">
        <v>57</v>
      </c>
      <c r="AF545">
        <v>0</v>
      </c>
      <c r="AG545" t="s">
        <v>2217</v>
      </c>
      <c r="AH545">
        <v>131474</v>
      </c>
      <c r="AI545" t="s">
        <v>2093</v>
      </c>
      <c r="AJ545" s="1">
        <v>12125</v>
      </c>
      <c r="AK545">
        <v>30.2</v>
      </c>
      <c r="AL545" s="2">
        <v>7.0000000000000007E-2</v>
      </c>
      <c r="AM545" s="3">
        <v>2.8965277777777776</v>
      </c>
      <c r="AN545" t="s">
        <v>2216</v>
      </c>
      <c r="AO545" t="s">
        <v>2218</v>
      </c>
      <c r="AP545" t="b">
        <v>0</v>
      </c>
      <c r="AQ545" t="b">
        <v>0</v>
      </c>
      <c r="AR545" t="b">
        <v>0</v>
      </c>
    </row>
    <row r="546" spans="1:45" x14ac:dyDescent="0.3">
      <c r="A546" t="s">
        <v>2018</v>
      </c>
      <c r="B546" t="s">
        <v>1650</v>
      </c>
      <c r="C546" t="s">
        <v>2219</v>
      </c>
      <c r="D546" t="s">
        <v>273</v>
      </c>
      <c r="E546" t="s">
        <v>274</v>
      </c>
      <c r="F546" t="s">
        <v>47</v>
      </c>
      <c r="G546">
        <v>7.1</v>
      </c>
      <c r="H546">
        <v>7</v>
      </c>
      <c r="I546">
        <v>3.4</v>
      </c>
      <c r="J546">
        <v>37.299999999999997</v>
      </c>
      <c r="K546">
        <v>35</v>
      </c>
      <c r="L546">
        <v>33.700000000000003</v>
      </c>
      <c r="M546">
        <v>43.7</v>
      </c>
      <c r="N546">
        <v>6.1</v>
      </c>
      <c r="O546">
        <v>1.6</v>
      </c>
      <c r="P546" t="s">
        <v>1615</v>
      </c>
      <c r="Q546" t="s">
        <v>572</v>
      </c>
      <c r="R546" t="s">
        <v>2220</v>
      </c>
      <c r="S546" t="s">
        <v>574</v>
      </c>
      <c r="T546">
        <v>5620</v>
      </c>
      <c r="U546">
        <v>24.8</v>
      </c>
      <c r="V546">
        <v>1018</v>
      </c>
      <c r="W546">
        <v>32.5</v>
      </c>
      <c r="X546">
        <v>409</v>
      </c>
      <c r="Y546">
        <v>63.9</v>
      </c>
      <c r="Z546">
        <v>693</v>
      </c>
      <c r="AA546">
        <v>64</v>
      </c>
      <c r="AB546">
        <v>568</v>
      </c>
      <c r="AC546">
        <v>71.5</v>
      </c>
      <c r="AD546">
        <v>384</v>
      </c>
      <c r="AE546" t="s">
        <v>57</v>
      </c>
      <c r="AF546">
        <v>0</v>
      </c>
      <c r="AG546" t="s">
        <v>2221</v>
      </c>
      <c r="AH546">
        <v>624318</v>
      </c>
      <c r="AI546" t="s">
        <v>274</v>
      </c>
      <c r="AJ546" s="1">
        <v>8132</v>
      </c>
      <c r="AK546">
        <v>28.1</v>
      </c>
      <c r="AL546" s="2">
        <v>0.18</v>
      </c>
      <c r="AM546" s="3">
        <v>2.3638888888888889</v>
      </c>
      <c r="AN546" t="s">
        <v>2220</v>
      </c>
      <c r="AO546" t="s">
        <v>2222</v>
      </c>
      <c r="AP546" t="b">
        <v>0</v>
      </c>
      <c r="AQ546" t="b">
        <v>0</v>
      </c>
      <c r="AR546" t="b">
        <v>0</v>
      </c>
    </row>
    <row r="547" spans="1:45" x14ac:dyDescent="0.3">
      <c r="A547" t="s">
        <v>2004</v>
      </c>
      <c r="B547" t="s">
        <v>1641</v>
      </c>
      <c r="C547" t="s">
        <v>2223</v>
      </c>
      <c r="D547" t="s">
        <v>402</v>
      </c>
      <c r="E547" t="s">
        <v>403</v>
      </c>
      <c r="F547" t="s">
        <v>388</v>
      </c>
      <c r="G547">
        <v>4.8</v>
      </c>
      <c r="H547">
        <v>3</v>
      </c>
      <c r="I547">
        <v>21.6</v>
      </c>
      <c r="J547">
        <v>10.6</v>
      </c>
      <c r="K547">
        <v>100</v>
      </c>
      <c r="L547">
        <v>89</v>
      </c>
      <c r="M547">
        <v>19.100000000000001</v>
      </c>
      <c r="N547">
        <v>4.4000000000000004</v>
      </c>
      <c r="O547">
        <v>1.1000000000000001</v>
      </c>
      <c r="P547" t="s">
        <v>1615</v>
      </c>
      <c r="Q547" t="s">
        <v>572</v>
      </c>
      <c r="R547" t="s">
        <v>2223</v>
      </c>
      <c r="S547" t="s">
        <v>574</v>
      </c>
      <c r="T547">
        <v>5070</v>
      </c>
      <c r="U547">
        <v>24.1</v>
      </c>
      <c r="V547">
        <v>1072</v>
      </c>
      <c r="W547">
        <v>15.2</v>
      </c>
      <c r="X547">
        <v>1102</v>
      </c>
      <c r="Y547">
        <v>72.7</v>
      </c>
      <c r="Z547">
        <v>488</v>
      </c>
      <c r="AA547">
        <v>42.1</v>
      </c>
      <c r="AB547">
        <v>934</v>
      </c>
      <c r="AC547">
        <v>97.7</v>
      </c>
      <c r="AD547">
        <v>11</v>
      </c>
      <c r="AE547" t="s">
        <v>57</v>
      </c>
      <c r="AF547">
        <v>11</v>
      </c>
      <c r="AG547" t="s">
        <v>2224</v>
      </c>
      <c r="AH547">
        <v>131490</v>
      </c>
      <c r="AI547" t="s">
        <v>403</v>
      </c>
      <c r="AJ547" s="1">
        <v>3274</v>
      </c>
      <c r="AK547">
        <v>10.8</v>
      </c>
      <c r="AL547" s="2">
        <v>0.32</v>
      </c>
      <c r="AM547" s="3">
        <v>2.3638888888888889</v>
      </c>
      <c r="AN547" t="s">
        <v>2223</v>
      </c>
      <c r="AO547" t="s">
        <v>2225</v>
      </c>
      <c r="AP547" t="b">
        <v>0</v>
      </c>
      <c r="AQ547" t="b">
        <v>0</v>
      </c>
      <c r="AR547" t="b">
        <v>0</v>
      </c>
    </row>
    <row r="548" spans="1:45" x14ac:dyDescent="0.3">
      <c r="A548" t="s">
        <v>2004</v>
      </c>
      <c r="B548" t="s">
        <v>2043</v>
      </c>
      <c r="C548" t="s">
        <v>2226</v>
      </c>
      <c r="D548" t="s">
        <v>2227</v>
      </c>
      <c r="E548" t="s">
        <v>2228</v>
      </c>
      <c r="F548" t="s">
        <v>56</v>
      </c>
      <c r="G548">
        <v>10.4</v>
      </c>
      <c r="H548">
        <v>1.2</v>
      </c>
      <c r="I548">
        <v>73.900000000000006</v>
      </c>
      <c r="J548">
        <v>1.2</v>
      </c>
      <c r="K548">
        <v>1.9</v>
      </c>
      <c r="L548">
        <v>3.2</v>
      </c>
      <c r="M548">
        <v>22.7</v>
      </c>
      <c r="N548">
        <v>88.4</v>
      </c>
      <c r="O548">
        <v>1</v>
      </c>
      <c r="P548" t="s">
        <v>1615</v>
      </c>
      <c r="Q548" t="s">
        <v>1068</v>
      </c>
      <c r="R548" t="s">
        <v>2226</v>
      </c>
      <c r="S548" t="s">
        <v>1070</v>
      </c>
      <c r="T548">
        <v>16610</v>
      </c>
      <c r="U548">
        <v>15.9</v>
      </c>
      <c r="V548">
        <v>1704</v>
      </c>
      <c r="W548">
        <v>11.3</v>
      </c>
      <c r="X548">
        <v>1487</v>
      </c>
      <c r="Y548">
        <v>22.2</v>
      </c>
      <c r="Z548">
        <v>1633</v>
      </c>
      <c r="AA548">
        <v>18</v>
      </c>
      <c r="AB548">
        <v>1667</v>
      </c>
      <c r="AC548">
        <v>46.7</v>
      </c>
      <c r="AD548">
        <v>903</v>
      </c>
      <c r="AE548" t="s">
        <v>57</v>
      </c>
      <c r="AF548">
        <v>0</v>
      </c>
      <c r="AG548" t="s">
        <v>2229</v>
      </c>
      <c r="AH548">
        <v>131568</v>
      </c>
      <c r="AI548" t="s">
        <v>2228</v>
      </c>
      <c r="AJ548" s="1">
        <v>23278</v>
      </c>
      <c r="AK548">
        <v>30.6</v>
      </c>
      <c r="AL548" s="2">
        <v>0.03</v>
      </c>
      <c r="AM548" s="3">
        <v>2.5687500000000001</v>
      </c>
      <c r="AN548" t="s">
        <v>2226</v>
      </c>
      <c r="AO548" t="s">
        <v>2230</v>
      </c>
      <c r="AP548" t="b">
        <v>0</v>
      </c>
      <c r="AQ548" t="b">
        <v>0</v>
      </c>
      <c r="AR548" t="b">
        <v>0</v>
      </c>
    </row>
    <row r="549" spans="1:45" x14ac:dyDescent="0.3">
      <c r="A549" t="s">
        <v>2004</v>
      </c>
      <c r="B549" t="s">
        <v>2018</v>
      </c>
      <c r="C549" t="s">
        <v>2231</v>
      </c>
      <c r="D549" t="s">
        <v>54</v>
      </c>
      <c r="E549" t="s">
        <v>55</v>
      </c>
      <c r="F549" t="s">
        <v>47</v>
      </c>
      <c r="G549">
        <v>6</v>
      </c>
      <c r="H549">
        <v>4.4000000000000004</v>
      </c>
      <c r="I549">
        <v>14.4</v>
      </c>
      <c r="J549">
        <v>26.2</v>
      </c>
      <c r="K549">
        <v>51.6</v>
      </c>
      <c r="L549">
        <v>30.7</v>
      </c>
      <c r="M549">
        <v>62.9</v>
      </c>
      <c r="N549">
        <v>6.9</v>
      </c>
      <c r="O549">
        <v>3.1</v>
      </c>
      <c r="P549" t="s">
        <v>1615</v>
      </c>
      <c r="Q549" t="s">
        <v>572</v>
      </c>
      <c r="R549" t="s">
        <v>2232</v>
      </c>
      <c r="S549" t="s">
        <v>574</v>
      </c>
      <c r="T549">
        <v>5470</v>
      </c>
      <c r="U549">
        <v>21.5</v>
      </c>
      <c r="V549">
        <v>1265</v>
      </c>
      <c r="W549">
        <v>24.6</v>
      </c>
      <c r="X549">
        <v>622</v>
      </c>
      <c r="Y549">
        <v>73.3</v>
      </c>
      <c r="Z549">
        <v>474</v>
      </c>
      <c r="AA549">
        <v>66.099999999999994</v>
      </c>
      <c r="AB549">
        <v>523</v>
      </c>
      <c r="AC549">
        <v>81.3</v>
      </c>
      <c r="AD549">
        <v>235</v>
      </c>
      <c r="AE549" t="s">
        <v>57</v>
      </c>
      <c r="AF549">
        <v>0</v>
      </c>
      <c r="AG549" t="s">
        <v>2233</v>
      </c>
      <c r="AH549">
        <v>784</v>
      </c>
      <c r="AI549" t="s">
        <v>55</v>
      </c>
      <c r="AJ549" s="1">
        <v>9610</v>
      </c>
      <c r="AK549">
        <v>15.8</v>
      </c>
      <c r="AL549" s="2">
        <v>0.15</v>
      </c>
      <c r="AM549" s="3">
        <v>2.5277777777777777</v>
      </c>
      <c r="AN549" t="s">
        <v>2232</v>
      </c>
      <c r="AO549" t="s">
        <v>2234</v>
      </c>
      <c r="AP549" t="b">
        <v>0</v>
      </c>
      <c r="AQ549" t="b">
        <v>0</v>
      </c>
      <c r="AR549" t="b">
        <v>0</v>
      </c>
      <c r="AS549" t="s">
        <v>2235</v>
      </c>
    </row>
    <row r="550" spans="1:45" x14ac:dyDescent="0.3">
      <c r="A550" t="s">
        <v>2004</v>
      </c>
      <c r="B550" t="s">
        <v>1608</v>
      </c>
      <c r="C550" t="s">
        <v>2236</v>
      </c>
      <c r="D550" t="s">
        <v>45</v>
      </c>
      <c r="E550" t="s">
        <v>46</v>
      </c>
      <c r="F550" t="s">
        <v>47</v>
      </c>
      <c r="G550">
        <v>4.8</v>
      </c>
      <c r="H550">
        <v>6.7</v>
      </c>
      <c r="I550">
        <v>10.199999999999999</v>
      </c>
      <c r="J550">
        <v>30.4</v>
      </c>
      <c r="K550">
        <v>31.5</v>
      </c>
      <c r="L550">
        <v>52.9</v>
      </c>
      <c r="M550">
        <v>29.1</v>
      </c>
      <c r="N550">
        <v>5.0999999999999996</v>
      </c>
      <c r="O550">
        <v>26.5</v>
      </c>
      <c r="P550" t="s">
        <v>1615</v>
      </c>
      <c r="Q550" t="s">
        <v>372</v>
      </c>
      <c r="R550" t="s">
        <v>2237</v>
      </c>
      <c r="S550" t="s">
        <v>374</v>
      </c>
      <c r="T550">
        <v>4640</v>
      </c>
      <c r="U550">
        <v>27.4</v>
      </c>
      <c r="V550">
        <v>854</v>
      </c>
      <c r="W550">
        <v>23.5</v>
      </c>
      <c r="X550">
        <v>669</v>
      </c>
      <c r="Y550">
        <v>69.2</v>
      </c>
      <c r="Z550">
        <v>576</v>
      </c>
      <c r="AA550">
        <v>69.8</v>
      </c>
      <c r="AB550">
        <v>437</v>
      </c>
      <c r="AC550">
        <v>93.6</v>
      </c>
      <c r="AD550">
        <v>70</v>
      </c>
      <c r="AE550" t="s">
        <v>208</v>
      </c>
      <c r="AF550">
        <v>0</v>
      </c>
      <c r="AG550" t="s">
        <v>2238</v>
      </c>
      <c r="AH550">
        <v>845</v>
      </c>
      <c r="AI550" t="s">
        <v>46</v>
      </c>
      <c r="AJ550" s="1">
        <v>9981</v>
      </c>
      <c r="AK550">
        <v>14.5</v>
      </c>
      <c r="AL550" s="2">
        <v>0.24</v>
      </c>
      <c r="AM550" t="s">
        <v>761</v>
      </c>
      <c r="AN550" t="s">
        <v>2237</v>
      </c>
      <c r="AO550" t="s">
        <v>2239</v>
      </c>
      <c r="AP550" t="b">
        <v>0</v>
      </c>
      <c r="AQ550" t="b">
        <v>0</v>
      </c>
      <c r="AR550" t="b">
        <v>0</v>
      </c>
      <c r="AS550" t="s">
        <v>2240</v>
      </c>
    </row>
    <row r="551" spans="1:45" x14ac:dyDescent="0.3">
      <c r="A551" t="s">
        <v>2004</v>
      </c>
      <c r="B551" t="s">
        <v>1731</v>
      </c>
      <c r="C551" t="s">
        <v>2241</v>
      </c>
      <c r="D551" t="s">
        <v>378</v>
      </c>
      <c r="E551" t="s">
        <v>379</v>
      </c>
      <c r="F551" t="s">
        <v>56</v>
      </c>
      <c r="G551">
        <v>5.3</v>
      </c>
      <c r="H551">
        <v>5</v>
      </c>
      <c r="I551">
        <v>57.4</v>
      </c>
      <c r="J551">
        <v>4.3</v>
      </c>
      <c r="K551">
        <v>9</v>
      </c>
      <c r="L551">
        <v>63</v>
      </c>
      <c r="M551">
        <v>83.6</v>
      </c>
      <c r="N551">
        <v>1.9</v>
      </c>
      <c r="O551">
        <v>1</v>
      </c>
      <c r="P551" t="s">
        <v>1615</v>
      </c>
      <c r="Q551" t="s">
        <v>679</v>
      </c>
      <c r="R551" t="s">
        <v>2241</v>
      </c>
      <c r="S551" t="s">
        <v>680</v>
      </c>
      <c r="T551">
        <v>9650</v>
      </c>
      <c r="U551">
        <v>32.6</v>
      </c>
      <c r="V551">
        <v>568</v>
      </c>
      <c r="W551">
        <v>17.100000000000001</v>
      </c>
      <c r="X551">
        <v>966</v>
      </c>
      <c r="Y551">
        <v>47.7</v>
      </c>
      <c r="Z551">
        <v>1067</v>
      </c>
      <c r="AA551">
        <v>39.4</v>
      </c>
      <c r="AB551">
        <v>996</v>
      </c>
      <c r="AC551">
        <v>62.1</v>
      </c>
      <c r="AD551">
        <v>540</v>
      </c>
      <c r="AE551" t="s">
        <v>57</v>
      </c>
      <c r="AF551">
        <v>0</v>
      </c>
      <c r="AG551" t="s">
        <v>2242</v>
      </c>
      <c r="AH551">
        <v>131316</v>
      </c>
      <c r="AI551" t="s">
        <v>381</v>
      </c>
      <c r="AJ551" s="1">
        <v>15885</v>
      </c>
      <c r="AK551">
        <v>8.1</v>
      </c>
      <c r="AL551" s="2">
        <v>0.26</v>
      </c>
      <c r="AM551" s="3">
        <v>2.8965277777777776</v>
      </c>
      <c r="AN551" t="s">
        <v>2241</v>
      </c>
      <c r="AO551" t="s">
        <v>2243</v>
      </c>
      <c r="AP551" t="b">
        <v>0</v>
      </c>
      <c r="AQ551" t="b">
        <v>0</v>
      </c>
      <c r="AR551" t="b">
        <v>1</v>
      </c>
    </row>
    <row r="552" spans="1:45" x14ac:dyDescent="0.3">
      <c r="A552" t="s">
        <v>2004</v>
      </c>
      <c r="B552" t="s">
        <v>1613</v>
      </c>
      <c r="C552" t="s">
        <v>2244</v>
      </c>
      <c r="D552" t="s">
        <v>45</v>
      </c>
      <c r="E552" t="s">
        <v>46</v>
      </c>
      <c r="F552" t="s">
        <v>56</v>
      </c>
      <c r="G552">
        <v>11.1</v>
      </c>
      <c r="H552">
        <v>9.8000000000000007</v>
      </c>
      <c r="I552">
        <v>15.3</v>
      </c>
      <c r="J552">
        <v>23.5</v>
      </c>
      <c r="K552">
        <v>12.9</v>
      </c>
      <c r="L552">
        <v>3.3</v>
      </c>
      <c r="M552">
        <v>75.400000000000006</v>
      </c>
      <c r="N552">
        <v>13.9</v>
      </c>
      <c r="O552">
        <v>10.1</v>
      </c>
      <c r="P552" t="s">
        <v>1615</v>
      </c>
      <c r="Q552" t="s">
        <v>372</v>
      </c>
      <c r="R552" t="s">
        <v>2244</v>
      </c>
      <c r="S552" t="s">
        <v>374</v>
      </c>
      <c r="T552">
        <v>4480</v>
      </c>
      <c r="U552">
        <v>41.3</v>
      </c>
      <c r="V552">
        <v>272</v>
      </c>
      <c r="W552">
        <v>30.8</v>
      </c>
      <c r="X552">
        <v>448</v>
      </c>
      <c r="Y552">
        <v>71.8</v>
      </c>
      <c r="Z552">
        <v>515</v>
      </c>
      <c r="AA552">
        <v>70.900000000000006</v>
      </c>
      <c r="AB552">
        <v>410</v>
      </c>
      <c r="AC552">
        <v>46.8</v>
      </c>
      <c r="AD552">
        <v>897</v>
      </c>
      <c r="AE552" t="s">
        <v>208</v>
      </c>
      <c r="AF552">
        <v>0</v>
      </c>
      <c r="AG552" t="s">
        <v>2245</v>
      </c>
      <c r="AH552">
        <v>752</v>
      </c>
      <c r="AI552" t="s">
        <v>46</v>
      </c>
      <c r="AJ552" s="1">
        <v>27540</v>
      </c>
      <c r="AK552">
        <v>11.3</v>
      </c>
      <c r="AL552" s="2">
        <v>0.03</v>
      </c>
      <c r="AM552" s="3">
        <v>2.4458333333333333</v>
      </c>
      <c r="AN552" t="s">
        <v>2244</v>
      </c>
      <c r="AO552" t="s">
        <v>2246</v>
      </c>
      <c r="AP552" t="b">
        <v>0</v>
      </c>
      <c r="AQ552" t="b">
        <v>0</v>
      </c>
      <c r="AR552" t="b">
        <v>0</v>
      </c>
      <c r="AS552" t="s">
        <v>2247</v>
      </c>
    </row>
    <row r="553" spans="1:45" x14ac:dyDescent="0.3">
      <c r="A553" t="s">
        <v>2004</v>
      </c>
      <c r="B553" t="s">
        <v>1928</v>
      </c>
      <c r="C553" t="s">
        <v>2248</v>
      </c>
      <c r="D553" t="s">
        <v>45</v>
      </c>
      <c r="E553" t="s">
        <v>46</v>
      </c>
      <c r="F553" t="s">
        <v>56</v>
      </c>
      <c r="G553">
        <v>7.6</v>
      </c>
      <c r="H553">
        <v>3.4</v>
      </c>
      <c r="I553">
        <v>62.1</v>
      </c>
      <c r="J553">
        <v>10.6</v>
      </c>
      <c r="K553">
        <v>13.3</v>
      </c>
      <c r="L553">
        <v>5.4</v>
      </c>
      <c r="M553">
        <v>73.599999999999994</v>
      </c>
      <c r="N553">
        <v>19.399999999999999</v>
      </c>
      <c r="O553">
        <v>3.1</v>
      </c>
      <c r="P553" t="s">
        <v>1615</v>
      </c>
      <c r="Q553" t="s">
        <v>572</v>
      </c>
      <c r="R553" t="s">
        <v>2248</v>
      </c>
      <c r="S553" t="s">
        <v>574</v>
      </c>
      <c r="T553">
        <v>6000</v>
      </c>
      <c r="U553">
        <v>36.4</v>
      </c>
      <c r="V553">
        <v>417</v>
      </c>
      <c r="W553">
        <v>20.399999999999999</v>
      </c>
      <c r="X553">
        <v>795</v>
      </c>
      <c r="Y553">
        <v>70.2</v>
      </c>
      <c r="Z553">
        <v>557</v>
      </c>
      <c r="AA553">
        <v>79.3</v>
      </c>
      <c r="AB553">
        <v>273</v>
      </c>
      <c r="AC553">
        <v>41.8</v>
      </c>
      <c r="AD553">
        <v>1062</v>
      </c>
      <c r="AE553" t="s">
        <v>208</v>
      </c>
      <c r="AF553">
        <v>0</v>
      </c>
      <c r="AG553" t="s">
        <v>2249</v>
      </c>
      <c r="AH553">
        <v>738</v>
      </c>
      <c r="AI553" t="s">
        <v>46</v>
      </c>
      <c r="AJ553" s="1">
        <v>22523</v>
      </c>
      <c r="AK553">
        <v>13</v>
      </c>
      <c r="AL553" s="2">
        <v>0.05</v>
      </c>
      <c r="AM553" s="3">
        <v>2.5687500000000001</v>
      </c>
      <c r="AN553" t="s">
        <v>2248</v>
      </c>
      <c r="AO553" t="s">
        <v>2250</v>
      </c>
      <c r="AP553" t="b">
        <v>0</v>
      </c>
      <c r="AQ553" t="b">
        <v>0</v>
      </c>
      <c r="AR553" t="b">
        <v>0</v>
      </c>
      <c r="AS553" t="s">
        <v>2251</v>
      </c>
    </row>
    <row r="554" spans="1:45" x14ac:dyDescent="0.3">
      <c r="A554" t="s">
        <v>2043</v>
      </c>
      <c r="B554" t="s">
        <v>2043</v>
      </c>
      <c r="C554" t="s">
        <v>2252</v>
      </c>
      <c r="D554" t="s">
        <v>1214</v>
      </c>
      <c r="E554" t="s">
        <v>1215</v>
      </c>
      <c r="F554" t="s">
        <v>47</v>
      </c>
      <c r="G554">
        <v>9.6</v>
      </c>
      <c r="H554">
        <v>10.1</v>
      </c>
      <c r="I554">
        <v>9.4</v>
      </c>
      <c r="J554">
        <v>2.7</v>
      </c>
      <c r="K554">
        <v>75.5</v>
      </c>
      <c r="L554">
        <v>100</v>
      </c>
      <c r="M554">
        <v>16.899999999999999</v>
      </c>
      <c r="N554">
        <v>4.5999999999999996</v>
      </c>
      <c r="O554">
        <v>1.5</v>
      </c>
      <c r="P554" t="s">
        <v>1615</v>
      </c>
      <c r="Q554" t="s">
        <v>1475</v>
      </c>
      <c r="R554" t="s">
        <v>2252</v>
      </c>
      <c r="T554">
        <v>1000023</v>
      </c>
      <c r="V554">
        <v>0</v>
      </c>
      <c r="X554">
        <v>0</v>
      </c>
      <c r="Z554">
        <v>0</v>
      </c>
      <c r="AB554">
        <v>0</v>
      </c>
      <c r="AD554">
        <v>0</v>
      </c>
      <c r="AE554" t="s">
        <v>57</v>
      </c>
      <c r="AF554">
        <v>11</v>
      </c>
      <c r="AG554" t="s">
        <v>2253</v>
      </c>
      <c r="AH554">
        <v>626079</v>
      </c>
      <c r="AI554" t="s">
        <v>1215</v>
      </c>
      <c r="AJ554" s="1">
        <v>4102</v>
      </c>
      <c r="AK554">
        <v>12.1</v>
      </c>
      <c r="AL554" s="2">
        <v>0.6</v>
      </c>
      <c r="AM554" s="3">
        <v>2.0770833333333334</v>
      </c>
      <c r="AN554" t="s">
        <v>2252</v>
      </c>
      <c r="AO554" t="s">
        <v>2254</v>
      </c>
      <c r="AP554" t="b">
        <v>0</v>
      </c>
      <c r="AQ554" t="b">
        <v>0</v>
      </c>
      <c r="AR554" t="b">
        <v>0</v>
      </c>
    </row>
    <row r="555" spans="1:45" x14ac:dyDescent="0.3">
      <c r="A555" t="s">
        <v>2043</v>
      </c>
      <c r="B555" t="s">
        <v>2200</v>
      </c>
      <c r="C555" t="s">
        <v>2255</v>
      </c>
      <c r="D555" t="s">
        <v>1159</v>
      </c>
      <c r="E555" t="s">
        <v>1160</v>
      </c>
      <c r="F555" t="s">
        <v>77</v>
      </c>
      <c r="G555">
        <v>23.1</v>
      </c>
      <c r="H555">
        <v>18.3</v>
      </c>
      <c r="I555">
        <v>4.5</v>
      </c>
      <c r="J555">
        <v>2</v>
      </c>
      <c r="K555">
        <v>1.7</v>
      </c>
      <c r="L555">
        <v>4.8</v>
      </c>
      <c r="M555">
        <v>76.400000000000006</v>
      </c>
      <c r="N555">
        <v>24.3</v>
      </c>
      <c r="O555">
        <v>6.9</v>
      </c>
      <c r="P555" t="s">
        <v>1615</v>
      </c>
      <c r="Q555" t="s">
        <v>679</v>
      </c>
      <c r="R555" t="s">
        <v>2256</v>
      </c>
      <c r="S555" t="s">
        <v>680</v>
      </c>
      <c r="T555">
        <v>8080</v>
      </c>
      <c r="U555">
        <v>17.899999999999999</v>
      </c>
      <c r="V555">
        <v>1553</v>
      </c>
      <c r="W555">
        <v>17.7</v>
      </c>
      <c r="X555">
        <v>933</v>
      </c>
      <c r="Y555">
        <v>58.2</v>
      </c>
      <c r="Z555">
        <v>817</v>
      </c>
      <c r="AA555">
        <v>27.2</v>
      </c>
      <c r="AB555">
        <v>1253</v>
      </c>
      <c r="AC555">
        <v>51.4</v>
      </c>
      <c r="AD555">
        <v>755</v>
      </c>
      <c r="AE555" t="s">
        <v>57</v>
      </c>
      <c r="AF555">
        <v>0</v>
      </c>
      <c r="AG555" t="s">
        <v>2257</v>
      </c>
      <c r="AH555">
        <v>768</v>
      </c>
      <c r="AI555" t="s">
        <v>1160</v>
      </c>
      <c r="AJ555" s="1">
        <v>205777</v>
      </c>
      <c r="AK555">
        <v>28.7</v>
      </c>
      <c r="AL555" s="2">
        <v>0.04</v>
      </c>
      <c r="AM555" s="3">
        <v>2.2000000000000002</v>
      </c>
      <c r="AN555" t="s">
        <v>2256</v>
      </c>
      <c r="AO555" t="s">
        <v>2258</v>
      </c>
      <c r="AP555" t="b">
        <v>0</v>
      </c>
      <c r="AQ555" t="b">
        <v>0</v>
      </c>
      <c r="AR555" t="b">
        <v>0</v>
      </c>
    </row>
    <row r="556" spans="1:45" x14ac:dyDescent="0.3">
      <c r="A556" t="s">
        <v>2043</v>
      </c>
      <c r="B556" t="s">
        <v>2200</v>
      </c>
      <c r="C556" t="s">
        <v>2259</v>
      </c>
      <c r="D556" t="s">
        <v>297</v>
      </c>
      <c r="E556" t="s">
        <v>298</v>
      </c>
      <c r="F556" t="s">
        <v>47</v>
      </c>
      <c r="G556">
        <v>5.9</v>
      </c>
      <c r="H556">
        <v>1.8</v>
      </c>
      <c r="I556">
        <v>3.6</v>
      </c>
      <c r="J556">
        <v>52.5</v>
      </c>
      <c r="K556">
        <v>9.9</v>
      </c>
      <c r="L556">
        <v>3.2</v>
      </c>
      <c r="M556">
        <v>57.1</v>
      </c>
      <c r="N556">
        <v>2</v>
      </c>
      <c r="O556">
        <v>1.7</v>
      </c>
      <c r="P556" t="s">
        <v>1615</v>
      </c>
      <c r="Q556" t="s">
        <v>372</v>
      </c>
      <c r="R556" t="s">
        <v>2260</v>
      </c>
      <c r="S556" t="s">
        <v>374</v>
      </c>
      <c r="T556">
        <v>4010</v>
      </c>
      <c r="U556">
        <v>18.3</v>
      </c>
      <c r="V556">
        <v>1523</v>
      </c>
      <c r="W556">
        <v>36.6</v>
      </c>
      <c r="X556">
        <v>311</v>
      </c>
      <c r="Y556">
        <v>80.599999999999994</v>
      </c>
      <c r="Z556">
        <v>308</v>
      </c>
      <c r="AA556">
        <v>63.2</v>
      </c>
      <c r="AB556">
        <v>583</v>
      </c>
      <c r="AC556">
        <v>49.2</v>
      </c>
      <c r="AD556">
        <v>821</v>
      </c>
      <c r="AE556" t="s">
        <v>57</v>
      </c>
      <c r="AF556">
        <v>0</v>
      </c>
      <c r="AG556" t="s">
        <v>2261</v>
      </c>
      <c r="AH556">
        <v>982</v>
      </c>
      <c r="AI556" t="s">
        <v>298</v>
      </c>
      <c r="AJ556" s="1">
        <v>11431</v>
      </c>
      <c r="AK556">
        <v>29.5</v>
      </c>
      <c r="AL556" s="2">
        <v>0.04</v>
      </c>
      <c r="AM556" s="3">
        <v>2.6506944444444445</v>
      </c>
      <c r="AN556" t="s">
        <v>2260</v>
      </c>
      <c r="AO556" t="s">
        <v>2262</v>
      </c>
      <c r="AP556" t="b">
        <v>0</v>
      </c>
      <c r="AQ556" t="b">
        <v>0</v>
      </c>
      <c r="AR556" t="b">
        <v>0</v>
      </c>
    </row>
    <row r="557" spans="1:45" x14ac:dyDescent="0.3">
      <c r="A557" t="s">
        <v>2157</v>
      </c>
      <c r="B557" t="s">
        <v>2200</v>
      </c>
      <c r="C557" t="s">
        <v>2263</v>
      </c>
      <c r="D557" t="s">
        <v>95</v>
      </c>
      <c r="E557" t="s">
        <v>96</v>
      </c>
      <c r="F557" t="s">
        <v>56</v>
      </c>
      <c r="G557">
        <v>3.8</v>
      </c>
      <c r="H557">
        <v>1.6</v>
      </c>
      <c r="I557">
        <v>25.5</v>
      </c>
      <c r="J557">
        <v>47.3</v>
      </c>
      <c r="K557">
        <v>2.2000000000000002</v>
      </c>
      <c r="L557">
        <v>3.1</v>
      </c>
      <c r="M557">
        <v>31.1</v>
      </c>
      <c r="N557">
        <v>3.7</v>
      </c>
      <c r="O557">
        <v>1.1000000000000001</v>
      </c>
      <c r="P557" t="s">
        <v>1615</v>
      </c>
      <c r="Q557" t="s">
        <v>572</v>
      </c>
      <c r="R557" t="s">
        <v>2263</v>
      </c>
      <c r="S557" t="s">
        <v>574</v>
      </c>
      <c r="T557">
        <v>5310</v>
      </c>
      <c r="U557">
        <v>27.8</v>
      </c>
      <c r="V557">
        <v>814</v>
      </c>
      <c r="W557">
        <v>22.1</v>
      </c>
      <c r="X557">
        <v>722</v>
      </c>
      <c r="Y557">
        <v>72.8</v>
      </c>
      <c r="Z557">
        <v>487</v>
      </c>
      <c r="AA557">
        <v>85.3</v>
      </c>
      <c r="AB557">
        <v>205</v>
      </c>
      <c r="AC557">
        <v>39.9</v>
      </c>
      <c r="AD557">
        <v>1119</v>
      </c>
      <c r="AE557" t="s">
        <v>57</v>
      </c>
      <c r="AF557">
        <v>0</v>
      </c>
      <c r="AG557" t="s">
        <v>2264</v>
      </c>
      <c r="AH557">
        <v>622755</v>
      </c>
      <c r="AI557" t="s">
        <v>98</v>
      </c>
      <c r="AJ557" s="1">
        <v>23099</v>
      </c>
      <c r="AK557">
        <v>14.7</v>
      </c>
      <c r="AL557" s="2">
        <v>0.06</v>
      </c>
      <c r="AM557" s="3">
        <v>1.8722222222222222</v>
      </c>
      <c r="AN557" t="s">
        <v>2263</v>
      </c>
      <c r="AO557" t="s">
        <v>2265</v>
      </c>
      <c r="AP557" t="b">
        <v>0</v>
      </c>
      <c r="AQ557" t="b">
        <v>0</v>
      </c>
      <c r="AR557" t="b">
        <v>0</v>
      </c>
    </row>
    <row r="558" spans="1:45" x14ac:dyDescent="0.3">
      <c r="A558" t="s">
        <v>2043</v>
      </c>
      <c r="B558" t="s">
        <v>2266</v>
      </c>
      <c r="C558" t="s">
        <v>2267</v>
      </c>
      <c r="D558" t="s">
        <v>758</v>
      </c>
      <c r="E558" t="s">
        <v>759</v>
      </c>
      <c r="F558" t="s">
        <v>56</v>
      </c>
      <c r="G558">
        <v>11</v>
      </c>
      <c r="H558">
        <v>19.7</v>
      </c>
      <c r="I558">
        <v>8</v>
      </c>
      <c r="J558">
        <v>20.399999999999999</v>
      </c>
      <c r="K558">
        <v>2.2000000000000002</v>
      </c>
      <c r="L558">
        <v>2.5</v>
      </c>
      <c r="M558">
        <v>37.6</v>
      </c>
      <c r="N558">
        <v>25.4</v>
      </c>
      <c r="O558">
        <v>30.4</v>
      </c>
      <c r="P558" t="s">
        <v>1615</v>
      </c>
      <c r="Q558" t="s">
        <v>679</v>
      </c>
      <c r="R558" t="s">
        <v>2267</v>
      </c>
      <c r="S558" t="s">
        <v>680</v>
      </c>
      <c r="T558">
        <v>8240</v>
      </c>
      <c r="U558">
        <v>23.7</v>
      </c>
      <c r="V558">
        <v>1098</v>
      </c>
      <c r="W558">
        <v>17</v>
      </c>
      <c r="X558">
        <v>971</v>
      </c>
      <c r="Y558">
        <v>67.400000000000006</v>
      </c>
      <c r="Z558">
        <v>612</v>
      </c>
      <c r="AA558">
        <v>31.7</v>
      </c>
      <c r="AB558">
        <v>1146</v>
      </c>
      <c r="AC558">
        <v>25.1</v>
      </c>
      <c r="AD558">
        <v>1701</v>
      </c>
      <c r="AE558" t="s">
        <v>57</v>
      </c>
      <c r="AF558">
        <v>0</v>
      </c>
      <c r="AG558" t="s">
        <v>2268</v>
      </c>
      <c r="AH558">
        <v>131761</v>
      </c>
      <c r="AI558" t="s">
        <v>759</v>
      </c>
      <c r="AJ558" s="1">
        <v>16339</v>
      </c>
      <c r="AK558">
        <v>16.2</v>
      </c>
      <c r="AL558" s="2">
        <v>0.02</v>
      </c>
      <c r="AM558">
        <v>0.88888888888888884</v>
      </c>
      <c r="AN558" t="s">
        <v>2267</v>
      </c>
      <c r="AO558" t="s">
        <v>2269</v>
      </c>
      <c r="AP558" t="b">
        <v>0</v>
      </c>
      <c r="AQ558" t="b">
        <v>0</v>
      </c>
      <c r="AR558" t="b">
        <v>0</v>
      </c>
    </row>
    <row r="559" spans="1:45" x14ac:dyDescent="0.3">
      <c r="A559" t="s">
        <v>2043</v>
      </c>
      <c r="B559" t="s">
        <v>2043</v>
      </c>
      <c r="C559" t="s">
        <v>2270</v>
      </c>
      <c r="D559" t="s">
        <v>54</v>
      </c>
      <c r="E559" t="s">
        <v>55</v>
      </c>
      <c r="F559" t="s">
        <v>56</v>
      </c>
      <c r="G559">
        <v>5</v>
      </c>
      <c r="H559">
        <v>5</v>
      </c>
      <c r="I559">
        <v>4</v>
      </c>
      <c r="J559">
        <v>11.8</v>
      </c>
      <c r="K559">
        <v>77.5</v>
      </c>
      <c r="L559">
        <v>86</v>
      </c>
      <c r="M559">
        <v>60.1</v>
      </c>
      <c r="N559">
        <v>4.9000000000000004</v>
      </c>
      <c r="O559">
        <v>2.2000000000000002</v>
      </c>
      <c r="P559" t="s">
        <v>1615</v>
      </c>
      <c r="Q559" t="s">
        <v>572</v>
      </c>
      <c r="R559" t="s">
        <v>2270</v>
      </c>
      <c r="S559" t="s">
        <v>574</v>
      </c>
      <c r="T559">
        <v>5330</v>
      </c>
      <c r="U559">
        <v>18.100000000000001</v>
      </c>
      <c r="V559">
        <v>1541</v>
      </c>
      <c r="W559">
        <v>18.399999999999999</v>
      </c>
      <c r="X559">
        <v>894</v>
      </c>
      <c r="Y559">
        <v>77.900000000000006</v>
      </c>
      <c r="Z559">
        <v>369</v>
      </c>
      <c r="AA559">
        <v>47.7</v>
      </c>
      <c r="AB559">
        <v>849</v>
      </c>
      <c r="AC559">
        <v>93.7</v>
      </c>
      <c r="AD559">
        <v>67</v>
      </c>
      <c r="AE559" t="s">
        <v>57</v>
      </c>
      <c r="AF559">
        <v>0</v>
      </c>
      <c r="AG559" t="s">
        <v>2271</v>
      </c>
      <c r="AH559">
        <v>131529</v>
      </c>
      <c r="AI559" t="s">
        <v>55</v>
      </c>
      <c r="AJ559" s="1">
        <v>12415</v>
      </c>
      <c r="AK559">
        <v>22.4</v>
      </c>
      <c r="AL559" s="2">
        <v>0.34</v>
      </c>
      <c r="AM559" s="3">
        <v>2.2000000000000002</v>
      </c>
      <c r="AN559" t="s">
        <v>2270</v>
      </c>
      <c r="AO559" t="s">
        <v>2272</v>
      </c>
      <c r="AP559" t="b">
        <v>0</v>
      </c>
      <c r="AQ559" t="b">
        <v>0</v>
      </c>
      <c r="AR559" t="b">
        <v>0</v>
      </c>
    </row>
    <row r="560" spans="1:45" x14ac:dyDescent="0.3">
      <c r="A560" t="s">
        <v>2043</v>
      </c>
      <c r="B560" t="s">
        <v>2157</v>
      </c>
      <c r="C560" t="s">
        <v>2273</v>
      </c>
      <c r="D560" t="s">
        <v>887</v>
      </c>
      <c r="E560" t="s">
        <v>888</v>
      </c>
      <c r="F560" t="s">
        <v>56</v>
      </c>
      <c r="G560">
        <v>9.4</v>
      </c>
      <c r="H560">
        <v>15.2</v>
      </c>
      <c r="I560">
        <v>29.6</v>
      </c>
      <c r="J560">
        <v>12.7</v>
      </c>
      <c r="K560">
        <v>5.3</v>
      </c>
      <c r="L560">
        <v>4</v>
      </c>
      <c r="M560">
        <v>65.8</v>
      </c>
      <c r="N560">
        <v>3.2</v>
      </c>
      <c r="O560">
        <v>33.299999999999997</v>
      </c>
      <c r="P560" t="s">
        <v>1615</v>
      </c>
      <c r="Q560" t="s">
        <v>733</v>
      </c>
      <c r="R560" t="s">
        <v>2274</v>
      </c>
      <c r="S560" t="s">
        <v>735</v>
      </c>
      <c r="T560">
        <v>10620</v>
      </c>
      <c r="U560">
        <v>19.7</v>
      </c>
      <c r="V560">
        <v>1399</v>
      </c>
      <c r="W560">
        <v>17</v>
      </c>
      <c r="X560">
        <v>973</v>
      </c>
      <c r="Y560">
        <v>48.3</v>
      </c>
      <c r="Z560">
        <v>1048</v>
      </c>
      <c r="AA560">
        <v>50.7</v>
      </c>
      <c r="AB560">
        <v>797</v>
      </c>
      <c r="AC560">
        <v>35</v>
      </c>
      <c r="AD560">
        <v>1316</v>
      </c>
      <c r="AE560" t="s">
        <v>57</v>
      </c>
      <c r="AF560">
        <v>0</v>
      </c>
      <c r="AG560" t="s">
        <v>2275</v>
      </c>
      <c r="AH560">
        <v>131337</v>
      </c>
      <c r="AI560" t="s">
        <v>888</v>
      </c>
      <c r="AJ560" s="1">
        <v>13903</v>
      </c>
      <c r="AK560">
        <v>17.899999999999999</v>
      </c>
      <c r="AL560" s="2">
        <v>0.05</v>
      </c>
      <c r="AM560" t="s">
        <v>1244</v>
      </c>
      <c r="AN560" t="s">
        <v>2274</v>
      </c>
      <c r="AO560" t="s">
        <v>2276</v>
      </c>
      <c r="AP560" t="b">
        <v>0</v>
      </c>
      <c r="AQ560" t="b">
        <v>0</v>
      </c>
      <c r="AR560" t="b">
        <v>0</v>
      </c>
    </row>
    <row r="561" spans="1:45" x14ac:dyDescent="0.3">
      <c r="A561" t="s">
        <v>2043</v>
      </c>
      <c r="B561" t="s">
        <v>2043</v>
      </c>
      <c r="C561" t="s">
        <v>2277</v>
      </c>
      <c r="D561" t="s">
        <v>378</v>
      </c>
      <c r="E561" t="s">
        <v>379</v>
      </c>
      <c r="F561" t="s">
        <v>47</v>
      </c>
      <c r="G561">
        <v>7.6</v>
      </c>
      <c r="H561">
        <v>2.5</v>
      </c>
      <c r="I561">
        <v>79.400000000000006</v>
      </c>
      <c r="J561">
        <v>1.8</v>
      </c>
      <c r="K561">
        <v>21.8</v>
      </c>
      <c r="L561">
        <v>40.200000000000003</v>
      </c>
      <c r="M561">
        <v>35.200000000000003</v>
      </c>
      <c r="N561">
        <v>1.9</v>
      </c>
      <c r="O561">
        <v>1.2</v>
      </c>
      <c r="P561" t="s">
        <v>1615</v>
      </c>
      <c r="Q561" t="s">
        <v>621</v>
      </c>
      <c r="R561" t="s">
        <v>2277</v>
      </c>
      <c r="S561" t="s">
        <v>622</v>
      </c>
      <c r="T561">
        <v>13080</v>
      </c>
      <c r="U561">
        <v>35.9</v>
      </c>
      <c r="V561">
        <v>431</v>
      </c>
      <c r="W561">
        <v>18.8</v>
      </c>
      <c r="X561">
        <v>875</v>
      </c>
      <c r="Y561">
        <v>16.899999999999999</v>
      </c>
      <c r="Z561">
        <v>1732</v>
      </c>
      <c r="AA561">
        <v>34.4</v>
      </c>
      <c r="AB561">
        <v>1103</v>
      </c>
      <c r="AC561">
        <v>62.4</v>
      </c>
      <c r="AD561">
        <v>534</v>
      </c>
      <c r="AE561" t="s">
        <v>57</v>
      </c>
      <c r="AF561">
        <v>0</v>
      </c>
      <c r="AG561" t="s">
        <v>2278</v>
      </c>
      <c r="AH561">
        <v>587652</v>
      </c>
      <c r="AI561" t="s">
        <v>381</v>
      </c>
      <c r="AJ561" s="1">
        <v>6857</v>
      </c>
      <c r="AK561">
        <v>17.100000000000001</v>
      </c>
      <c r="AL561" s="2">
        <v>0.19</v>
      </c>
      <c r="AM561" s="3">
        <v>2.4868055555555557</v>
      </c>
      <c r="AN561" t="s">
        <v>2277</v>
      </c>
      <c r="AO561" t="s">
        <v>2279</v>
      </c>
      <c r="AP561" t="b">
        <v>0</v>
      </c>
      <c r="AQ561" t="b">
        <v>0</v>
      </c>
      <c r="AR561" t="b">
        <v>1</v>
      </c>
    </row>
    <row r="562" spans="1:45" x14ac:dyDescent="0.3">
      <c r="A562" t="s">
        <v>2043</v>
      </c>
      <c r="B562" t="s">
        <v>1700</v>
      </c>
      <c r="C562" t="s">
        <v>2280</v>
      </c>
      <c r="D562" t="s">
        <v>1994</v>
      </c>
      <c r="E562" t="s">
        <v>1995</v>
      </c>
      <c r="F562" t="s">
        <v>77</v>
      </c>
      <c r="G562">
        <v>19.100000000000001</v>
      </c>
      <c r="H562">
        <v>28.8</v>
      </c>
      <c r="I562">
        <v>9.1</v>
      </c>
      <c r="J562">
        <v>2</v>
      </c>
      <c r="K562">
        <v>2.2000000000000002</v>
      </c>
      <c r="L562">
        <v>1.1000000000000001</v>
      </c>
      <c r="M562">
        <v>46</v>
      </c>
      <c r="N562">
        <v>6.8</v>
      </c>
      <c r="O562">
        <v>35.700000000000003</v>
      </c>
      <c r="P562" t="s">
        <v>1615</v>
      </c>
      <c r="Q562" t="s">
        <v>1068</v>
      </c>
      <c r="R562" t="s">
        <v>2280</v>
      </c>
      <c r="S562" t="s">
        <v>1070</v>
      </c>
      <c r="T562">
        <v>16540</v>
      </c>
      <c r="U562">
        <v>20.7</v>
      </c>
      <c r="V562">
        <v>1320</v>
      </c>
      <c r="W562">
        <v>9.9</v>
      </c>
      <c r="X562">
        <v>1651</v>
      </c>
      <c r="Y562">
        <v>14.5</v>
      </c>
      <c r="Z562">
        <v>1776</v>
      </c>
      <c r="AA562">
        <v>26.7</v>
      </c>
      <c r="AB562">
        <v>1272</v>
      </c>
      <c r="AC562">
        <v>25.5</v>
      </c>
      <c r="AD562">
        <v>1682</v>
      </c>
      <c r="AE562" t="s">
        <v>57</v>
      </c>
      <c r="AF562">
        <v>0</v>
      </c>
      <c r="AG562" t="s">
        <v>2281</v>
      </c>
      <c r="AH562">
        <v>623448</v>
      </c>
      <c r="AI562" t="s">
        <v>1995</v>
      </c>
      <c r="AJ562" s="1">
        <v>141583</v>
      </c>
      <c r="AK562">
        <v>13</v>
      </c>
      <c r="AL562" s="2">
        <v>0</v>
      </c>
      <c r="AM562" s="3">
        <v>1.7902777777777779</v>
      </c>
      <c r="AN562" t="s">
        <v>2280</v>
      </c>
      <c r="AO562" t="s">
        <v>2282</v>
      </c>
      <c r="AP562" t="b">
        <v>0</v>
      </c>
      <c r="AQ562" t="b">
        <v>0</v>
      </c>
      <c r="AR562" t="b">
        <v>0</v>
      </c>
    </row>
    <row r="563" spans="1:45" x14ac:dyDescent="0.3">
      <c r="A563" t="s">
        <v>2043</v>
      </c>
      <c r="B563" t="s">
        <v>2043</v>
      </c>
      <c r="C563" t="s">
        <v>2283</v>
      </c>
      <c r="D563" t="s">
        <v>402</v>
      </c>
      <c r="E563" t="s">
        <v>403</v>
      </c>
      <c r="F563" t="s">
        <v>56</v>
      </c>
      <c r="G563">
        <v>11.7</v>
      </c>
      <c r="H563">
        <v>5.0999999999999996</v>
      </c>
      <c r="I563">
        <v>37.1</v>
      </c>
      <c r="J563">
        <v>2.2999999999999998</v>
      </c>
      <c r="K563">
        <v>100</v>
      </c>
      <c r="L563">
        <v>2.6</v>
      </c>
      <c r="M563">
        <v>43.5</v>
      </c>
      <c r="N563">
        <v>2.4</v>
      </c>
      <c r="O563">
        <v>1</v>
      </c>
      <c r="P563" t="s">
        <v>1615</v>
      </c>
      <c r="Q563" t="s">
        <v>696</v>
      </c>
      <c r="R563" t="s">
        <v>2283</v>
      </c>
      <c r="S563" t="s">
        <v>697</v>
      </c>
      <c r="T563">
        <v>6840</v>
      </c>
      <c r="U563">
        <v>30.5</v>
      </c>
      <c r="V563">
        <v>666</v>
      </c>
      <c r="W563">
        <v>18.3</v>
      </c>
      <c r="X563">
        <v>903</v>
      </c>
      <c r="Y563">
        <v>58.3</v>
      </c>
      <c r="Z563">
        <v>815</v>
      </c>
      <c r="AA563">
        <v>21.3</v>
      </c>
      <c r="AB563">
        <v>1467</v>
      </c>
      <c r="AC563">
        <v>76.7</v>
      </c>
      <c r="AD563">
        <v>301</v>
      </c>
      <c r="AE563" t="s">
        <v>57</v>
      </c>
      <c r="AF563">
        <v>0</v>
      </c>
      <c r="AG563" t="s">
        <v>2284</v>
      </c>
      <c r="AH563">
        <v>709424</v>
      </c>
      <c r="AI563" t="s">
        <v>403</v>
      </c>
      <c r="AJ563" s="1">
        <v>19006</v>
      </c>
      <c r="AK563">
        <v>9.6</v>
      </c>
      <c r="AL563" s="2">
        <v>0.03</v>
      </c>
      <c r="AM563" s="3">
        <v>2.6916666666666669</v>
      </c>
      <c r="AN563" t="s">
        <v>2283</v>
      </c>
      <c r="AO563" t="s">
        <v>2285</v>
      </c>
      <c r="AP563" t="b">
        <v>0</v>
      </c>
      <c r="AQ563" t="b">
        <v>0</v>
      </c>
      <c r="AR563" t="b">
        <v>0</v>
      </c>
    </row>
    <row r="564" spans="1:45" x14ac:dyDescent="0.3">
      <c r="A564" t="s">
        <v>2043</v>
      </c>
      <c r="B564" t="s">
        <v>2157</v>
      </c>
      <c r="C564" t="s">
        <v>2286</v>
      </c>
      <c r="D564" t="s">
        <v>1810</v>
      </c>
      <c r="E564" t="s">
        <v>1811</v>
      </c>
      <c r="F564" t="s">
        <v>56</v>
      </c>
      <c r="G564">
        <v>14.7</v>
      </c>
      <c r="H564">
        <v>7.9</v>
      </c>
      <c r="I564">
        <v>6.8</v>
      </c>
      <c r="J564">
        <v>2.9</v>
      </c>
      <c r="K564">
        <v>20.399999999999999</v>
      </c>
      <c r="L564">
        <v>19.399999999999999</v>
      </c>
      <c r="M564">
        <v>39.299999999999997</v>
      </c>
      <c r="N564">
        <v>93.8</v>
      </c>
      <c r="O564">
        <v>17.100000000000001</v>
      </c>
      <c r="P564" t="s">
        <v>1615</v>
      </c>
      <c r="Q564" t="s">
        <v>733</v>
      </c>
      <c r="R564" t="s">
        <v>2286</v>
      </c>
      <c r="S564" t="s">
        <v>735</v>
      </c>
      <c r="T564">
        <v>10960</v>
      </c>
      <c r="U564">
        <v>19.5</v>
      </c>
      <c r="V564">
        <v>1420</v>
      </c>
      <c r="W564">
        <v>9.9</v>
      </c>
      <c r="X564">
        <v>1653</v>
      </c>
      <c r="Y564">
        <v>55.5</v>
      </c>
      <c r="Z564">
        <v>876</v>
      </c>
      <c r="AA564">
        <v>28.9</v>
      </c>
      <c r="AB564">
        <v>1204</v>
      </c>
      <c r="AC564">
        <v>66.400000000000006</v>
      </c>
      <c r="AD564">
        <v>458</v>
      </c>
      <c r="AE564" t="s">
        <v>57</v>
      </c>
      <c r="AF564">
        <v>11</v>
      </c>
      <c r="AG564" t="s">
        <v>2287</v>
      </c>
      <c r="AH564">
        <v>589247</v>
      </c>
      <c r="AI564" t="s">
        <v>1811</v>
      </c>
      <c r="AJ564" s="1">
        <v>34147</v>
      </c>
      <c r="AK564">
        <v>14.7</v>
      </c>
      <c r="AL564" s="2">
        <v>0.13</v>
      </c>
      <c r="AM564" s="3">
        <v>3.0604166666666668</v>
      </c>
      <c r="AN564" t="s">
        <v>2286</v>
      </c>
      <c r="AO564" t="s">
        <v>2288</v>
      </c>
      <c r="AP564" t="b">
        <v>0</v>
      </c>
      <c r="AQ564" t="b">
        <v>0</v>
      </c>
      <c r="AR564" t="b">
        <v>0</v>
      </c>
    </row>
    <row r="565" spans="1:45" x14ac:dyDescent="0.3">
      <c r="A565" t="s">
        <v>2043</v>
      </c>
      <c r="B565" t="s">
        <v>1928</v>
      </c>
      <c r="C565" t="s">
        <v>2289</v>
      </c>
      <c r="D565" t="s">
        <v>54</v>
      </c>
      <c r="E565" t="s">
        <v>55</v>
      </c>
      <c r="F565" t="s">
        <v>56</v>
      </c>
      <c r="G565">
        <v>10</v>
      </c>
      <c r="H565">
        <v>6.8</v>
      </c>
      <c r="I565">
        <v>8</v>
      </c>
      <c r="J565">
        <v>12.3</v>
      </c>
      <c r="K565">
        <v>46.7</v>
      </c>
      <c r="L565">
        <v>22.4</v>
      </c>
      <c r="M565">
        <v>87.7</v>
      </c>
      <c r="N565">
        <v>5.4</v>
      </c>
      <c r="O565">
        <v>13.6</v>
      </c>
      <c r="P565" t="s">
        <v>1615</v>
      </c>
      <c r="Q565" t="s">
        <v>572</v>
      </c>
      <c r="R565" t="s">
        <v>2289</v>
      </c>
      <c r="S565" t="s">
        <v>574</v>
      </c>
      <c r="T565">
        <v>5550</v>
      </c>
      <c r="U565">
        <v>21.6</v>
      </c>
      <c r="V565">
        <v>1257</v>
      </c>
      <c r="W565">
        <v>19.3</v>
      </c>
      <c r="X565">
        <v>848</v>
      </c>
      <c r="Y565">
        <v>77.7</v>
      </c>
      <c r="Z565">
        <v>375</v>
      </c>
      <c r="AA565">
        <v>35.4</v>
      </c>
      <c r="AB565">
        <v>1084</v>
      </c>
      <c r="AC565">
        <v>83</v>
      </c>
      <c r="AD565">
        <v>209</v>
      </c>
      <c r="AE565" t="s">
        <v>57</v>
      </c>
      <c r="AF565">
        <v>0</v>
      </c>
      <c r="AG565" t="s">
        <v>2290</v>
      </c>
      <c r="AH565">
        <v>836</v>
      </c>
      <c r="AI565" t="s">
        <v>55</v>
      </c>
      <c r="AJ565" s="1">
        <v>23200</v>
      </c>
      <c r="AK565">
        <v>18.100000000000001</v>
      </c>
      <c r="AL565" s="2">
        <v>0.16</v>
      </c>
      <c r="AM565" s="3">
        <v>2.2819444444444446</v>
      </c>
      <c r="AN565" t="s">
        <v>2289</v>
      </c>
      <c r="AO565" t="s">
        <v>2291</v>
      </c>
      <c r="AP565" t="b">
        <v>0</v>
      </c>
      <c r="AQ565" t="b">
        <v>0</v>
      </c>
      <c r="AR565" t="b">
        <v>0</v>
      </c>
      <c r="AS565" t="s">
        <v>2292</v>
      </c>
    </row>
    <row r="566" spans="1:45" x14ac:dyDescent="0.3">
      <c r="A566" t="s">
        <v>2043</v>
      </c>
      <c r="B566" t="s">
        <v>2157</v>
      </c>
      <c r="C566" t="s">
        <v>2293</v>
      </c>
      <c r="D566" t="s">
        <v>54</v>
      </c>
      <c r="E566" t="s">
        <v>55</v>
      </c>
      <c r="F566" t="s">
        <v>56</v>
      </c>
      <c r="G566">
        <v>3.3</v>
      </c>
      <c r="H566">
        <v>2.9</v>
      </c>
      <c r="I566">
        <v>9.1</v>
      </c>
      <c r="J566">
        <v>4.4000000000000004</v>
      </c>
      <c r="K566">
        <v>87.1</v>
      </c>
      <c r="L566">
        <v>96.8</v>
      </c>
      <c r="M566">
        <v>47.6</v>
      </c>
      <c r="N566">
        <v>8.5</v>
      </c>
      <c r="O566">
        <v>15.4</v>
      </c>
      <c r="P566" t="s">
        <v>1615</v>
      </c>
      <c r="Q566" t="s">
        <v>696</v>
      </c>
      <c r="R566" t="s">
        <v>2293</v>
      </c>
      <c r="S566" t="s">
        <v>697</v>
      </c>
      <c r="T566">
        <v>6980</v>
      </c>
      <c r="U566">
        <v>18.600000000000001</v>
      </c>
      <c r="V566">
        <v>1494</v>
      </c>
      <c r="W566">
        <v>12.4</v>
      </c>
      <c r="X566">
        <v>1365</v>
      </c>
      <c r="Y566">
        <v>65.900000000000006</v>
      </c>
      <c r="Z566">
        <v>650</v>
      </c>
      <c r="AA566">
        <v>52.4</v>
      </c>
      <c r="AB566">
        <v>761</v>
      </c>
      <c r="AC566">
        <v>92.3</v>
      </c>
      <c r="AD566">
        <v>97</v>
      </c>
      <c r="AE566" t="s">
        <v>57</v>
      </c>
      <c r="AF566">
        <v>0</v>
      </c>
      <c r="AG566" t="s">
        <v>2294</v>
      </c>
      <c r="AH566">
        <v>131793</v>
      </c>
      <c r="AI566" t="s">
        <v>55</v>
      </c>
      <c r="AJ566" s="1">
        <v>14510</v>
      </c>
      <c r="AK566">
        <v>17.5</v>
      </c>
      <c r="AL566" s="2">
        <v>0.37</v>
      </c>
      <c r="AM566" s="3">
        <v>2.3638888888888889</v>
      </c>
      <c r="AN566" t="s">
        <v>2293</v>
      </c>
      <c r="AO566" t="s">
        <v>2295</v>
      </c>
      <c r="AP566" t="b">
        <v>0</v>
      </c>
      <c r="AQ566" t="b">
        <v>0</v>
      </c>
      <c r="AR566" t="b">
        <v>0</v>
      </c>
      <c r="AS566" t="s">
        <v>2296</v>
      </c>
    </row>
    <row r="567" spans="1:45" x14ac:dyDescent="0.3">
      <c r="A567" t="s">
        <v>2043</v>
      </c>
      <c r="B567" t="s">
        <v>2043</v>
      </c>
      <c r="C567" t="s">
        <v>2297</v>
      </c>
      <c r="D567" t="s">
        <v>504</v>
      </c>
      <c r="E567" t="s">
        <v>505</v>
      </c>
      <c r="F567" t="s">
        <v>47</v>
      </c>
      <c r="G567">
        <v>10.4</v>
      </c>
      <c r="H567">
        <v>7.7</v>
      </c>
      <c r="I567">
        <v>9.1999999999999993</v>
      </c>
      <c r="J567">
        <v>12.7</v>
      </c>
      <c r="K567">
        <v>87.4</v>
      </c>
      <c r="L567">
        <v>16.7</v>
      </c>
      <c r="M567">
        <v>48.5</v>
      </c>
      <c r="N567">
        <v>9.1999999999999993</v>
      </c>
      <c r="O567">
        <v>6.4</v>
      </c>
      <c r="P567" t="s">
        <v>1615</v>
      </c>
      <c r="Q567" t="s">
        <v>372</v>
      </c>
      <c r="R567" t="s">
        <v>2297</v>
      </c>
      <c r="S567" t="s">
        <v>374</v>
      </c>
      <c r="T567">
        <v>4540</v>
      </c>
      <c r="U567">
        <v>21.1</v>
      </c>
      <c r="V567">
        <v>1295</v>
      </c>
      <c r="W567">
        <v>30.7</v>
      </c>
      <c r="X567">
        <v>449</v>
      </c>
      <c r="Y567">
        <v>77</v>
      </c>
      <c r="Z567">
        <v>395</v>
      </c>
      <c r="AA567">
        <v>58.3</v>
      </c>
      <c r="AB567">
        <v>671</v>
      </c>
      <c r="AC567">
        <v>74.8</v>
      </c>
      <c r="AD567">
        <v>332</v>
      </c>
      <c r="AE567" t="s">
        <v>57</v>
      </c>
      <c r="AF567">
        <v>0</v>
      </c>
      <c r="AG567" t="s">
        <v>2298</v>
      </c>
      <c r="AH567">
        <v>843</v>
      </c>
      <c r="AI567" t="s">
        <v>505</v>
      </c>
      <c r="AJ567" s="1">
        <v>11885</v>
      </c>
      <c r="AK567">
        <v>28.5</v>
      </c>
      <c r="AL567" s="2">
        <v>0.12</v>
      </c>
      <c r="AM567" s="3">
        <v>2.3638888888888889</v>
      </c>
      <c r="AN567" t="s">
        <v>2297</v>
      </c>
      <c r="AO567" t="s">
        <v>2299</v>
      </c>
      <c r="AP567" t="b">
        <v>0</v>
      </c>
      <c r="AQ567" t="b">
        <v>0</v>
      </c>
      <c r="AR567" t="b">
        <v>0</v>
      </c>
    </row>
    <row r="568" spans="1:45" x14ac:dyDescent="0.3">
      <c r="A568" t="s">
        <v>2043</v>
      </c>
      <c r="B568" t="s">
        <v>1641</v>
      </c>
      <c r="C568" t="s">
        <v>2300</v>
      </c>
      <c r="D568" t="s">
        <v>2028</v>
      </c>
      <c r="E568" t="s">
        <v>2029</v>
      </c>
      <c r="F568" t="s">
        <v>56</v>
      </c>
      <c r="G568">
        <v>16.2</v>
      </c>
      <c r="H568">
        <v>31.8</v>
      </c>
      <c r="I568">
        <v>37.4</v>
      </c>
      <c r="J568">
        <v>1.5</v>
      </c>
      <c r="K568">
        <v>1</v>
      </c>
      <c r="L568">
        <v>2</v>
      </c>
      <c r="M568">
        <v>20.399999999999999</v>
      </c>
      <c r="N568">
        <v>21.3</v>
      </c>
      <c r="O568">
        <v>4.3</v>
      </c>
      <c r="P568" t="s">
        <v>1615</v>
      </c>
      <c r="Q568" t="s">
        <v>621</v>
      </c>
      <c r="R568" t="s">
        <v>2301</v>
      </c>
      <c r="S568" t="s">
        <v>622</v>
      </c>
      <c r="T568">
        <v>13770</v>
      </c>
      <c r="U568">
        <v>26.5</v>
      </c>
      <c r="V568">
        <v>911</v>
      </c>
      <c r="W568">
        <v>9.9</v>
      </c>
      <c r="X568">
        <v>1657</v>
      </c>
      <c r="Y568">
        <v>16</v>
      </c>
      <c r="Z568">
        <v>1745</v>
      </c>
      <c r="AA568">
        <v>22.2</v>
      </c>
      <c r="AB568">
        <v>1434</v>
      </c>
      <c r="AC568">
        <v>22.4</v>
      </c>
      <c r="AD568">
        <v>1789</v>
      </c>
      <c r="AE568" t="s">
        <v>57</v>
      </c>
      <c r="AF568">
        <v>0</v>
      </c>
      <c r="AG568" t="s">
        <v>2302</v>
      </c>
      <c r="AH568">
        <v>131309</v>
      </c>
      <c r="AI568" t="s">
        <v>2029</v>
      </c>
      <c r="AJ568" s="1">
        <v>21170</v>
      </c>
      <c r="AK568">
        <v>8</v>
      </c>
      <c r="AL568" s="2">
        <v>0.03</v>
      </c>
      <c r="AM568" t="s">
        <v>587</v>
      </c>
      <c r="AN568" t="s">
        <v>2301</v>
      </c>
      <c r="AO568" t="s">
        <v>2303</v>
      </c>
      <c r="AP568" t="b">
        <v>0</v>
      </c>
      <c r="AQ568" t="b">
        <v>0</v>
      </c>
      <c r="AR568" t="b">
        <v>0</v>
      </c>
    </row>
    <row r="569" spans="1:45" x14ac:dyDescent="0.3">
      <c r="A569" t="s">
        <v>2043</v>
      </c>
      <c r="B569" t="s">
        <v>2018</v>
      </c>
      <c r="C569" t="s">
        <v>2304</v>
      </c>
      <c r="D569" t="s">
        <v>45</v>
      </c>
      <c r="E569" t="s">
        <v>46</v>
      </c>
      <c r="F569" t="s">
        <v>56</v>
      </c>
      <c r="G569">
        <v>12.9</v>
      </c>
      <c r="H569">
        <v>8.6999999999999993</v>
      </c>
      <c r="I569">
        <v>11.6</v>
      </c>
      <c r="J569">
        <v>10.6</v>
      </c>
      <c r="K569">
        <v>5.8</v>
      </c>
      <c r="L569">
        <v>39.299999999999997</v>
      </c>
      <c r="M569">
        <v>55.5</v>
      </c>
      <c r="N569">
        <v>42.7</v>
      </c>
      <c r="O569">
        <v>11.6</v>
      </c>
      <c r="P569" t="s">
        <v>1615</v>
      </c>
      <c r="Q569" t="s">
        <v>372</v>
      </c>
      <c r="R569" t="s">
        <v>2304</v>
      </c>
      <c r="S569" t="s">
        <v>374</v>
      </c>
      <c r="T569">
        <v>4850</v>
      </c>
      <c r="U569">
        <v>33.799999999999997</v>
      </c>
      <c r="V569">
        <v>505</v>
      </c>
      <c r="W569">
        <v>28.2</v>
      </c>
      <c r="X569">
        <v>513</v>
      </c>
      <c r="Y569">
        <v>73.3</v>
      </c>
      <c r="Z569">
        <v>476</v>
      </c>
      <c r="AA569">
        <v>72.7</v>
      </c>
      <c r="AB569">
        <v>375</v>
      </c>
      <c r="AC569">
        <v>56.5</v>
      </c>
      <c r="AD569">
        <v>653</v>
      </c>
      <c r="AE569" t="s">
        <v>49</v>
      </c>
      <c r="AF569">
        <v>0</v>
      </c>
      <c r="AG569" t="s">
        <v>2305</v>
      </c>
      <c r="AH569">
        <v>1020</v>
      </c>
      <c r="AI569" t="s">
        <v>46</v>
      </c>
      <c r="AJ569" s="1">
        <v>19214</v>
      </c>
      <c r="AK569">
        <v>14.1</v>
      </c>
      <c r="AL569" s="2">
        <v>0.21</v>
      </c>
      <c r="AM569" s="3">
        <v>2.2409722222222221</v>
      </c>
      <c r="AN569" t="s">
        <v>2304</v>
      </c>
      <c r="AO569" t="s">
        <v>2306</v>
      </c>
      <c r="AP569" t="b">
        <v>0</v>
      </c>
      <c r="AQ569" t="b">
        <v>0</v>
      </c>
      <c r="AR569" t="b">
        <v>0</v>
      </c>
      <c r="AS569" t="s">
        <v>2307</v>
      </c>
    </row>
    <row r="570" spans="1:45" x14ac:dyDescent="0.3">
      <c r="A570" t="s">
        <v>2043</v>
      </c>
      <c r="B570" t="s">
        <v>2018</v>
      </c>
      <c r="C570" t="s">
        <v>2308</v>
      </c>
      <c r="D570" t="s">
        <v>166</v>
      </c>
      <c r="E570" t="s">
        <v>167</v>
      </c>
      <c r="F570" t="s">
        <v>47</v>
      </c>
      <c r="G570">
        <v>4.5</v>
      </c>
      <c r="H570">
        <v>2.9</v>
      </c>
      <c r="I570">
        <v>98.6</v>
      </c>
      <c r="J570">
        <v>14.1</v>
      </c>
      <c r="K570">
        <v>3.8</v>
      </c>
      <c r="L570">
        <v>22.5</v>
      </c>
      <c r="M570">
        <v>10.5</v>
      </c>
      <c r="N570">
        <v>1.9</v>
      </c>
      <c r="O570">
        <v>6.5</v>
      </c>
      <c r="P570" t="s">
        <v>1615</v>
      </c>
      <c r="Q570" t="s">
        <v>696</v>
      </c>
      <c r="R570" t="s">
        <v>2309</v>
      </c>
      <c r="S570" t="s">
        <v>697</v>
      </c>
      <c r="T570">
        <v>6320</v>
      </c>
      <c r="U570">
        <v>30.7</v>
      </c>
      <c r="V570">
        <v>651</v>
      </c>
      <c r="W570">
        <v>38.700000000000003</v>
      </c>
      <c r="X570">
        <v>265</v>
      </c>
      <c r="Y570">
        <v>42.9</v>
      </c>
      <c r="Z570">
        <v>1168</v>
      </c>
      <c r="AA570">
        <v>89.9</v>
      </c>
      <c r="AB570">
        <v>165</v>
      </c>
      <c r="AC570">
        <v>36.200000000000003</v>
      </c>
      <c r="AD570">
        <v>1267</v>
      </c>
      <c r="AE570" t="s">
        <v>57</v>
      </c>
      <c r="AF570">
        <v>6</v>
      </c>
      <c r="AG570" t="s">
        <v>2310</v>
      </c>
      <c r="AH570">
        <v>623958</v>
      </c>
      <c r="AI570" t="s">
        <v>167</v>
      </c>
      <c r="AJ570" s="1">
        <v>7389</v>
      </c>
      <c r="AK570">
        <v>17.899999999999999</v>
      </c>
      <c r="AL570" s="2">
        <v>7.0000000000000007E-2</v>
      </c>
      <c r="AM570" s="3">
        <v>2.4048611111111109</v>
      </c>
      <c r="AN570" t="s">
        <v>2309</v>
      </c>
      <c r="AO570" t="s">
        <v>2311</v>
      </c>
      <c r="AP570" t="b">
        <v>0</v>
      </c>
      <c r="AQ570" t="b">
        <v>0</v>
      </c>
      <c r="AR570" t="b">
        <v>0</v>
      </c>
    </row>
    <row r="571" spans="1:45" x14ac:dyDescent="0.3">
      <c r="A571" t="s">
        <v>2043</v>
      </c>
      <c r="B571" t="s">
        <v>2157</v>
      </c>
      <c r="C571" t="s">
        <v>2312</v>
      </c>
      <c r="D571" t="s">
        <v>139</v>
      </c>
      <c r="E571" t="s">
        <v>140</v>
      </c>
      <c r="F571" t="s">
        <v>77</v>
      </c>
      <c r="G571">
        <v>8</v>
      </c>
      <c r="H571">
        <v>12</v>
      </c>
      <c r="I571">
        <v>1.8</v>
      </c>
      <c r="J571">
        <v>26.4</v>
      </c>
      <c r="K571">
        <v>35.4</v>
      </c>
      <c r="L571">
        <v>8.1</v>
      </c>
      <c r="M571">
        <v>57</v>
      </c>
      <c r="N571">
        <v>15.1</v>
      </c>
      <c r="O571">
        <v>3.8</v>
      </c>
      <c r="P571" t="s">
        <v>1615</v>
      </c>
      <c r="Q571" t="s">
        <v>696</v>
      </c>
      <c r="R571" t="s">
        <v>2312</v>
      </c>
      <c r="S571" t="s">
        <v>697</v>
      </c>
      <c r="T571">
        <v>7830</v>
      </c>
      <c r="U571">
        <v>19.5</v>
      </c>
      <c r="V571">
        <v>1425</v>
      </c>
      <c r="W571">
        <v>32.299999999999997</v>
      </c>
      <c r="X571">
        <v>413</v>
      </c>
      <c r="Y571">
        <v>57.3</v>
      </c>
      <c r="Z571">
        <v>841</v>
      </c>
      <c r="AA571">
        <v>70.3</v>
      </c>
      <c r="AB571">
        <v>426</v>
      </c>
      <c r="AC571">
        <v>62.1</v>
      </c>
      <c r="AD571">
        <v>541</v>
      </c>
      <c r="AE571" t="s">
        <v>57</v>
      </c>
      <c r="AF571">
        <v>6</v>
      </c>
      <c r="AG571" t="s">
        <v>2313</v>
      </c>
      <c r="AH571">
        <v>623367</v>
      </c>
      <c r="AI571" t="s">
        <v>140</v>
      </c>
      <c r="AJ571" s="1">
        <v>39142</v>
      </c>
      <c r="AK571">
        <v>42.8</v>
      </c>
      <c r="AL571" s="2">
        <v>0.09</v>
      </c>
      <c r="AM571" s="3">
        <v>2.3229166666666665</v>
      </c>
      <c r="AN571" t="s">
        <v>2312</v>
      </c>
      <c r="AO571" t="s">
        <v>2314</v>
      </c>
      <c r="AP571" t="b">
        <v>0</v>
      </c>
      <c r="AQ571" t="b">
        <v>0</v>
      </c>
      <c r="AR571" t="b">
        <v>0</v>
      </c>
    </row>
    <row r="572" spans="1:45" x14ac:dyDescent="0.3">
      <c r="A572" t="s">
        <v>2043</v>
      </c>
      <c r="B572" t="s">
        <v>2157</v>
      </c>
      <c r="C572" t="s">
        <v>2315</v>
      </c>
      <c r="D572" t="s">
        <v>150</v>
      </c>
      <c r="E572" t="s">
        <v>151</v>
      </c>
      <c r="F572" t="s">
        <v>56</v>
      </c>
      <c r="G572">
        <v>14.1</v>
      </c>
      <c r="H572">
        <v>16</v>
      </c>
      <c r="I572">
        <v>28.1</v>
      </c>
      <c r="J572">
        <v>6.2</v>
      </c>
      <c r="K572">
        <v>22.4</v>
      </c>
      <c r="L572">
        <v>17.100000000000001</v>
      </c>
      <c r="M572">
        <v>61.1</v>
      </c>
      <c r="N572">
        <v>6.8</v>
      </c>
      <c r="O572">
        <v>3.7</v>
      </c>
      <c r="P572" t="s">
        <v>1615</v>
      </c>
      <c r="Q572" t="s">
        <v>372</v>
      </c>
      <c r="R572" t="s">
        <v>2315</v>
      </c>
      <c r="S572" t="s">
        <v>374</v>
      </c>
      <c r="T572">
        <v>4900</v>
      </c>
      <c r="U572">
        <v>35.700000000000003</v>
      </c>
      <c r="V572">
        <v>439</v>
      </c>
      <c r="W572">
        <v>42.2</v>
      </c>
      <c r="X572">
        <v>224</v>
      </c>
      <c r="Y572">
        <v>62.3</v>
      </c>
      <c r="Z572">
        <v>727</v>
      </c>
      <c r="AA572">
        <v>72</v>
      </c>
      <c r="AB572">
        <v>388</v>
      </c>
      <c r="AC572">
        <v>57.3</v>
      </c>
      <c r="AD572">
        <v>637</v>
      </c>
      <c r="AE572" t="s">
        <v>57</v>
      </c>
      <c r="AF572">
        <v>0</v>
      </c>
      <c r="AG572" t="s">
        <v>2316</v>
      </c>
      <c r="AH572">
        <v>131317</v>
      </c>
      <c r="AI572" t="s">
        <v>151</v>
      </c>
      <c r="AJ572" s="1">
        <v>19477</v>
      </c>
      <c r="AK572">
        <v>56</v>
      </c>
      <c r="AL572" s="2">
        <v>0.15</v>
      </c>
      <c r="AM572" s="3">
        <v>2.0770833333333334</v>
      </c>
      <c r="AN572" t="s">
        <v>2315</v>
      </c>
      <c r="AO572" t="s">
        <v>2317</v>
      </c>
      <c r="AP572" t="b">
        <v>0</v>
      </c>
      <c r="AQ572" t="b">
        <v>0</v>
      </c>
      <c r="AR572" t="b">
        <v>0</v>
      </c>
    </row>
    <row r="573" spans="1:45" x14ac:dyDescent="0.3">
      <c r="A573" t="s">
        <v>2043</v>
      </c>
      <c r="B573" t="s">
        <v>2043</v>
      </c>
      <c r="C573" t="s">
        <v>2318</v>
      </c>
      <c r="D573" t="s">
        <v>2319</v>
      </c>
      <c r="E573" t="s">
        <v>1196</v>
      </c>
      <c r="F573" t="s">
        <v>47</v>
      </c>
      <c r="G573">
        <v>16</v>
      </c>
      <c r="H573">
        <v>8.6</v>
      </c>
      <c r="I573">
        <v>40.1</v>
      </c>
      <c r="J573">
        <v>2.4</v>
      </c>
      <c r="K573">
        <v>53.1</v>
      </c>
      <c r="L573">
        <v>1.9</v>
      </c>
      <c r="M573">
        <v>24.9</v>
      </c>
      <c r="N573">
        <v>13.2</v>
      </c>
      <c r="O573">
        <v>21.5</v>
      </c>
      <c r="P573" t="s">
        <v>1615</v>
      </c>
      <c r="Q573" t="s">
        <v>733</v>
      </c>
      <c r="R573" t="s">
        <v>2320</v>
      </c>
      <c r="S573" t="s">
        <v>735</v>
      </c>
      <c r="T573">
        <v>11510</v>
      </c>
      <c r="U573">
        <v>22.3</v>
      </c>
      <c r="V573">
        <v>1204</v>
      </c>
      <c r="W573">
        <v>11.1</v>
      </c>
      <c r="X573">
        <v>1515</v>
      </c>
      <c r="Y573">
        <v>48.9</v>
      </c>
      <c r="Z573">
        <v>1043</v>
      </c>
      <c r="AA573">
        <v>17.399999999999999</v>
      </c>
      <c r="AB573">
        <v>1715</v>
      </c>
      <c r="AC573">
        <v>67</v>
      </c>
      <c r="AD573">
        <v>446</v>
      </c>
      <c r="AE573" t="s">
        <v>57</v>
      </c>
      <c r="AF573">
        <v>0</v>
      </c>
      <c r="AG573" t="s">
        <v>2321</v>
      </c>
      <c r="AH573">
        <v>131442</v>
      </c>
      <c r="AI573" t="s">
        <v>1196</v>
      </c>
      <c r="AJ573" s="1">
        <v>7874</v>
      </c>
      <c r="AK573">
        <v>10.199999999999999</v>
      </c>
      <c r="AL573" s="2">
        <v>0.02</v>
      </c>
      <c r="AM573" s="3">
        <v>2.1180555555555554</v>
      </c>
      <c r="AN573" t="s">
        <v>2322</v>
      </c>
      <c r="AO573" t="s">
        <v>2323</v>
      </c>
      <c r="AP573" t="b">
        <v>0</v>
      </c>
      <c r="AQ573" t="b">
        <v>0</v>
      </c>
      <c r="AR573" t="b">
        <v>0</v>
      </c>
    </row>
    <row r="574" spans="1:45" x14ac:dyDescent="0.3">
      <c r="A574" t="s">
        <v>2043</v>
      </c>
      <c r="B574" t="s">
        <v>2043</v>
      </c>
      <c r="C574" t="s">
        <v>2324</v>
      </c>
      <c r="D574" t="s">
        <v>878</v>
      </c>
      <c r="E574" t="s">
        <v>879</v>
      </c>
      <c r="F574" t="s">
        <v>77</v>
      </c>
      <c r="G574">
        <v>19.2</v>
      </c>
      <c r="H574">
        <v>42.4</v>
      </c>
      <c r="I574">
        <v>11.5</v>
      </c>
      <c r="J574">
        <v>1.4</v>
      </c>
      <c r="K574">
        <v>13.7</v>
      </c>
      <c r="L574">
        <v>1.4</v>
      </c>
      <c r="M574">
        <v>19.600000000000001</v>
      </c>
      <c r="N574">
        <v>13.1</v>
      </c>
      <c r="O574">
        <v>9</v>
      </c>
      <c r="P574" t="s">
        <v>1615</v>
      </c>
      <c r="Q574" t="s">
        <v>1068</v>
      </c>
      <c r="R574" t="s">
        <v>2325</v>
      </c>
      <c r="S574" t="s">
        <v>1070</v>
      </c>
      <c r="T574">
        <v>18530</v>
      </c>
      <c r="U574">
        <v>12.4</v>
      </c>
      <c r="V574">
        <v>1865</v>
      </c>
      <c r="W574">
        <v>9</v>
      </c>
      <c r="X574">
        <v>1804</v>
      </c>
      <c r="Y574">
        <v>18.100000000000001</v>
      </c>
      <c r="Z574">
        <v>1713</v>
      </c>
      <c r="AA574">
        <v>16.2</v>
      </c>
      <c r="AB574">
        <v>1841</v>
      </c>
      <c r="AC574">
        <v>19.899999999999999</v>
      </c>
      <c r="AD574">
        <v>1871</v>
      </c>
      <c r="AE574" t="s">
        <v>57</v>
      </c>
      <c r="AF574">
        <v>0</v>
      </c>
      <c r="AG574" t="s">
        <v>2326</v>
      </c>
      <c r="AH574">
        <v>719245</v>
      </c>
      <c r="AI574" t="s">
        <v>879</v>
      </c>
      <c r="AJ574" s="1">
        <v>36361</v>
      </c>
      <c r="AK574">
        <v>24.7</v>
      </c>
      <c r="AL574" s="2">
        <v>0</v>
      </c>
      <c r="AM574" s="3">
        <v>2.5277777777777777</v>
      </c>
      <c r="AN574" t="s">
        <v>2325</v>
      </c>
      <c r="AO574" t="s">
        <v>2327</v>
      </c>
      <c r="AP574" t="b">
        <v>0</v>
      </c>
      <c r="AQ574" t="b">
        <v>0</v>
      </c>
      <c r="AR574" t="b">
        <v>0</v>
      </c>
    </row>
    <row r="575" spans="1:45" x14ac:dyDescent="0.3">
      <c r="A575" t="s">
        <v>2043</v>
      </c>
      <c r="B575" t="s">
        <v>2043</v>
      </c>
      <c r="C575" t="s">
        <v>2328</v>
      </c>
      <c r="D575" t="s">
        <v>541</v>
      </c>
      <c r="E575" t="s">
        <v>542</v>
      </c>
      <c r="F575" t="s">
        <v>56</v>
      </c>
      <c r="G575">
        <v>14</v>
      </c>
      <c r="H575">
        <v>30.9</v>
      </c>
      <c r="I575">
        <v>12.4</v>
      </c>
      <c r="J575">
        <v>5.8</v>
      </c>
      <c r="K575">
        <v>12.7</v>
      </c>
      <c r="L575">
        <v>4.9000000000000004</v>
      </c>
      <c r="M575">
        <v>45.5</v>
      </c>
      <c r="N575">
        <v>3.8</v>
      </c>
      <c r="O575">
        <v>26.5</v>
      </c>
      <c r="P575" t="s">
        <v>1615</v>
      </c>
      <c r="Q575" t="s">
        <v>733</v>
      </c>
      <c r="R575" t="s">
        <v>2328</v>
      </c>
      <c r="S575" t="s">
        <v>735</v>
      </c>
      <c r="T575">
        <v>11860</v>
      </c>
      <c r="U575">
        <v>16.8</v>
      </c>
      <c r="V575">
        <v>1648</v>
      </c>
      <c r="W575">
        <v>17.100000000000001</v>
      </c>
      <c r="X575">
        <v>968</v>
      </c>
      <c r="Y575">
        <v>48.1</v>
      </c>
      <c r="Z575">
        <v>1057</v>
      </c>
      <c r="AA575">
        <v>53.6</v>
      </c>
      <c r="AB575">
        <v>742</v>
      </c>
      <c r="AC575">
        <v>45.3</v>
      </c>
      <c r="AD575">
        <v>954</v>
      </c>
      <c r="AE575" t="s">
        <v>57</v>
      </c>
      <c r="AF575">
        <v>0</v>
      </c>
      <c r="AG575" t="s">
        <v>2329</v>
      </c>
      <c r="AH575">
        <v>606450</v>
      </c>
      <c r="AI575" t="s">
        <v>542</v>
      </c>
      <c r="AJ575" s="1">
        <v>19080</v>
      </c>
      <c r="AK575">
        <v>17.2</v>
      </c>
      <c r="AL575" s="2">
        <v>0.09</v>
      </c>
      <c r="AM575" s="3">
        <v>2.1590277777777778</v>
      </c>
      <c r="AN575" t="s">
        <v>2328</v>
      </c>
      <c r="AO575" t="s">
        <v>2330</v>
      </c>
      <c r="AP575" t="b">
        <v>0</v>
      </c>
      <c r="AQ575" t="b">
        <v>0</v>
      </c>
      <c r="AR575" t="b">
        <v>0</v>
      </c>
    </row>
    <row r="576" spans="1:45" x14ac:dyDescent="0.3">
      <c r="A576" t="s">
        <v>2043</v>
      </c>
      <c r="B576" t="s">
        <v>2018</v>
      </c>
      <c r="C576" t="s">
        <v>2331</v>
      </c>
      <c r="D576" t="s">
        <v>45</v>
      </c>
      <c r="E576" t="s">
        <v>46</v>
      </c>
      <c r="F576" t="s">
        <v>388</v>
      </c>
      <c r="G576">
        <v>2.7</v>
      </c>
      <c r="H576">
        <v>2</v>
      </c>
      <c r="I576">
        <v>98.8</v>
      </c>
      <c r="J576">
        <v>12.9</v>
      </c>
      <c r="K576">
        <v>4.8</v>
      </c>
      <c r="L576">
        <v>3</v>
      </c>
      <c r="M576">
        <v>42.6</v>
      </c>
      <c r="N576">
        <v>4.2</v>
      </c>
      <c r="O576">
        <v>2.5</v>
      </c>
      <c r="P576" t="s">
        <v>1615</v>
      </c>
      <c r="Q576" t="s">
        <v>572</v>
      </c>
      <c r="R576" t="s">
        <v>2331</v>
      </c>
      <c r="S576" t="s">
        <v>574</v>
      </c>
      <c r="T576">
        <v>5060</v>
      </c>
      <c r="U576">
        <v>34.5</v>
      </c>
      <c r="V576">
        <v>476</v>
      </c>
      <c r="W576">
        <v>31</v>
      </c>
      <c r="X576">
        <v>442</v>
      </c>
      <c r="Y576">
        <v>63.1</v>
      </c>
      <c r="Z576">
        <v>705</v>
      </c>
      <c r="AA576">
        <v>47.5</v>
      </c>
      <c r="AB576">
        <v>852</v>
      </c>
      <c r="AC576">
        <v>70.099999999999994</v>
      </c>
      <c r="AD576">
        <v>405</v>
      </c>
      <c r="AE576" t="s">
        <v>208</v>
      </c>
      <c r="AF576">
        <v>0</v>
      </c>
      <c r="AG576" t="s">
        <v>2332</v>
      </c>
      <c r="AH576">
        <v>963</v>
      </c>
      <c r="AI576" t="s">
        <v>46</v>
      </c>
      <c r="AJ576" s="1">
        <v>2829</v>
      </c>
      <c r="AK576">
        <v>7.9</v>
      </c>
      <c r="AL576" s="2">
        <v>0.06</v>
      </c>
      <c r="AM576" s="3">
        <v>2.3229166666666665</v>
      </c>
      <c r="AN576" t="s">
        <v>2331</v>
      </c>
      <c r="AO576" t="s">
        <v>2333</v>
      </c>
      <c r="AP576" t="b">
        <v>0</v>
      </c>
      <c r="AQ576" t="b">
        <v>0</v>
      </c>
      <c r="AR576" t="b">
        <v>0</v>
      </c>
      <c r="AS576" t="s">
        <v>2334</v>
      </c>
    </row>
    <row r="577" spans="1:45" x14ac:dyDescent="0.3">
      <c r="A577" t="s">
        <v>2043</v>
      </c>
      <c r="B577" t="s">
        <v>2043</v>
      </c>
      <c r="C577" t="s">
        <v>2335</v>
      </c>
      <c r="D577" t="s">
        <v>626</v>
      </c>
      <c r="E577" t="s">
        <v>627</v>
      </c>
      <c r="F577" t="s">
        <v>56</v>
      </c>
      <c r="G577">
        <v>13.5</v>
      </c>
      <c r="H577">
        <v>6.7</v>
      </c>
      <c r="I577">
        <v>25.3</v>
      </c>
      <c r="J577">
        <v>7.7</v>
      </c>
      <c r="K577">
        <v>7.3</v>
      </c>
      <c r="L577">
        <v>12.8</v>
      </c>
      <c r="M577">
        <v>71.7</v>
      </c>
      <c r="N577">
        <v>7.6</v>
      </c>
      <c r="O577">
        <v>31.3</v>
      </c>
      <c r="P577" t="s">
        <v>1615</v>
      </c>
      <c r="Q577" t="s">
        <v>733</v>
      </c>
      <c r="R577" t="s">
        <v>2335</v>
      </c>
      <c r="S577" t="s">
        <v>735</v>
      </c>
      <c r="T577">
        <v>10090</v>
      </c>
      <c r="U577">
        <v>25</v>
      </c>
      <c r="V577">
        <v>1002</v>
      </c>
      <c r="W577">
        <v>19.8</v>
      </c>
      <c r="X577">
        <v>822</v>
      </c>
      <c r="Y577">
        <v>43.8</v>
      </c>
      <c r="Z577">
        <v>1143</v>
      </c>
      <c r="AA577">
        <v>51.6</v>
      </c>
      <c r="AB577">
        <v>780</v>
      </c>
      <c r="AC577">
        <v>44.6</v>
      </c>
      <c r="AD577">
        <v>969</v>
      </c>
      <c r="AE577" t="s">
        <v>57</v>
      </c>
      <c r="AF577">
        <v>0</v>
      </c>
      <c r="AG577" t="s">
        <v>2336</v>
      </c>
      <c r="AH577">
        <v>623361</v>
      </c>
      <c r="AI577" t="s">
        <v>627</v>
      </c>
      <c r="AJ577" s="1">
        <v>22767</v>
      </c>
      <c r="AK577">
        <v>14.5</v>
      </c>
      <c r="AL577" s="2">
        <v>0.1</v>
      </c>
      <c r="AM577" s="3">
        <v>2.4868055555555557</v>
      </c>
      <c r="AN577" t="s">
        <v>2335</v>
      </c>
      <c r="AO577" t="s">
        <v>2337</v>
      </c>
      <c r="AP577" t="b">
        <v>0</v>
      </c>
      <c r="AQ577" t="b">
        <v>0</v>
      </c>
      <c r="AR577" t="b">
        <v>0</v>
      </c>
    </row>
    <row r="578" spans="1:45" x14ac:dyDescent="0.3">
      <c r="A578" t="s">
        <v>2043</v>
      </c>
      <c r="B578" t="s">
        <v>2266</v>
      </c>
      <c r="C578" t="s">
        <v>2338</v>
      </c>
      <c r="D578" t="s">
        <v>2339</v>
      </c>
      <c r="E578" t="s">
        <v>2340</v>
      </c>
      <c r="F578" t="s">
        <v>77</v>
      </c>
      <c r="G578">
        <v>11</v>
      </c>
      <c r="H578">
        <v>16.899999999999999</v>
      </c>
      <c r="I578">
        <v>24.6</v>
      </c>
      <c r="J578">
        <v>1.5</v>
      </c>
      <c r="K578">
        <v>2.4</v>
      </c>
      <c r="L578">
        <v>1.1000000000000001</v>
      </c>
      <c r="M578">
        <v>63.5</v>
      </c>
      <c r="N578">
        <v>72.7</v>
      </c>
      <c r="O578">
        <v>3.1</v>
      </c>
      <c r="P578" t="s">
        <v>1615</v>
      </c>
      <c r="Q578" t="s">
        <v>1068</v>
      </c>
      <c r="R578" t="s">
        <v>2338</v>
      </c>
      <c r="S578" t="s">
        <v>1070</v>
      </c>
      <c r="T578">
        <v>15430</v>
      </c>
      <c r="U578">
        <v>25.1</v>
      </c>
      <c r="V578">
        <v>990</v>
      </c>
      <c r="W578">
        <v>12.6</v>
      </c>
      <c r="X578">
        <v>1345</v>
      </c>
      <c r="Y578">
        <v>19.8</v>
      </c>
      <c r="Z578">
        <v>1681</v>
      </c>
      <c r="AA578">
        <v>28.5</v>
      </c>
      <c r="AB578">
        <v>1218</v>
      </c>
      <c r="AC578">
        <v>20.2</v>
      </c>
      <c r="AD578">
        <v>1860</v>
      </c>
      <c r="AE578" t="s">
        <v>57</v>
      </c>
      <c r="AF578">
        <v>0</v>
      </c>
      <c r="AG578" t="s">
        <v>2341</v>
      </c>
      <c r="AH578">
        <v>621399</v>
      </c>
      <c r="AI578" t="s">
        <v>2340</v>
      </c>
      <c r="AJ578" s="1">
        <v>77128</v>
      </c>
      <c r="AK578">
        <v>13.3</v>
      </c>
      <c r="AL578" s="2">
        <v>0</v>
      </c>
      <c r="AM578" s="3">
        <v>2.4048611111111109</v>
      </c>
      <c r="AN578" t="s">
        <v>2338</v>
      </c>
      <c r="AO578" t="s">
        <v>2342</v>
      </c>
      <c r="AP578" t="b">
        <v>0</v>
      </c>
      <c r="AQ578" t="b">
        <v>0</v>
      </c>
      <c r="AR578" t="b">
        <v>0</v>
      </c>
    </row>
    <row r="579" spans="1:45" x14ac:dyDescent="0.3">
      <c r="A579" t="s">
        <v>2043</v>
      </c>
      <c r="B579" t="s">
        <v>1731</v>
      </c>
      <c r="C579" t="s">
        <v>2343</v>
      </c>
      <c r="D579" t="s">
        <v>54</v>
      </c>
      <c r="E579" t="s">
        <v>55</v>
      </c>
      <c r="F579" t="s">
        <v>56</v>
      </c>
      <c r="G579">
        <v>7.9</v>
      </c>
      <c r="H579">
        <v>6.1</v>
      </c>
      <c r="I579">
        <v>8.5</v>
      </c>
      <c r="J579">
        <v>14.9</v>
      </c>
      <c r="K579">
        <v>54.8</v>
      </c>
      <c r="L579">
        <v>51.1</v>
      </c>
      <c r="M579">
        <v>72.5</v>
      </c>
      <c r="N579">
        <v>6.1</v>
      </c>
      <c r="O579">
        <v>6.5</v>
      </c>
      <c r="P579" t="s">
        <v>1615</v>
      </c>
      <c r="Q579" t="s">
        <v>679</v>
      </c>
      <c r="R579" t="s">
        <v>2343</v>
      </c>
      <c r="S579" t="s">
        <v>680</v>
      </c>
      <c r="T579">
        <v>8270</v>
      </c>
      <c r="U579">
        <v>19.8</v>
      </c>
      <c r="V579">
        <v>1387</v>
      </c>
      <c r="W579">
        <v>16.5</v>
      </c>
      <c r="X579">
        <v>1004</v>
      </c>
      <c r="Y579">
        <v>53.9</v>
      </c>
      <c r="Z579">
        <v>916</v>
      </c>
      <c r="AA579">
        <v>60.9</v>
      </c>
      <c r="AB579">
        <v>627</v>
      </c>
      <c r="AC579">
        <v>84.4</v>
      </c>
      <c r="AD579">
        <v>196</v>
      </c>
      <c r="AE579" t="s">
        <v>57</v>
      </c>
      <c r="AF579">
        <v>0</v>
      </c>
      <c r="AG579" t="s">
        <v>2344</v>
      </c>
      <c r="AH579">
        <v>131342</v>
      </c>
      <c r="AI579" t="s">
        <v>55</v>
      </c>
      <c r="AJ579" s="1">
        <v>14525</v>
      </c>
      <c r="AK579">
        <v>18</v>
      </c>
      <c r="AL579" s="2">
        <v>0.22</v>
      </c>
      <c r="AM579" s="3">
        <v>2.5277777777777777</v>
      </c>
      <c r="AN579" t="s">
        <v>2343</v>
      </c>
      <c r="AO579" t="s">
        <v>2345</v>
      </c>
      <c r="AP579" t="b">
        <v>0</v>
      </c>
      <c r="AQ579" t="b">
        <v>0</v>
      </c>
      <c r="AR579" t="b">
        <v>0</v>
      </c>
      <c r="AS579" t="s">
        <v>2346</v>
      </c>
    </row>
    <row r="580" spans="1:45" x14ac:dyDescent="0.3">
      <c r="A580" t="s">
        <v>2043</v>
      </c>
      <c r="B580" t="s">
        <v>2157</v>
      </c>
      <c r="C580" t="s">
        <v>2347</v>
      </c>
      <c r="D580" t="s">
        <v>2192</v>
      </c>
      <c r="E580" t="s">
        <v>2193</v>
      </c>
      <c r="F580" t="s">
        <v>77</v>
      </c>
      <c r="G580">
        <v>15.2</v>
      </c>
      <c r="H580">
        <v>19.5</v>
      </c>
      <c r="I580">
        <v>7.1</v>
      </c>
      <c r="J580">
        <v>4.2</v>
      </c>
      <c r="K580">
        <v>2.6</v>
      </c>
      <c r="L580">
        <v>2</v>
      </c>
      <c r="M580">
        <v>69.099999999999994</v>
      </c>
      <c r="N580">
        <v>53.4</v>
      </c>
      <c r="O580">
        <v>25.7</v>
      </c>
      <c r="P580" t="s">
        <v>1615</v>
      </c>
      <c r="Q580" t="s">
        <v>733</v>
      </c>
      <c r="R580" t="s">
        <v>2347</v>
      </c>
      <c r="S580" t="s">
        <v>735</v>
      </c>
      <c r="T580">
        <v>10260</v>
      </c>
      <c r="U580">
        <v>24.8</v>
      </c>
      <c r="V580">
        <v>1015</v>
      </c>
      <c r="W580">
        <v>21.1</v>
      </c>
      <c r="X580">
        <v>763</v>
      </c>
      <c r="Y580">
        <v>43.2</v>
      </c>
      <c r="Z580">
        <v>1159</v>
      </c>
      <c r="AA580">
        <v>25.3</v>
      </c>
      <c r="AB580">
        <v>1326</v>
      </c>
      <c r="AC580">
        <v>29.1</v>
      </c>
      <c r="AD580">
        <v>1534</v>
      </c>
      <c r="AE580" t="s">
        <v>57</v>
      </c>
      <c r="AF580">
        <v>0</v>
      </c>
      <c r="AG580" t="s">
        <v>2348</v>
      </c>
      <c r="AH580">
        <v>131536</v>
      </c>
      <c r="AI580" t="s">
        <v>2193</v>
      </c>
      <c r="AJ580" s="1">
        <v>32362</v>
      </c>
      <c r="AK580">
        <v>33.299999999999997</v>
      </c>
      <c r="AL580" s="2">
        <v>0.02</v>
      </c>
      <c r="AM580" s="3">
        <v>2.9375</v>
      </c>
      <c r="AN580" t="s">
        <v>2347</v>
      </c>
      <c r="AO580" t="s">
        <v>2349</v>
      </c>
      <c r="AP580" t="b">
        <v>0</v>
      </c>
      <c r="AQ580" t="b">
        <v>0</v>
      </c>
      <c r="AR580" t="b">
        <v>0</v>
      </c>
    </row>
    <row r="581" spans="1:45" x14ac:dyDescent="0.3">
      <c r="A581" t="s">
        <v>2043</v>
      </c>
      <c r="B581" t="s">
        <v>1746</v>
      </c>
      <c r="C581" t="s">
        <v>2350</v>
      </c>
      <c r="D581" t="s">
        <v>45</v>
      </c>
      <c r="E581" t="s">
        <v>46</v>
      </c>
      <c r="F581" t="s">
        <v>56</v>
      </c>
      <c r="G581">
        <v>18.3</v>
      </c>
      <c r="H581">
        <v>9.4</v>
      </c>
      <c r="I581">
        <v>9.4</v>
      </c>
      <c r="J581">
        <v>18.5</v>
      </c>
      <c r="K581">
        <v>7.6</v>
      </c>
      <c r="L581">
        <v>3.6</v>
      </c>
      <c r="M581">
        <v>53.4</v>
      </c>
      <c r="N581">
        <v>23.3</v>
      </c>
      <c r="O581">
        <v>16.100000000000001</v>
      </c>
      <c r="P581" t="s">
        <v>1615</v>
      </c>
      <c r="Q581" t="s">
        <v>372</v>
      </c>
      <c r="R581" t="s">
        <v>2350</v>
      </c>
      <c r="S581" t="s">
        <v>374</v>
      </c>
      <c r="T581">
        <v>4650</v>
      </c>
      <c r="U581">
        <v>31.1</v>
      </c>
      <c r="V581">
        <v>637</v>
      </c>
      <c r="W581">
        <v>30.5</v>
      </c>
      <c r="X581">
        <v>455</v>
      </c>
      <c r="Y581">
        <v>79.400000000000006</v>
      </c>
      <c r="Z581">
        <v>336</v>
      </c>
      <c r="AA581">
        <v>70.2</v>
      </c>
      <c r="AB581">
        <v>431</v>
      </c>
      <c r="AC581">
        <v>43.2</v>
      </c>
      <c r="AD581">
        <v>1012</v>
      </c>
      <c r="AE581" t="s">
        <v>208</v>
      </c>
      <c r="AF581">
        <v>0</v>
      </c>
      <c r="AG581" t="s">
        <v>2351</v>
      </c>
      <c r="AH581">
        <v>880</v>
      </c>
      <c r="AI581" t="s">
        <v>46</v>
      </c>
      <c r="AJ581" s="1">
        <v>21185</v>
      </c>
      <c r="AK581">
        <v>13</v>
      </c>
      <c r="AL581" s="2">
        <v>0.06</v>
      </c>
      <c r="AM581" s="3">
        <v>2.3229166666666665</v>
      </c>
      <c r="AN581" t="s">
        <v>2350</v>
      </c>
      <c r="AO581" t="s">
        <v>2352</v>
      </c>
      <c r="AP581" t="b">
        <v>0</v>
      </c>
      <c r="AQ581" t="b">
        <v>0</v>
      </c>
      <c r="AR581" t="b">
        <v>0</v>
      </c>
      <c r="AS581" t="s">
        <v>2353</v>
      </c>
    </row>
    <row r="582" spans="1:45" x14ac:dyDescent="0.3">
      <c r="A582" t="s">
        <v>2043</v>
      </c>
      <c r="B582" t="s">
        <v>2043</v>
      </c>
      <c r="C582" t="s">
        <v>2354</v>
      </c>
      <c r="D582" t="s">
        <v>442</v>
      </c>
      <c r="E582" t="s">
        <v>443</v>
      </c>
      <c r="F582" t="s">
        <v>56</v>
      </c>
      <c r="G582">
        <v>8.6</v>
      </c>
      <c r="H582">
        <v>2.4</v>
      </c>
      <c r="I582">
        <v>5.6</v>
      </c>
      <c r="J582">
        <v>37.1</v>
      </c>
      <c r="K582">
        <v>3.3</v>
      </c>
      <c r="L582">
        <v>1.6</v>
      </c>
      <c r="M582">
        <v>87.4</v>
      </c>
      <c r="N582">
        <v>4</v>
      </c>
      <c r="O582">
        <v>19.2</v>
      </c>
      <c r="P582" t="s">
        <v>1615</v>
      </c>
      <c r="Q582" t="s">
        <v>572</v>
      </c>
      <c r="R582" t="s">
        <v>2354</v>
      </c>
      <c r="S582" t="s">
        <v>574</v>
      </c>
      <c r="T582">
        <v>5800</v>
      </c>
      <c r="U582">
        <v>21.9</v>
      </c>
      <c r="V582">
        <v>1242</v>
      </c>
      <c r="W582">
        <v>24.4</v>
      </c>
      <c r="X582">
        <v>634</v>
      </c>
      <c r="Y582">
        <v>79.2</v>
      </c>
      <c r="Z582">
        <v>340</v>
      </c>
      <c r="AA582">
        <v>52.4</v>
      </c>
      <c r="AB582">
        <v>762</v>
      </c>
      <c r="AC582">
        <v>37.4</v>
      </c>
      <c r="AD582">
        <v>1223</v>
      </c>
      <c r="AE582" t="s">
        <v>57</v>
      </c>
      <c r="AF582">
        <v>0</v>
      </c>
      <c r="AG582" t="s">
        <v>2355</v>
      </c>
      <c r="AH582">
        <v>589196</v>
      </c>
      <c r="AI582" t="s">
        <v>443</v>
      </c>
      <c r="AJ582" s="1">
        <v>26142</v>
      </c>
      <c r="AK582">
        <v>26.5</v>
      </c>
      <c r="AL582" s="2">
        <v>0.02</v>
      </c>
      <c r="AM582" s="3">
        <v>2.3229166666666665</v>
      </c>
      <c r="AN582" t="s">
        <v>2354</v>
      </c>
      <c r="AO582" t="s">
        <v>2356</v>
      </c>
      <c r="AP582" t="b">
        <v>0</v>
      </c>
      <c r="AQ582" t="b">
        <v>0</v>
      </c>
      <c r="AR582" t="b">
        <v>0</v>
      </c>
    </row>
    <row r="583" spans="1:45" x14ac:dyDescent="0.3">
      <c r="A583" t="s">
        <v>2043</v>
      </c>
      <c r="B583" t="s">
        <v>2357</v>
      </c>
      <c r="C583" t="s">
        <v>2358</v>
      </c>
      <c r="D583" t="s">
        <v>472</v>
      </c>
      <c r="E583" t="s">
        <v>473</v>
      </c>
      <c r="F583" t="s">
        <v>47</v>
      </c>
      <c r="G583">
        <v>7.1</v>
      </c>
      <c r="H583">
        <v>5.8</v>
      </c>
      <c r="I583">
        <v>84.6</v>
      </c>
      <c r="J583">
        <v>5</v>
      </c>
      <c r="M583">
        <v>69.599999999999994</v>
      </c>
      <c r="N583">
        <v>10</v>
      </c>
      <c r="O583">
        <v>5.0999999999999996</v>
      </c>
      <c r="P583" t="s">
        <v>1615</v>
      </c>
      <c r="Q583" t="s">
        <v>696</v>
      </c>
      <c r="R583" t="s">
        <v>2358</v>
      </c>
      <c r="S583" t="s">
        <v>697</v>
      </c>
      <c r="T583">
        <v>7710</v>
      </c>
      <c r="U583">
        <v>24.7</v>
      </c>
      <c r="V583">
        <v>1032</v>
      </c>
      <c r="W583">
        <v>15.6</v>
      </c>
      <c r="X583">
        <v>1080</v>
      </c>
      <c r="Y583">
        <v>66.599999999999994</v>
      </c>
      <c r="Z583">
        <v>634</v>
      </c>
      <c r="AA583">
        <v>30.2</v>
      </c>
      <c r="AB583">
        <v>1177</v>
      </c>
      <c r="AC583">
        <v>74.400000000000006</v>
      </c>
      <c r="AD583">
        <v>340</v>
      </c>
      <c r="AE583" t="s">
        <v>57</v>
      </c>
      <c r="AF583">
        <v>0</v>
      </c>
      <c r="AG583" t="s">
        <v>2359</v>
      </c>
      <c r="AH583">
        <v>644537</v>
      </c>
      <c r="AI583" t="s">
        <v>473</v>
      </c>
      <c r="AJ583" s="1">
        <v>11428</v>
      </c>
      <c r="AK583">
        <v>10.5</v>
      </c>
      <c r="AL583" s="2">
        <v>0.13</v>
      </c>
      <c r="AM583" s="3">
        <v>2.4458333333333333</v>
      </c>
      <c r="AN583" t="s">
        <v>2358</v>
      </c>
      <c r="AO583" t="s">
        <v>2360</v>
      </c>
      <c r="AP583" t="b">
        <v>0</v>
      </c>
      <c r="AQ583" t="b">
        <v>0</v>
      </c>
      <c r="AR583" t="b">
        <v>0</v>
      </c>
    </row>
    <row r="584" spans="1:45" x14ac:dyDescent="0.3">
      <c r="A584" t="s">
        <v>2043</v>
      </c>
      <c r="B584" t="s">
        <v>1928</v>
      </c>
      <c r="C584" t="s">
        <v>2361</v>
      </c>
      <c r="D584" t="s">
        <v>166</v>
      </c>
      <c r="E584" t="s">
        <v>167</v>
      </c>
      <c r="F584" t="s">
        <v>47</v>
      </c>
      <c r="G584">
        <v>5</v>
      </c>
      <c r="H584">
        <v>2.2999999999999998</v>
      </c>
      <c r="I584">
        <v>60</v>
      </c>
      <c r="J584">
        <v>33.6</v>
      </c>
      <c r="K584">
        <v>2</v>
      </c>
      <c r="L584">
        <v>2.4</v>
      </c>
      <c r="M584">
        <v>28.8</v>
      </c>
      <c r="N584">
        <v>3.8</v>
      </c>
      <c r="O584">
        <v>5.6</v>
      </c>
      <c r="P584" t="s">
        <v>1615</v>
      </c>
      <c r="Q584" t="s">
        <v>572</v>
      </c>
      <c r="R584" t="s">
        <v>2362</v>
      </c>
      <c r="S584" t="s">
        <v>574</v>
      </c>
      <c r="T584">
        <v>5980</v>
      </c>
      <c r="U584">
        <v>29.4</v>
      </c>
      <c r="V584">
        <v>729</v>
      </c>
      <c r="W584">
        <v>26.6</v>
      </c>
      <c r="X584">
        <v>553</v>
      </c>
      <c r="Y584">
        <v>69</v>
      </c>
      <c r="Z584">
        <v>580</v>
      </c>
      <c r="AA584">
        <v>86.6</v>
      </c>
      <c r="AB584">
        <v>191</v>
      </c>
      <c r="AC584">
        <v>25.2</v>
      </c>
      <c r="AD584">
        <v>1698</v>
      </c>
      <c r="AE584" t="s">
        <v>57</v>
      </c>
      <c r="AF584">
        <v>0</v>
      </c>
      <c r="AG584" t="s">
        <v>2363</v>
      </c>
      <c r="AH584">
        <v>128781</v>
      </c>
      <c r="AI584" t="s">
        <v>167</v>
      </c>
      <c r="AJ584" s="1">
        <v>12223</v>
      </c>
      <c r="AK584">
        <v>10.8</v>
      </c>
      <c r="AL584" s="2">
        <v>0.04</v>
      </c>
      <c r="AM584" s="3">
        <v>2.036111111111111</v>
      </c>
      <c r="AN584" t="s">
        <v>2362</v>
      </c>
      <c r="AO584" t="s">
        <v>2364</v>
      </c>
      <c r="AP584" t="b">
        <v>0</v>
      </c>
      <c r="AQ584" t="b">
        <v>0</v>
      </c>
      <c r="AR584" t="b">
        <v>0</v>
      </c>
    </row>
    <row r="585" spans="1:45" x14ac:dyDescent="0.3">
      <c r="A585" t="s">
        <v>2157</v>
      </c>
      <c r="B585" t="s">
        <v>2200</v>
      </c>
      <c r="C585" t="s">
        <v>2365</v>
      </c>
      <c r="D585" t="s">
        <v>887</v>
      </c>
      <c r="E585" t="s">
        <v>888</v>
      </c>
      <c r="F585" t="s">
        <v>56</v>
      </c>
      <c r="G585">
        <v>9.6</v>
      </c>
      <c r="H585">
        <v>13.9</v>
      </c>
      <c r="I585">
        <v>41.5</v>
      </c>
      <c r="J585">
        <v>6.5</v>
      </c>
      <c r="K585">
        <v>2.9</v>
      </c>
      <c r="L585">
        <v>5.3</v>
      </c>
      <c r="M585">
        <v>75.599999999999994</v>
      </c>
      <c r="N585">
        <v>3.2</v>
      </c>
      <c r="O585">
        <v>1.7</v>
      </c>
      <c r="P585" t="s">
        <v>1615</v>
      </c>
      <c r="Q585" t="s">
        <v>1068</v>
      </c>
      <c r="R585" t="s">
        <v>2366</v>
      </c>
      <c r="S585" t="s">
        <v>1070</v>
      </c>
      <c r="T585">
        <v>18820</v>
      </c>
      <c r="U585">
        <v>19.3</v>
      </c>
      <c r="V585">
        <v>1447</v>
      </c>
      <c r="W585">
        <v>10.199999999999999</v>
      </c>
      <c r="X585">
        <v>1630</v>
      </c>
      <c r="Y585">
        <v>8.1</v>
      </c>
      <c r="Z585">
        <v>1880</v>
      </c>
      <c r="AA585">
        <v>25.6</v>
      </c>
      <c r="AB585">
        <v>1313</v>
      </c>
      <c r="AC585">
        <v>22.7</v>
      </c>
      <c r="AD585">
        <v>1783</v>
      </c>
      <c r="AE585" t="s">
        <v>57</v>
      </c>
      <c r="AF585">
        <v>0</v>
      </c>
      <c r="AG585" t="s">
        <v>2367</v>
      </c>
      <c r="AH585">
        <v>724954</v>
      </c>
      <c r="AI585" t="s">
        <v>381</v>
      </c>
      <c r="AJ585" s="1">
        <v>24187</v>
      </c>
      <c r="AK585">
        <v>12.6</v>
      </c>
      <c r="AL585" s="2">
        <v>0.05</v>
      </c>
      <c r="AM585" t="s">
        <v>153</v>
      </c>
      <c r="AN585" t="s">
        <v>2366</v>
      </c>
      <c r="AO585" t="s">
        <v>2368</v>
      </c>
      <c r="AP585" t="b">
        <v>0</v>
      </c>
      <c r="AQ585" t="b">
        <v>0</v>
      </c>
      <c r="AR585" t="b">
        <v>1</v>
      </c>
    </row>
    <row r="586" spans="1:45" x14ac:dyDescent="0.3">
      <c r="A586" t="s">
        <v>2157</v>
      </c>
      <c r="B586" t="s">
        <v>2369</v>
      </c>
      <c r="C586" t="s">
        <v>2370</v>
      </c>
      <c r="D586" t="s">
        <v>2371</v>
      </c>
      <c r="E586" t="s">
        <v>2372</v>
      </c>
      <c r="F586" t="s">
        <v>47</v>
      </c>
      <c r="G586">
        <v>5.8</v>
      </c>
      <c r="H586">
        <v>14.6</v>
      </c>
      <c r="I586">
        <v>12.7</v>
      </c>
      <c r="J586">
        <v>1.7</v>
      </c>
      <c r="K586">
        <v>61.5</v>
      </c>
      <c r="L586">
        <v>66.8</v>
      </c>
      <c r="M586">
        <v>30.6</v>
      </c>
      <c r="N586">
        <v>23.5</v>
      </c>
      <c r="O586">
        <v>3</v>
      </c>
      <c r="P586" t="s">
        <v>1615</v>
      </c>
      <c r="Q586" t="s">
        <v>1475</v>
      </c>
      <c r="R586" t="s">
        <v>2370</v>
      </c>
      <c r="T586">
        <v>1000056</v>
      </c>
      <c r="V586">
        <v>0</v>
      </c>
      <c r="X586">
        <v>0</v>
      </c>
      <c r="Z586">
        <v>0</v>
      </c>
      <c r="AB586">
        <v>0</v>
      </c>
      <c r="AD586">
        <v>0</v>
      </c>
      <c r="AE586" t="s">
        <v>57</v>
      </c>
      <c r="AF586">
        <v>0</v>
      </c>
      <c r="AG586" t="s">
        <v>2373</v>
      </c>
      <c r="AH586">
        <v>623568</v>
      </c>
      <c r="AI586" t="s">
        <v>2374</v>
      </c>
      <c r="AJ586" s="1">
        <v>12427</v>
      </c>
      <c r="AK586">
        <v>13.4</v>
      </c>
      <c r="AL586" s="2">
        <v>0.26</v>
      </c>
      <c r="AM586" s="3">
        <v>2.5687500000000001</v>
      </c>
      <c r="AN586" t="s">
        <v>2370</v>
      </c>
      <c r="AO586" t="s">
        <v>2375</v>
      </c>
      <c r="AP586" t="b">
        <v>0</v>
      </c>
      <c r="AQ586" t="b">
        <v>0</v>
      </c>
      <c r="AR586" t="b">
        <v>0</v>
      </c>
    </row>
    <row r="587" spans="1:45" x14ac:dyDescent="0.3">
      <c r="A587" t="s">
        <v>2157</v>
      </c>
      <c r="B587" t="s">
        <v>2043</v>
      </c>
      <c r="C587" t="s">
        <v>2376</v>
      </c>
      <c r="D587" t="s">
        <v>87</v>
      </c>
      <c r="E587" t="s">
        <v>88</v>
      </c>
      <c r="F587" t="s">
        <v>56</v>
      </c>
      <c r="G587">
        <v>5.0999999999999996</v>
      </c>
      <c r="H587">
        <v>5.4</v>
      </c>
      <c r="I587">
        <v>8.1999999999999993</v>
      </c>
      <c r="J587">
        <v>8.1</v>
      </c>
      <c r="K587">
        <v>45.4</v>
      </c>
      <c r="L587">
        <v>47.9</v>
      </c>
      <c r="M587">
        <v>53.4</v>
      </c>
      <c r="N587">
        <v>7.4</v>
      </c>
      <c r="O587">
        <v>41.7</v>
      </c>
      <c r="P587" t="s">
        <v>1615</v>
      </c>
      <c r="Q587" t="s">
        <v>679</v>
      </c>
      <c r="R587" t="s">
        <v>2377</v>
      </c>
      <c r="S587" t="s">
        <v>680</v>
      </c>
      <c r="T587">
        <v>8360</v>
      </c>
      <c r="U587">
        <v>18.5</v>
      </c>
      <c r="V587">
        <v>1501</v>
      </c>
      <c r="W587">
        <v>17.899999999999999</v>
      </c>
      <c r="X587">
        <v>924</v>
      </c>
      <c r="Y587">
        <v>55.1</v>
      </c>
      <c r="Z587">
        <v>883</v>
      </c>
      <c r="AA587">
        <v>58</v>
      </c>
      <c r="AB587">
        <v>679</v>
      </c>
      <c r="AC587">
        <v>66.3</v>
      </c>
      <c r="AD587">
        <v>459</v>
      </c>
      <c r="AE587" t="s">
        <v>57</v>
      </c>
      <c r="AF587">
        <v>0</v>
      </c>
      <c r="AG587" t="s">
        <v>2378</v>
      </c>
      <c r="AH587">
        <v>622989</v>
      </c>
      <c r="AI587" t="s">
        <v>88</v>
      </c>
      <c r="AJ587" s="1">
        <v>21133</v>
      </c>
      <c r="AK587">
        <v>24.6</v>
      </c>
      <c r="AL587" s="2">
        <v>0.13</v>
      </c>
      <c r="AM587" s="3">
        <v>2.6506944444444445</v>
      </c>
      <c r="AN587" t="s">
        <v>2377</v>
      </c>
      <c r="AO587" t="s">
        <v>2379</v>
      </c>
      <c r="AP587" t="b">
        <v>0</v>
      </c>
      <c r="AQ587" t="b">
        <v>0</v>
      </c>
      <c r="AR587" t="b">
        <v>0</v>
      </c>
      <c r="AS587" t="s">
        <v>2380</v>
      </c>
    </row>
    <row r="588" spans="1:45" x14ac:dyDescent="0.3">
      <c r="A588" t="s">
        <v>2157</v>
      </c>
      <c r="B588" t="s">
        <v>2157</v>
      </c>
      <c r="C588" t="s">
        <v>2381</v>
      </c>
      <c r="D588" t="s">
        <v>166</v>
      </c>
      <c r="E588" t="s">
        <v>167</v>
      </c>
      <c r="F588" t="s">
        <v>56</v>
      </c>
      <c r="G588">
        <v>9.3000000000000007</v>
      </c>
      <c r="H588">
        <v>4.7</v>
      </c>
      <c r="I588">
        <v>45.4</v>
      </c>
      <c r="J588">
        <v>12.4</v>
      </c>
      <c r="K588">
        <v>9</v>
      </c>
      <c r="L588">
        <v>7.3</v>
      </c>
      <c r="M588">
        <v>28.5</v>
      </c>
      <c r="N588">
        <v>4.7</v>
      </c>
      <c r="O588">
        <v>44.3</v>
      </c>
      <c r="P588" t="s">
        <v>1615</v>
      </c>
      <c r="Q588" t="s">
        <v>679</v>
      </c>
      <c r="R588" t="s">
        <v>2381</v>
      </c>
      <c r="S588" t="s">
        <v>680</v>
      </c>
      <c r="T588">
        <v>8430</v>
      </c>
      <c r="U588">
        <v>28.5</v>
      </c>
      <c r="V588">
        <v>773</v>
      </c>
      <c r="W588">
        <v>28.3</v>
      </c>
      <c r="X588">
        <v>508</v>
      </c>
      <c r="Y588">
        <v>43.6</v>
      </c>
      <c r="Z588">
        <v>1148</v>
      </c>
      <c r="AA588">
        <v>57.5</v>
      </c>
      <c r="AB588">
        <v>692</v>
      </c>
      <c r="AC588">
        <v>32.799999999999997</v>
      </c>
      <c r="AD588">
        <v>1392</v>
      </c>
      <c r="AE588" t="s">
        <v>57</v>
      </c>
      <c r="AF588">
        <v>6</v>
      </c>
      <c r="AG588" t="s">
        <v>2382</v>
      </c>
      <c r="AH588">
        <v>131702</v>
      </c>
      <c r="AI588" t="s">
        <v>167</v>
      </c>
      <c r="AJ588" s="1">
        <v>22051</v>
      </c>
      <c r="AK588">
        <v>17.7</v>
      </c>
      <c r="AL588" s="2">
        <v>7.0000000000000007E-2</v>
      </c>
      <c r="AM588" s="3">
        <v>2.0770833333333334</v>
      </c>
      <c r="AN588" t="s">
        <v>2381</v>
      </c>
      <c r="AO588" t="s">
        <v>2383</v>
      </c>
      <c r="AP588" t="b">
        <v>0</v>
      </c>
      <c r="AQ588" t="b">
        <v>0</v>
      </c>
      <c r="AR588" t="b">
        <v>0</v>
      </c>
    </row>
    <row r="589" spans="1:45" x14ac:dyDescent="0.3">
      <c r="A589" t="s">
        <v>2157</v>
      </c>
      <c r="B589" t="s">
        <v>2157</v>
      </c>
      <c r="C589" t="s">
        <v>2384</v>
      </c>
      <c r="D589" t="s">
        <v>166</v>
      </c>
      <c r="E589" t="s">
        <v>167</v>
      </c>
      <c r="F589" t="s">
        <v>56</v>
      </c>
      <c r="G589">
        <v>8.8000000000000007</v>
      </c>
      <c r="H589">
        <v>7.8</v>
      </c>
      <c r="I589">
        <v>46.3</v>
      </c>
      <c r="J589">
        <v>10.7</v>
      </c>
      <c r="K589">
        <v>7.2</v>
      </c>
      <c r="L589">
        <v>9.1999999999999993</v>
      </c>
      <c r="M589">
        <v>32.700000000000003</v>
      </c>
      <c r="N589">
        <v>5</v>
      </c>
      <c r="O589">
        <v>25.7</v>
      </c>
      <c r="P589" t="s">
        <v>1615</v>
      </c>
      <c r="Q589" t="s">
        <v>679</v>
      </c>
      <c r="R589" t="s">
        <v>2384</v>
      </c>
      <c r="S589" t="s">
        <v>680</v>
      </c>
      <c r="T589">
        <v>8440</v>
      </c>
      <c r="U589">
        <v>29.9</v>
      </c>
      <c r="V589">
        <v>691</v>
      </c>
      <c r="W589">
        <v>29.7</v>
      </c>
      <c r="X589">
        <v>480</v>
      </c>
      <c r="Y589">
        <v>34.9</v>
      </c>
      <c r="Z589">
        <v>1329</v>
      </c>
      <c r="AA589">
        <v>71.7</v>
      </c>
      <c r="AB589">
        <v>390</v>
      </c>
      <c r="AC589">
        <v>26</v>
      </c>
      <c r="AD589">
        <v>1661</v>
      </c>
      <c r="AE589" t="s">
        <v>57</v>
      </c>
      <c r="AF589">
        <v>0</v>
      </c>
      <c r="AG589" t="s">
        <v>2385</v>
      </c>
      <c r="AH589">
        <v>131405</v>
      </c>
      <c r="AI589" t="s">
        <v>167</v>
      </c>
      <c r="AJ589" s="1">
        <v>20334</v>
      </c>
      <c r="AK589">
        <v>19.8</v>
      </c>
      <c r="AL589" s="2">
        <v>0.04</v>
      </c>
      <c r="AM589" s="3">
        <v>1.9951388888888888</v>
      </c>
      <c r="AN589" t="s">
        <v>2386</v>
      </c>
      <c r="AO589" t="s">
        <v>2387</v>
      </c>
      <c r="AP589" t="b">
        <v>0</v>
      </c>
      <c r="AQ589" t="b">
        <v>0</v>
      </c>
      <c r="AR589" t="b">
        <v>0</v>
      </c>
    </row>
    <row r="590" spans="1:45" x14ac:dyDescent="0.3">
      <c r="A590" t="s">
        <v>2157</v>
      </c>
      <c r="B590" t="s">
        <v>2004</v>
      </c>
      <c r="C590" t="s">
        <v>2388</v>
      </c>
      <c r="D590" t="s">
        <v>45</v>
      </c>
      <c r="E590" t="s">
        <v>46</v>
      </c>
      <c r="F590" t="s">
        <v>388</v>
      </c>
      <c r="G590">
        <v>1.3</v>
      </c>
      <c r="H590">
        <v>1.9</v>
      </c>
      <c r="I590">
        <v>13.5</v>
      </c>
      <c r="J590">
        <v>41.8</v>
      </c>
      <c r="K590">
        <v>48.5</v>
      </c>
      <c r="L590">
        <v>15</v>
      </c>
      <c r="M590">
        <v>30.6</v>
      </c>
      <c r="N590">
        <v>7.9</v>
      </c>
      <c r="O590">
        <v>1.2</v>
      </c>
      <c r="P590" t="s">
        <v>1615</v>
      </c>
      <c r="Q590" t="s">
        <v>679</v>
      </c>
      <c r="R590" t="s">
        <v>2388</v>
      </c>
      <c r="S590" t="s">
        <v>680</v>
      </c>
      <c r="T590">
        <v>8450</v>
      </c>
      <c r="U590">
        <v>29.9</v>
      </c>
      <c r="V590">
        <v>692</v>
      </c>
      <c r="W590">
        <v>18</v>
      </c>
      <c r="X590">
        <v>915</v>
      </c>
      <c r="Y590">
        <v>41.2</v>
      </c>
      <c r="Z590">
        <v>1196</v>
      </c>
      <c r="AA590">
        <v>67.400000000000006</v>
      </c>
      <c r="AB590">
        <v>489</v>
      </c>
      <c r="AC590">
        <v>63.3</v>
      </c>
      <c r="AD590">
        <v>511</v>
      </c>
      <c r="AE590" t="s">
        <v>49</v>
      </c>
      <c r="AF590">
        <v>0</v>
      </c>
      <c r="AG590" t="s">
        <v>2389</v>
      </c>
      <c r="AH590">
        <v>593486</v>
      </c>
      <c r="AI590" t="s">
        <v>46</v>
      </c>
      <c r="AJ590" s="1">
        <v>3871</v>
      </c>
      <c r="AK590">
        <v>15.5</v>
      </c>
      <c r="AL590" s="2">
        <v>0.08</v>
      </c>
      <c r="AM590" t="s">
        <v>318</v>
      </c>
      <c r="AN590" t="s">
        <v>2388</v>
      </c>
      <c r="AO590" t="s">
        <v>2390</v>
      </c>
      <c r="AP590" t="b">
        <v>0</v>
      </c>
      <c r="AQ590" t="b">
        <v>0</v>
      </c>
      <c r="AR590" t="b">
        <v>0</v>
      </c>
      <c r="AS590" t="s">
        <v>2391</v>
      </c>
    </row>
    <row r="591" spans="1:45" x14ac:dyDescent="0.3">
      <c r="A591" t="s">
        <v>2157</v>
      </c>
      <c r="B591" t="s">
        <v>2157</v>
      </c>
      <c r="C591" t="s">
        <v>2392</v>
      </c>
      <c r="D591" t="s">
        <v>217</v>
      </c>
      <c r="E591" t="s">
        <v>218</v>
      </c>
      <c r="F591" t="s">
        <v>47</v>
      </c>
      <c r="G591">
        <v>3.7</v>
      </c>
      <c r="H591">
        <v>2.5</v>
      </c>
      <c r="I591">
        <v>49.5</v>
      </c>
      <c r="J591">
        <v>5</v>
      </c>
      <c r="K591">
        <v>47.2</v>
      </c>
      <c r="L591">
        <v>45.9</v>
      </c>
      <c r="M591">
        <v>46</v>
      </c>
      <c r="N591">
        <v>1.5</v>
      </c>
      <c r="O591">
        <v>1.4</v>
      </c>
      <c r="P591" t="s">
        <v>1615</v>
      </c>
      <c r="Q591" t="s">
        <v>679</v>
      </c>
      <c r="R591" t="s">
        <v>2392</v>
      </c>
      <c r="S591" t="s">
        <v>680</v>
      </c>
      <c r="T591">
        <v>8490</v>
      </c>
      <c r="U591">
        <v>23.8</v>
      </c>
      <c r="V591">
        <v>1091</v>
      </c>
      <c r="W591">
        <v>25.3</v>
      </c>
      <c r="X591">
        <v>595</v>
      </c>
      <c r="Y591">
        <v>44.4</v>
      </c>
      <c r="Z591">
        <v>1136</v>
      </c>
      <c r="AA591">
        <v>56.6</v>
      </c>
      <c r="AB591">
        <v>707</v>
      </c>
      <c r="AC591">
        <v>92.7</v>
      </c>
      <c r="AD591">
        <v>89</v>
      </c>
      <c r="AE591" t="s">
        <v>57</v>
      </c>
      <c r="AF591">
        <v>0</v>
      </c>
      <c r="AG591" t="s">
        <v>2393</v>
      </c>
      <c r="AH591">
        <v>705635</v>
      </c>
      <c r="AI591" t="s">
        <v>218</v>
      </c>
      <c r="AJ591" s="1">
        <v>16082</v>
      </c>
      <c r="AK591">
        <v>19.5</v>
      </c>
      <c r="AL591" s="2">
        <v>0.26</v>
      </c>
      <c r="AM591" s="3">
        <v>2.2000000000000002</v>
      </c>
      <c r="AN591" t="s">
        <v>2392</v>
      </c>
      <c r="AO591" t="s">
        <v>2394</v>
      </c>
      <c r="AP591" t="b">
        <v>0</v>
      </c>
      <c r="AQ591" t="b">
        <v>0</v>
      </c>
      <c r="AR591" t="b">
        <v>0</v>
      </c>
    </row>
    <row r="592" spans="1:45" x14ac:dyDescent="0.3">
      <c r="A592" t="s">
        <v>2157</v>
      </c>
      <c r="B592" t="s">
        <v>2157</v>
      </c>
      <c r="C592" t="s">
        <v>2395</v>
      </c>
      <c r="D592" t="s">
        <v>45</v>
      </c>
      <c r="E592" t="s">
        <v>46</v>
      </c>
      <c r="F592" t="s">
        <v>56</v>
      </c>
      <c r="G592">
        <v>11.3</v>
      </c>
      <c r="H592">
        <v>14.2</v>
      </c>
      <c r="I592">
        <v>4.3</v>
      </c>
      <c r="J592">
        <v>22.4</v>
      </c>
      <c r="K592">
        <v>4.8</v>
      </c>
      <c r="L592">
        <v>10.4</v>
      </c>
      <c r="M592">
        <v>62.3</v>
      </c>
      <c r="N592">
        <v>18.2</v>
      </c>
      <c r="O592">
        <v>7.2</v>
      </c>
      <c r="P592" t="s">
        <v>1615</v>
      </c>
      <c r="Q592" t="s">
        <v>372</v>
      </c>
      <c r="R592" t="s">
        <v>2395</v>
      </c>
      <c r="S592" t="s">
        <v>374</v>
      </c>
      <c r="T592">
        <v>4320</v>
      </c>
      <c r="U592">
        <v>35</v>
      </c>
      <c r="V592">
        <v>460</v>
      </c>
      <c r="W592">
        <v>25.4</v>
      </c>
      <c r="X592">
        <v>591</v>
      </c>
      <c r="Y592">
        <v>72.599999999999994</v>
      </c>
      <c r="Z592">
        <v>492</v>
      </c>
      <c r="AA592">
        <v>65.2</v>
      </c>
      <c r="AB592">
        <v>542</v>
      </c>
      <c r="AC592">
        <v>57.1</v>
      </c>
      <c r="AD592">
        <v>639</v>
      </c>
      <c r="AE592" t="s">
        <v>208</v>
      </c>
      <c r="AF592">
        <v>0</v>
      </c>
      <c r="AG592" t="s">
        <v>2396</v>
      </c>
      <c r="AH592">
        <v>824</v>
      </c>
      <c r="AI592" t="s">
        <v>46</v>
      </c>
      <c r="AJ592" s="1">
        <v>30821</v>
      </c>
      <c r="AK592">
        <v>15.7</v>
      </c>
      <c r="AL592" s="2">
        <v>7.0000000000000007E-2</v>
      </c>
      <c r="AM592" s="3">
        <v>2.5687500000000001</v>
      </c>
      <c r="AN592" t="s">
        <v>2395</v>
      </c>
      <c r="AO592" t="s">
        <v>2397</v>
      </c>
      <c r="AP592" t="b">
        <v>0</v>
      </c>
      <c r="AQ592" t="b">
        <v>0</v>
      </c>
      <c r="AR592" t="b">
        <v>0</v>
      </c>
      <c r="AS592" t="s">
        <v>2398</v>
      </c>
    </row>
    <row r="593" spans="1:45" x14ac:dyDescent="0.3">
      <c r="A593" t="s">
        <v>2157</v>
      </c>
      <c r="B593" t="s">
        <v>2157</v>
      </c>
      <c r="C593" t="s">
        <v>2399</v>
      </c>
      <c r="D593" t="s">
        <v>1810</v>
      </c>
      <c r="E593" t="s">
        <v>1811</v>
      </c>
      <c r="F593" t="s">
        <v>388</v>
      </c>
      <c r="G593">
        <v>14.6</v>
      </c>
      <c r="H593">
        <v>9.3000000000000007</v>
      </c>
      <c r="I593">
        <v>11.2</v>
      </c>
      <c r="J593">
        <v>4.8</v>
      </c>
      <c r="K593">
        <v>100</v>
      </c>
      <c r="L593">
        <v>27.7</v>
      </c>
      <c r="M593">
        <v>9.3000000000000007</v>
      </c>
      <c r="N593">
        <v>11</v>
      </c>
      <c r="O593">
        <v>1.1000000000000001</v>
      </c>
      <c r="P593" t="s">
        <v>1615</v>
      </c>
      <c r="Q593" t="s">
        <v>1475</v>
      </c>
      <c r="R593" t="s">
        <v>2400</v>
      </c>
      <c r="T593">
        <v>1000187</v>
      </c>
      <c r="V593">
        <v>0</v>
      </c>
      <c r="X593">
        <v>0</v>
      </c>
      <c r="Z593">
        <v>0</v>
      </c>
      <c r="AB593">
        <v>0</v>
      </c>
      <c r="AD593">
        <v>0</v>
      </c>
      <c r="AE593" t="s">
        <v>57</v>
      </c>
      <c r="AF593">
        <v>0</v>
      </c>
      <c r="AG593" t="s">
        <v>2401</v>
      </c>
      <c r="AH593">
        <v>703538</v>
      </c>
      <c r="AI593" t="s">
        <v>1160</v>
      </c>
      <c r="AJ593" s="1">
        <v>8876</v>
      </c>
      <c r="AK593">
        <v>16.600000000000001</v>
      </c>
      <c r="AL593" s="2">
        <v>0</v>
      </c>
      <c r="AM593" s="3">
        <v>2.036111111111111</v>
      </c>
      <c r="AN593" t="s">
        <v>2400</v>
      </c>
      <c r="AO593" t="s">
        <v>2402</v>
      </c>
      <c r="AP593" t="b">
        <v>0</v>
      </c>
      <c r="AQ593" t="b">
        <v>0</v>
      </c>
      <c r="AR593" t="b">
        <v>0</v>
      </c>
    </row>
    <row r="594" spans="1:45" x14ac:dyDescent="0.3">
      <c r="A594" t="s">
        <v>2157</v>
      </c>
      <c r="B594" t="s">
        <v>2266</v>
      </c>
      <c r="C594" t="s">
        <v>2403</v>
      </c>
      <c r="D594" t="s">
        <v>758</v>
      </c>
      <c r="E594" t="s">
        <v>759</v>
      </c>
      <c r="F594" t="s">
        <v>47</v>
      </c>
      <c r="G594">
        <v>9.3000000000000007</v>
      </c>
      <c r="H594">
        <v>3.1</v>
      </c>
      <c r="I594">
        <v>33.6</v>
      </c>
      <c r="J594">
        <v>26</v>
      </c>
      <c r="K594">
        <v>3.2</v>
      </c>
      <c r="L594">
        <v>5.2</v>
      </c>
      <c r="M594">
        <v>43</v>
      </c>
      <c r="N594">
        <v>1.9</v>
      </c>
      <c r="O594">
        <v>1.6</v>
      </c>
      <c r="P594" t="s">
        <v>1615</v>
      </c>
      <c r="Q594" t="s">
        <v>572</v>
      </c>
      <c r="R594" t="s">
        <v>2403</v>
      </c>
      <c r="S594" t="s">
        <v>574</v>
      </c>
      <c r="T594">
        <v>5450</v>
      </c>
      <c r="U594">
        <v>41.1</v>
      </c>
      <c r="V594">
        <v>279</v>
      </c>
      <c r="W594">
        <v>14.4</v>
      </c>
      <c r="X594">
        <v>1164</v>
      </c>
      <c r="Y594">
        <v>75.7</v>
      </c>
      <c r="Z594">
        <v>425</v>
      </c>
      <c r="AA594">
        <v>37.5</v>
      </c>
      <c r="AB594">
        <v>1028</v>
      </c>
      <c r="AC594">
        <v>39.700000000000003</v>
      </c>
      <c r="AD594">
        <v>1126</v>
      </c>
      <c r="AE594" t="s">
        <v>57</v>
      </c>
      <c r="AF594">
        <v>0</v>
      </c>
      <c r="AG594" t="s">
        <v>2404</v>
      </c>
      <c r="AH594">
        <v>621534</v>
      </c>
      <c r="AI594" t="s">
        <v>759</v>
      </c>
      <c r="AJ594" s="1">
        <v>10235</v>
      </c>
      <c r="AK594">
        <v>11.2</v>
      </c>
      <c r="AL594" s="2">
        <v>0.04</v>
      </c>
      <c r="AM594" s="3">
        <v>2.2000000000000002</v>
      </c>
      <c r="AN594" t="s">
        <v>2403</v>
      </c>
      <c r="AO594" t="s">
        <v>2405</v>
      </c>
      <c r="AP594" t="b">
        <v>0</v>
      </c>
      <c r="AQ594" t="b">
        <v>0</v>
      </c>
      <c r="AR594" t="b">
        <v>0</v>
      </c>
    </row>
    <row r="595" spans="1:45" x14ac:dyDescent="0.3">
      <c r="A595" t="s">
        <v>2157</v>
      </c>
      <c r="B595" t="s">
        <v>2157</v>
      </c>
      <c r="C595" t="s">
        <v>2406</v>
      </c>
      <c r="D595" t="s">
        <v>45</v>
      </c>
      <c r="E595" t="s">
        <v>46</v>
      </c>
      <c r="F595" t="s">
        <v>56</v>
      </c>
      <c r="G595">
        <v>8.1999999999999993</v>
      </c>
      <c r="H595">
        <v>6.7</v>
      </c>
      <c r="I595">
        <v>10.3</v>
      </c>
      <c r="J595">
        <v>22.1</v>
      </c>
      <c r="K595">
        <v>10.1</v>
      </c>
      <c r="L595">
        <v>4.5999999999999996</v>
      </c>
      <c r="M595">
        <v>74.900000000000006</v>
      </c>
      <c r="N595">
        <v>13.5</v>
      </c>
      <c r="O595">
        <v>10.199999999999999</v>
      </c>
      <c r="P595" t="s">
        <v>1615</v>
      </c>
      <c r="Q595" t="s">
        <v>696</v>
      </c>
      <c r="R595" t="s">
        <v>2407</v>
      </c>
      <c r="S595" t="s">
        <v>697</v>
      </c>
      <c r="T595">
        <v>6870</v>
      </c>
      <c r="U595">
        <v>32.9</v>
      </c>
      <c r="V595">
        <v>546</v>
      </c>
      <c r="W595">
        <v>20.9</v>
      </c>
      <c r="X595">
        <v>775</v>
      </c>
      <c r="Y595">
        <v>57.4</v>
      </c>
      <c r="Z595">
        <v>832</v>
      </c>
      <c r="AA595">
        <v>66.900000000000006</v>
      </c>
      <c r="AB595">
        <v>503</v>
      </c>
      <c r="AC595">
        <v>57.5</v>
      </c>
      <c r="AD595">
        <v>632</v>
      </c>
      <c r="AE595" t="s">
        <v>208</v>
      </c>
      <c r="AF595">
        <v>0</v>
      </c>
      <c r="AG595" t="s">
        <v>2408</v>
      </c>
      <c r="AH595">
        <v>831</v>
      </c>
      <c r="AI595" t="s">
        <v>46</v>
      </c>
      <c r="AJ595" s="1">
        <v>19332</v>
      </c>
      <c r="AK595">
        <v>13.8</v>
      </c>
      <c r="AL595" s="2">
        <v>0.06</v>
      </c>
      <c r="AM595" s="3">
        <v>2.2409722222222221</v>
      </c>
      <c r="AN595" t="s">
        <v>2407</v>
      </c>
      <c r="AO595" t="s">
        <v>2409</v>
      </c>
      <c r="AP595" t="b">
        <v>0</v>
      </c>
      <c r="AQ595" t="b">
        <v>0</v>
      </c>
      <c r="AR595" t="b">
        <v>0</v>
      </c>
      <c r="AS595" t="s">
        <v>2410</v>
      </c>
    </row>
    <row r="596" spans="1:45" x14ac:dyDescent="0.3">
      <c r="A596" t="s">
        <v>2157</v>
      </c>
      <c r="B596" t="s">
        <v>2200</v>
      </c>
      <c r="C596" t="s">
        <v>2411</v>
      </c>
      <c r="D596" t="s">
        <v>849</v>
      </c>
      <c r="E596" t="s">
        <v>850</v>
      </c>
      <c r="F596" t="s">
        <v>47</v>
      </c>
      <c r="G596">
        <v>6.2</v>
      </c>
      <c r="H596">
        <v>6.5</v>
      </c>
      <c r="I596">
        <v>55.1</v>
      </c>
      <c r="J596">
        <v>4.0999999999999996</v>
      </c>
      <c r="K596">
        <v>11.2</v>
      </c>
      <c r="L596">
        <v>32.1</v>
      </c>
      <c r="M596">
        <v>59.1</v>
      </c>
      <c r="N596">
        <v>3.8</v>
      </c>
      <c r="O596">
        <v>1.2</v>
      </c>
      <c r="P596" t="s">
        <v>1615</v>
      </c>
      <c r="Q596" t="s">
        <v>621</v>
      </c>
      <c r="R596" t="s">
        <v>2411</v>
      </c>
      <c r="S596" t="s">
        <v>622</v>
      </c>
      <c r="T596">
        <v>13510</v>
      </c>
      <c r="U596">
        <v>20.9</v>
      </c>
      <c r="V596">
        <v>1308</v>
      </c>
      <c r="W596">
        <v>19.399999999999999</v>
      </c>
      <c r="X596">
        <v>844</v>
      </c>
      <c r="Y596">
        <v>36.799999999999997</v>
      </c>
      <c r="Z596">
        <v>1282</v>
      </c>
      <c r="AA596">
        <v>21</v>
      </c>
      <c r="AB596">
        <v>1479</v>
      </c>
      <c r="AC596">
        <v>55.1</v>
      </c>
      <c r="AD596">
        <v>671</v>
      </c>
      <c r="AE596" t="s">
        <v>57</v>
      </c>
      <c r="AF596">
        <v>0</v>
      </c>
      <c r="AG596" t="s">
        <v>2412</v>
      </c>
      <c r="AH596">
        <v>656387</v>
      </c>
      <c r="AI596" t="s">
        <v>850</v>
      </c>
      <c r="AJ596" s="1">
        <v>9019</v>
      </c>
      <c r="AK596">
        <v>16.3</v>
      </c>
      <c r="AL596" s="2">
        <v>0.17</v>
      </c>
      <c r="AM596" s="3">
        <v>2.4048611111111109</v>
      </c>
      <c r="AN596" t="s">
        <v>2411</v>
      </c>
      <c r="AO596" t="s">
        <v>2413</v>
      </c>
      <c r="AP596" t="b">
        <v>0</v>
      </c>
      <c r="AQ596" t="b">
        <v>0</v>
      </c>
      <c r="AR596" t="b">
        <v>0</v>
      </c>
    </row>
    <row r="597" spans="1:45" x14ac:dyDescent="0.3">
      <c r="A597" t="s">
        <v>2157</v>
      </c>
      <c r="B597" t="s">
        <v>2043</v>
      </c>
      <c r="C597" t="s">
        <v>2414</v>
      </c>
      <c r="D597" t="s">
        <v>175</v>
      </c>
      <c r="E597" t="s">
        <v>176</v>
      </c>
      <c r="F597" t="s">
        <v>47</v>
      </c>
      <c r="G597">
        <v>6.9</v>
      </c>
      <c r="H597">
        <v>2.2999999999999998</v>
      </c>
      <c r="I597">
        <v>81</v>
      </c>
      <c r="J597">
        <v>6.3</v>
      </c>
      <c r="K597">
        <v>5.8</v>
      </c>
      <c r="L597">
        <v>4.7</v>
      </c>
      <c r="M597">
        <v>49.2</v>
      </c>
      <c r="N597">
        <v>3</v>
      </c>
      <c r="O597">
        <v>2.1</v>
      </c>
      <c r="P597" t="s">
        <v>1615</v>
      </c>
      <c r="Q597" t="s">
        <v>621</v>
      </c>
      <c r="R597" t="s">
        <v>2414</v>
      </c>
      <c r="S597" t="s">
        <v>622</v>
      </c>
      <c r="T597">
        <v>13620</v>
      </c>
      <c r="U597">
        <v>29.4</v>
      </c>
      <c r="V597">
        <v>727</v>
      </c>
      <c r="W597">
        <v>14.8</v>
      </c>
      <c r="X597">
        <v>1138</v>
      </c>
      <c r="Y597">
        <v>28.5</v>
      </c>
      <c r="Z597">
        <v>1483</v>
      </c>
      <c r="AA597">
        <v>48.4</v>
      </c>
      <c r="AB597">
        <v>833</v>
      </c>
      <c r="AC597">
        <v>40.299999999999997</v>
      </c>
      <c r="AD597">
        <v>1106</v>
      </c>
      <c r="AE597" t="s">
        <v>57</v>
      </c>
      <c r="AF597">
        <v>0</v>
      </c>
      <c r="AG597" t="s">
        <v>2415</v>
      </c>
      <c r="AH597">
        <v>131509</v>
      </c>
      <c r="AI597" t="s">
        <v>176</v>
      </c>
      <c r="AJ597" s="1">
        <v>8782</v>
      </c>
      <c r="AK597">
        <v>6.7</v>
      </c>
      <c r="AL597" s="2">
        <v>0.05</v>
      </c>
      <c r="AM597" t="s">
        <v>455</v>
      </c>
      <c r="AN597" t="s">
        <v>2414</v>
      </c>
      <c r="AO597" t="s">
        <v>2416</v>
      </c>
      <c r="AP597" t="b">
        <v>0</v>
      </c>
      <c r="AQ597" t="b">
        <v>0</v>
      </c>
      <c r="AR597" t="b">
        <v>0</v>
      </c>
    </row>
    <row r="598" spans="1:45" x14ac:dyDescent="0.3">
      <c r="A598" t="s">
        <v>2157</v>
      </c>
      <c r="B598" t="s">
        <v>2043</v>
      </c>
      <c r="C598" t="s">
        <v>2417</v>
      </c>
      <c r="D598" t="s">
        <v>649</v>
      </c>
      <c r="E598" t="s">
        <v>650</v>
      </c>
      <c r="F598" t="s">
        <v>77</v>
      </c>
      <c r="G598">
        <v>7.4</v>
      </c>
      <c r="H598">
        <v>11</v>
      </c>
      <c r="I598">
        <v>4.9000000000000004</v>
      </c>
      <c r="J598">
        <v>14.9</v>
      </c>
      <c r="K598">
        <v>6.6</v>
      </c>
      <c r="L598">
        <v>2</v>
      </c>
      <c r="M598">
        <v>92.9</v>
      </c>
      <c r="N598">
        <v>16.7</v>
      </c>
      <c r="O598">
        <v>28.4</v>
      </c>
      <c r="P598" t="s">
        <v>1615</v>
      </c>
      <c r="Q598" t="s">
        <v>696</v>
      </c>
      <c r="R598" t="s">
        <v>2417</v>
      </c>
      <c r="S598" t="s">
        <v>697</v>
      </c>
      <c r="T598">
        <v>7310</v>
      </c>
      <c r="U598">
        <v>22.7</v>
      </c>
      <c r="V598">
        <v>1171</v>
      </c>
      <c r="W598">
        <v>18.7</v>
      </c>
      <c r="X598">
        <v>883</v>
      </c>
      <c r="Y598">
        <v>64.3</v>
      </c>
      <c r="Z598">
        <v>685</v>
      </c>
      <c r="AA598">
        <v>48</v>
      </c>
      <c r="AB598">
        <v>844</v>
      </c>
      <c r="AC598">
        <v>56.6</v>
      </c>
      <c r="AD598">
        <v>652</v>
      </c>
      <c r="AE598" t="s">
        <v>57</v>
      </c>
      <c r="AF598">
        <v>0</v>
      </c>
      <c r="AG598" t="s">
        <v>2418</v>
      </c>
      <c r="AH598">
        <v>623391</v>
      </c>
      <c r="AI598" t="s">
        <v>650</v>
      </c>
      <c r="AJ598" s="1">
        <v>39684</v>
      </c>
      <c r="AK598">
        <v>25.5</v>
      </c>
      <c r="AL598" s="2">
        <v>0.03</v>
      </c>
      <c r="AM598" s="3">
        <v>2.5687500000000001</v>
      </c>
      <c r="AN598" t="s">
        <v>2417</v>
      </c>
      <c r="AO598" t="s">
        <v>2419</v>
      </c>
      <c r="AP598" t="b">
        <v>0</v>
      </c>
      <c r="AQ598" t="b">
        <v>0</v>
      </c>
      <c r="AR598" t="b">
        <v>0</v>
      </c>
    </row>
    <row r="599" spans="1:45" x14ac:dyDescent="0.3">
      <c r="A599" t="s">
        <v>2157</v>
      </c>
      <c r="B599" t="s">
        <v>2200</v>
      </c>
      <c r="C599" t="s">
        <v>2420</v>
      </c>
      <c r="D599" t="s">
        <v>175</v>
      </c>
      <c r="E599" t="s">
        <v>176</v>
      </c>
      <c r="F599" t="s">
        <v>56</v>
      </c>
      <c r="G599">
        <v>8.9</v>
      </c>
      <c r="H599">
        <v>3.7</v>
      </c>
      <c r="I599">
        <v>61.3</v>
      </c>
      <c r="J599">
        <v>7.7</v>
      </c>
      <c r="K599">
        <v>6.1</v>
      </c>
      <c r="L599">
        <v>6.3</v>
      </c>
      <c r="M599">
        <v>52.5</v>
      </c>
      <c r="N599">
        <v>2.9</v>
      </c>
      <c r="O599">
        <v>14.5</v>
      </c>
      <c r="P599" t="s">
        <v>1615</v>
      </c>
      <c r="Q599" t="s">
        <v>679</v>
      </c>
      <c r="R599" t="s">
        <v>2420</v>
      </c>
      <c r="S599" t="s">
        <v>680</v>
      </c>
      <c r="T599">
        <v>9410</v>
      </c>
      <c r="U599">
        <v>34.6</v>
      </c>
      <c r="V599">
        <v>474</v>
      </c>
      <c r="W599">
        <v>21.5</v>
      </c>
      <c r="X599">
        <v>748</v>
      </c>
      <c r="Y599">
        <v>36.4</v>
      </c>
      <c r="Z599">
        <v>1295</v>
      </c>
      <c r="AA599">
        <v>84.9</v>
      </c>
      <c r="AB599">
        <v>210</v>
      </c>
      <c r="AC599">
        <v>37.200000000000003</v>
      </c>
      <c r="AD599">
        <v>1231</v>
      </c>
      <c r="AE599" t="s">
        <v>57</v>
      </c>
      <c r="AF599">
        <v>0</v>
      </c>
      <c r="AG599" t="s">
        <v>2421</v>
      </c>
      <c r="AH599">
        <v>945</v>
      </c>
      <c r="AI599" t="s">
        <v>176</v>
      </c>
      <c r="AJ599" s="1">
        <v>13027</v>
      </c>
      <c r="AK599">
        <v>10</v>
      </c>
      <c r="AL599" s="2">
        <v>7.0000000000000007E-2</v>
      </c>
      <c r="AM599" t="s">
        <v>789</v>
      </c>
      <c r="AN599" t="s">
        <v>2420</v>
      </c>
      <c r="AO599" t="s">
        <v>2422</v>
      </c>
      <c r="AP599" t="b">
        <v>0</v>
      </c>
      <c r="AQ599" t="b">
        <v>0</v>
      </c>
      <c r="AR599" t="b">
        <v>0</v>
      </c>
    </row>
    <row r="600" spans="1:45" x14ac:dyDescent="0.3">
      <c r="A600" t="s">
        <v>2157</v>
      </c>
      <c r="B600" t="s">
        <v>2157</v>
      </c>
      <c r="C600" t="s">
        <v>2423</v>
      </c>
      <c r="D600" t="s">
        <v>45</v>
      </c>
      <c r="E600" t="s">
        <v>46</v>
      </c>
      <c r="F600" t="s">
        <v>56</v>
      </c>
      <c r="G600">
        <v>8.3000000000000007</v>
      </c>
      <c r="H600">
        <v>8.1</v>
      </c>
      <c r="I600">
        <v>9.1999999999999993</v>
      </c>
      <c r="J600">
        <v>13.3</v>
      </c>
      <c r="K600">
        <v>49.9</v>
      </c>
      <c r="L600">
        <v>6.1</v>
      </c>
      <c r="M600">
        <v>66.8</v>
      </c>
      <c r="N600">
        <v>17.3</v>
      </c>
      <c r="O600">
        <v>9.4</v>
      </c>
      <c r="P600" t="s">
        <v>1615</v>
      </c>
      <c r="Q600" t="s">
        <v>696</v>
      </c>
      <c r="R600" t="s">
        <v>2424</v>
      </c>
      <c r="S600" t="s">
        <v>697</v>
      </c>
      <c r="T600">
        <v>7350</v>
      </c>
      <c r="U600">
        <v>34.1</v>
      </c>
      <c r="V600">
        <v>489</v>
      </c>
      <c r="W600">
        <v>20.9</v>
      </c>
      <c r="X600">
        <v>776</v>
      </c>
      <c r="Y600">
        <v>60.8</v>
      </c>
      <c r="Z600">
        <v>763</v>
      </c>
      <c r="AA600">
        <v>65.8</v>
      </c>
      <c r="AB600">
        <v>533</v>
      </c>
      <c r="AC600">
        <v>56</v>
      </c>
      <c r="AD600">
        <v>661</v>
      </c>
      <c r="AE600" t="s">
        <v>208</v>
      </c>
      <c r="AF600">
        <v>0</v>
      </c>
      <c r="AG600" t="s">
        <v>2425</v>
      </c>
      <c r="AH600">
        <v>131533</v>
      </c>
      <c r="AI600" t="s">
        <v>46</v>
      </c>
      <c r="AJ600" s="1">
        <v>21239</v>
      </c>
      <c r="AK600">
        <v>14.1</v>
      </c>
      <c r="AL600" s="2">
        <v>0.05</v>
      </c>
      <c r="AM600" s="3">
        <v>2.2000000000000002</v>
      </c>
      <c r="AN600" t="s">
        <v>2424</v>
      </c>
      <c r="AO600" t="s">
        <v>2426</v>
      </c>
      <c r="AP600" t="b">
        <v>0</v>
      </c>
      <c r="AQ600" t="b">
        <v>0</v>
      </c>
      <c r="AR600" t="b">
        <v>0</v>
      </c>
      <c r="AS600" t="s">
        <v>2427</v>
      </c>
    </row>
    <row r="601" spans="1:45" x14ac:dyDescent="0.3">
      <c r="A601" t="s">
        <v>2157</v>
      </c>
      <c r="B601" t="s">
        <v>2157</v>
      </c>
      <c r="C601" t="s">
        <v>2428</v>
      </c>
      <c r="D601" t="s">
        <v>1939</v>
      </c>
      <c r="E601" t="s">
        <v>1940</v>
      </c>
      <c r="F601" t="s">
        <v>47</v>
      </c>
      <c r="G601">
        <v>4.7</v>
      </c>
      <c r="H601">
        <v>5.0999999999999996</v>
      </c>
      <c r="I601">
        <v>59.7</v>
      </c>
      <c r="J601">
        <v>3</v>
      </c>
      <c r="K601">
        <v>5.0999999999999996</v>
      </c>
      <c r="L601">
        <v>65.3</v>
      </c>
      <c r="M601">
        <v>41.7</v>
      </c>
      <c r="N601">
        <v>4.5999999999999996</v>
      </c>
      <c r="O601">
        <v>1</v>
      </c>
      <c r="P601" t="s">
        <v>1615</v>
      </c>
      <c r="Q601" t="s">
        <v>621</v>
      </c>
      <c r="R601" t="s">
        <v>2428</v>
      </c>
      <c r="S601" t="s">
        <v>622</v>
      </c>
      <c r="T601">
        <v>13870</v>
      </c>
      <c r="U601">
        <v>40.700000000000003</v>
      </c>
      <c r="V601">
        <v>287</v>
      </c>
      <c r="W601">
        <v>10.199999999999999</v>
      </c>
      <c r="X601">
        <v>1626</v>
      </c>
      <c r="Y601">
        <v>17.100000000000001</v>
      </c>
      <c r="Z601">
        <v>1729</v>
      </c>
      <c r="AA601">
        <v>24.9</v>
      </c>
      <c r="AB601">
        <v>1340</v>
      </c>
      <c r="AC601">
        <v>62.1</v>
      </c>
      <c r="AD601">
        <v>539</v>
      </c>
      <c r="AE601" t="s">
        <v>57</v>
      </c>
      <c r="AF601">
        <v>0</v>
      </c>
      <c r="AG601" t="s">
        <v>2429</v>
      </c>
      <c r="AH601">
        <v>685387</v>
      </c>
      <c r="AI601" t="s">
        <v>1940</v>
      </c>
      <c r="AJ601" s="1">
        <v>7060</v>
      </c>
      <c r="AK601">
        <v>10.3</v>
      </c>
      <c r="AL601" s="2">
        <v>0.24</v>
      </c>
      <c r="AM601" s="3">
        <v>2.8145833333333332</v>
      </c>
      <c r="AN601" t="s">
        <v>2428</v>
      </c>
      <c r="AO601" t="s">
        <v>2430</v>
      </c>
      <c r="AP601" t="b">
        <v>0</v>
      </c>
      <c r="AQ601" t="b">
        <v>0</v>
      </c>
      <c r="AR601" t="b">
        <v>0</v>
      </c>
    </row>
    <row r="602" spans="1:45" x14ac:dyDescent="0.3">
      <c r="A602" t="s">
        <v>2157</v>
      </c>
      <c r="B602" t="s">
        <v>2043</v>
      </c>
      <c r="C602" t="s">
        <v>2431</v>
      </c>
      <c r="D602" t="s">
        <v>887</v>
      </c>
      <c r="E602" t="s">
        <v>888</v>
      </c>
      <c r="F602" t="s">
        <v>47</v>
      </c>
      <c r="G602">
        <v>5.6</v>
      </c>
      <c r="H602">
        <v>2.2000000000000002</v>
      </c>
      <c r="I602">
        <v>94.3</v>
      </c>
      <c r="J602">
        <v>6.4</v>
      </c>
      <c r="K602">
        <v>1.9</v>
      </c>
      <c r="L602">
        <v>7.9</v>
      </c>
      <c r="M602">
        <v>31</v>
      </c>
      <c r="N602">
        <v>3.3</v>
      </c>
      <c r="O602">
        <v>1.1000000000000001</v>
      </c>
      <c r="P602" t="s">
        <v>1615</v>
      </c>
      <c r="Q602" t="s">
        <v>621</v>
      </c>
      <c r="R602" t="s">
        <v>2432</v>
      </c>
      <c r="S602" t="s">
        <v>622</v>
      </c>
      <c r="T602">
        <v>13970</v>
      </c>
      <c r="U602">
        <v>25.1</v>
      </c>
      <c r="V602">
        <v>997</v>
      </c>
      <c r="W602">
        <v>11.3</v>
      </c>
      <c r="X602">
        <v>1491</v>
      </c>
      <c r="Y602">
        <v>45.2</v>
      </c>
      <c r="Z602">
        <v>1114</v>
      </c>
      <c r="AA602">
        <v>27.4</v>
      </c>
      <c r="AB602">
        <v>1251</v>
      </c>
      <c r="AC602">
        <v>25.9</v>
      </c>
      <c r="AD602">
        <v>1666</v>
      </c>
      <c r="AE602" t="s">
        <v>57</v>
      </c>
      <c r="AF602">
        <v>0</v>
      </c>
      <c r="AG602" t="s">
        <v>2433</v>
      </c>
      <c r="AH602">
        <v>685375</v>
      </c>
      <c r="AI602" t="s">
        <v>888</v>
      </c>
      <c r="AJ602" s="1">
        <v>6184</v>
      </c>
      <c r="AK602">
        <v>8.5</v>
      </c>
      <c r="AL602" s="2">
        <v>0.06</v>
      </c>
      <c r="AM602" s="3">
        <v>2.5277777777777777</v>
      </c>
      <c r="AN602" t="s">
        <v>2432</v>
      </c>
      <c r="AO602" t="s">
        <v>2434</v>
      </c>
      <c r="AP602" t="b">
        <v>0</v>
      </c>
      <c r="AQ602" t="b">
        <v>0</v>
      </c>
      <c r="AR602" t="b">
        <v>0</v>
      </c>
    </row>
    <row r="603" spans="1:45" x14ac:dyDescent="0.3">
      <c r="A603" t="s">
        <v>2157</v>
      </c>
      <c r="B603" t="s">
        <v>2157</v>
      </c>
      <c r="C603" t="s">
        <v>2435</v>
      </c>
      <c r="D603" t="s">
        <v>504</v>
      </c>
      <c r="E603" t="s">
        <v>505</v>
      </c>
      <c r="F603" t="s">
        <v>56</v>
      </c>
      <c r="G603">
        <v>12.6</v>
      </c>
      <c r="H603">
        <v>13.1</v>
      </c>
      <c r="I603">
        <v>12.3</v>
      </c>
      <c r="J603">
        <v>3.1</v>
      </c>
      <c r="K603">
        <v>31.8</v>
      </c>
      <c r="L603">
        <v>38.799999999999997</v>
      </c>
      <c r="M603">
        <v>43.9</v>
      </c>
      <c r="N603">
        <v>16.2</v>
      </c>
      <c r="O603">
        <v>28.2</v>
      </c>
      <c r="P603" t="s">
        <v>1615</v>
      </c>
      <c r="Q603" t="s">
        <v>733</v>
      </c>
      <c r="R603" t="s">
        <v>2435</v>
      </c>
      <c r="S603" t="s">
        <v>735</v>
      </c>
      <c r="T603">
        <v>11780</v>
      </c>
      <c r="U603">
        <v>19.100000000000001</v>
      </c>
      <c r="V603">
        <v>1461</v>
      </c>
      <c r="W603">
        <v>13.1</v>
      </c>
      <c r="X603">
        <v>1294</v>
      </c>
      <c r="Y603">
        <v>45.6</v>
      </c>
      <c r="Z603">
        <v>1108</v>
      </c>
      <c r="AA603">
        <v>66</v>
      </c>
      <c r="AB603">
        <v>529</v>
      </c>
      <c r="AC603">
        <v>64.900000000000006</v>
      </c>
      <c r="AD603">
        <v>486</v>
      </c>
      <c r="AE603" t="s">
        <v>57</v>
      </c>
      <c r="AF603">
        <v>0</v>
      </c>
      <c r="AG603" t="s">
        <v>2436</v>
      </c>
      <c r="AH603">
        <v>672237</v>
      </c>
      <c r="AI603" t="s">
        <v>505</v>
      </c>
      <c r="AJ603" s="1">
        <v>20801</v>
      </c>
      <c r="AK603">
        <v>18.7</v>
      </c>
      <c r="AL603" s="2">
        <v>0.18</v>
      </c>
      <c r="AM603" s="3">
        <v>1.8722222222222222</v>
      </c>
      <c r="AN603" t="s">
        <v>2435</v>
      </c>
      <c r="AO603" t="s">
        <v>2437</v>
      </c>
      <c r="AP603" t="b">
        <v>0</v>
      </c>
      <c r="AQ603" t="b">
        <v>0</v>
      </c>
      <c r="AR603" t="b">
        <v>0</v>
      </c>
    </row>
    <row r="604" spans="1:45" x14ac:dyDescent="0.3">
      <c r="A604" t="s">
        <v>2157</v>
      </c>
      <c r="B604" t="s">
        <v>2266</v>
      </c>
      <c r="C604" t="s">
        <v>2438</v>
      </c>
      <c r="D604" t="s">
        <v>758</v>
      </c>
      <c r="E604" t="s">
        <v>759</v>
      </c>
      <c r="F604" t="s">
        <v>47</v>
      </c>
      <c r="G604">
        <v>4.7</v>
      </c>
      <c r="H604">
        <v>4.4000000000000004</v>
      </c>
      <c r="I604">
        <v>8.8000000000000007</v>
      </c>
      <c r="J604">
        <v>46.1</v>
      </c>
      <c r="K604">
        <v>5.2</v>
      </c>
      <c r="L604">
        <v>1.8</v>
      </c>
      <c r="M604">
        <v>31.1</v>
      </c>
      <c r="N604">
        <v>3.1</v>
      </c>
      <c r="O604">
        <v>11.8</v>
      </c>
      <c r="P604" t="s">
        <v>1615</v>
      </c>
      <c r="Q604" t="s">
        <v>696</v>
      </c>
      <c r="R604" t="s">
        <v>2439</v>
      </c>
      <c r="S604" t="s">
        <v>697</v>
      </c>
      <c r="T604">
        <v>7800</v>
      </c>
      <c r="U604">
        <v>24.3</v>
      </c>
      <c r="V604">
        <v>1060</v>
      </c>
      <c r="W604">
        <v>11.9</v>
      </c>
      <c r="X604">
        <v>1420</v>
      </c>
      <c r="Y604">
        <v>84.8</v>
      </c>
      <c r="Z604">
        <v>217</v>
      </c>
      <c r="AA604">
        <v>23</v>
      </c>
      <c r="AB604">
        <v>1402</v>
      </c>
      <c r="AC604">
        <v>28.7</v>
      </c>
      <c r="AD604">
        <v>1555</v>
      </c>
      <c r="AE604" t="s">
        <v>57</v>
      </c>
      <c r="AF604">
        <v>0</v>
      </c>
      <c r="AG604" t="s">
        <v>2440</v>
      </c>
      <c r="AH604">
        <v>624714</v>
      </c>
      <c r="AI604" t="s">
        <v>759</v>
      </c>
      <c r="AJ604" s="1">
        <v>10647</v>
      </c>
      <c r="AK604">
        <v>15.1</v>
      </c>
      <c r="AL604" s="2">
        <v>0.01</v>
      </c>
      <c r="AM604" t="s">
        <v>318</v>
      </c>
      <c r="AN604" t="s">
        <v>2439</v>
      </c>
      <c r="AO604" t="s">
        <v>2441</v>
      </c>
      <c r="AP604" t="b">
        <v>0</v>
      </c>
      <c r="AQ604" t="b">
        <v>0</v>
      </c>
      <c r="AR604" t="b">
        <v>0</v>
      </c>
    </row>
    <row r="605" spans="1:45" x14ac:dyDescent="0.3">
      <c r="A605" t="s">
        <v>2157</v>
      </c>
      <c r="B605" t="s">
        <v>2043</v>
      </c>
      <c r="C605" t="s">
        <v>2442</v>
      </c>
      <c r="D605" t="s">
        <v>175</v>
      </c>
      <c r="E605" t="s">
        <v>176</v>
      </c>
      <c r="F605" t="s">
        <v>47</v>
      </c>
      <c r="G605">
        <v>13.8</v>
      </c>
      <c r="H605">
        <v>7.4</v>
      </c>
      <c r="I605">
        <v>12.9</v>
      </c>
      <c r="J605">
        <v>30.5</v>
      </c>
      <c r="K605">
        <v>5.4</v>
      </c>
      <c r="L605">
        <v>7.1</v>
      </c>
      <c r="M605">
        <v>40.4</v>
      </c>
      <c r="N605">
        <v>1.9</v>
      </c>
      <c r="O605">
        <v>1.3</v>
      </c>
      <c r="P605" t="s">
        <v>1615</v>
      </c>
      <c r="Q605" t="s">
        <v>679</v>
      </c>
      <c r="R605" t="s">
        <v>2443</v>
      </c>
      <c r="S605" t="s">
        <v>680</v>
      </c>
      <c r="T605">
        <v>9810</v>
      </c>
      <c r="U605">
        <v>35</v>
      </c>
      <c r="V605">
        <v>463</v>
      </c>
      <c r="W605">
        <v>29.1</v>
      </c>
      <c r="X605">
        <v>493</v>
      </c>
      <c r="Y605">
        <v>29.6</v>
      </c>
      <c r="Z605">
        <v>1455</v>
      </c>
      <c r="AA605">
        <v>84.5</v>
      </c>
      <c r="AB605">
        <v>214</v>
      </c>
      <c r="AC605">
        <v>38.1</v>
      </c>
      <c r="AD605">
        <v>1191</v>
      </c>
      <c r="AE605" t="s">
        <v>57</v>
      </c>
      <c r="AF605">
        <v>0</v>
      </c>
      <c r="AG605" t="s">
        <v>2444</v>
      </c>
      <c r="AH605">
        <v>860</v>
      </c>
      <c r="AI605" t="s">
        <v>176</v>
      </c>
      <c r="AJ605" s="1">
        <v>5834</v>
      </c>
      <c r="AK605">
        <v>15.6</v>
      </c>
      <c r="AL605" s="2">
        <v>7.0000000000000007E-2</v>
      </c>
      <c r="AM605" t="s">
        <v>318</v>
      </c>
      <c r="AN605" t="s">
        <v>2443</v>
      </c>
      <c r="AO605" t="s">
        <v>2445</v>
      </c>
      <c r="AP605" t="b">
        <v>0</v>
      </c>
      <c r="AQ605" t="b">
        <v>0</v>
      </c>
      <c r="AR605" t="b">
        <v>0</v>
      </c>
    </row>
    <row r="606" spans="1:45" x14ac:dyDescent="0.3">
      <c r="A606" t="s">
        <v>2157</v>
      </c>
      <c r="B606" t="s">
        <v>1928</v>
      </c>
      <c r="C606" t="s">
        <v>2446</v>
      </c>
      <c r="D606" t="s">
        <v>139</v>
      </c>
      <c r="E606" t="s">
        <v>140</v>
      </c>
      <c r="F606" t="s">
        <v>77</v>
      </c>
      <c r="G606">
        <v>15.3</v>
      </c>
      <c r="H606">
        <v>7.6</v>
      </c>
      <c r="I606">
        <v>1.8</v>
      </c>
      <c r="J606">
        <v>10.9</v>
      </c>
      <c r="K606">
        <v>32.9</v>
      </c>
      <c r="L606">
        <v>11</v>
      </c>
      <c r="M606">
        <v>62.6</v>
      </c>
      <c r="N606">
        <v>21.6</v>
      </c>
      <c r="O606">
        <v>9.9</v>
      </c>
      <c r="P606" t="s">
        <v>1615</v>
      </c>
      <c r="Q606" t="s">
        <v>372</v>
      </c>
      <c r="R606" t="s">
        <v>2446</v>
      </c>
      <c r="S606" t="s">
        <v>374</v>
      </c>
      <c r="T606">
        <v>4750</v>
      </c>
      <c r="U606">
        <v>33.700000000000003</v>
      </c>
      <c r="V606">
        <v>509</v>
      </c>
      <c r="W606">
        <v>33.799999999999997</v>
      </c>
      <c r="X606">
        <v>384</v>
      </c>
      <c r="Y606">
        <v>57.2</v>
      </c>
      <c r="Z606">
        <v>844</v>
      </c>
      <c r="AA606">
        <v>71.5</v>
      </c>
      <c r="AB606">
        <v>397</v>
      </c>
      <c r="AC606">
        <v>74.3</v>
      </c>
      <c r="AD606">
        <v>344</v>
      </c>
      <c r="AE606" t="s">
        <v>57</v>
      </c>
      <c r="AF606">
        <v>0</v>
      </c>
      <c r="AG606" t="s">
        <v>2447</v>
      </c>
      <c r="AH606">
        <v>623094</v>
      </c>
      <c r="AI606" t="s">
        <v>140</v>
      </c>
      <c r="AJ606" s="1">
        <v>51748</v>
      </c>
      <c r="AK606">
        <v>18.399999999999999</v>
      </c>
      <c r="AL606" s="2">
        <v>0.11</v>
      </c>
      <c r="AM606" s="3">
        <v>2.4458333333333333</v>
      </c>
      <c r="AN606" t="s">
        <v>2446</v>
      </c>
      <c r="AO606" t="s">
        <v>2448</v>
      </c>
      <c r="AP606" t="b">
        <v>0</v>
      </c>
      <c r="AQ606" t="b">
        <v>0</v>
      </c>
      <c r="AR606" t="b">
        <v>0</v>
      </c>
      <c r="AS606" t="s">
        <v>2449</v>
      </c>
    </row>
    <row r="607" spans="1:45" x14ac:dyDescent="0.3">
      <c r="A607" t="s">
        <v>2157</v>
      </c>
      <c r="B607" t="s">
        <v>2043</v>
      </c>
      <c r="C607" t="s">
        <v>2450</v>
      </c>
      <c r="D607" t="s">
        <v>731</v>
      </c>
      <c r="E607" t="s">
        <v>732</v>
      </c>
      <c r="F607" t="s">
        <v>388</v>
      </c>
      <c r="G607">
        <v>5.2</v>
      </c>
      <c r="H607">
        <v>4.2</v>
      </c>
      <c r="I607">
        <v>10.6</v>
      </c>
      <c r="J607">
        <v>11</v>
      </c>
      <c r="K607">
        <v>100</v>
      </c>
      <c r="L607">
        <v>72</v>
      </c>
      <c r="M607">
        <v>8.1999999999999993</v>
      </c>
      <c r="N607">
        <v>10.199999999999999</v>
      </c>
      <c r="O607">
        <v>1</v>
      </c>
      <c r="P607" t="s">
        <v>1615</v>
      </c>
      <c r="Q607" t="s">
        <v>1475</v>
      </c>
      <c r="R607" t="s">
        <v>2450</v>
      </c>
      <c r="T607">
        <v>1000200</v>
      </c>
      <c r="V607">
        <v>0</v>
      </c>
      <c r="X607">
        <v>0</v>
      </c>
      <c r="Z607">
        <v>0</v>
      </c>
      <c r="AB607">
        <v>0</v>
      </c>
      <c r="AD607">
        <v>0</v>
      </c>
      <c r="AE607" t="s">
        <v>57</v>
      </c>
      <c r="AF607">
        <v>0</v>
      </c>
      <c r="AG607" t="s">
        <v>2451</v>
      </c>
      <c r="AH607">
        <v>720451</v>
      </c>
      <c r="AI607" t="s">
        <v>732</v>
      </c>
      <c r="AJ607" s="1">
        <v>1147</v>
      </c>
      <c r="AK607">
        <v>21</v>
      </c>
      <c r="AL607" s="2">
        <v>0.24</v>
      </c>
      <c r="AM607" t="s">
        <v>410</v>
      </c>
      <c r="AN607" t="s">
        <v>2450</v>
      </c>
      <c r="AO607" t="s">
        <v>2452</v>
      </c>
      <c r="AP607" t="b">
        <v>0</v>
      </c>
      <c r="AQ607" t="b">
        <v>0</v>
      </c>
      <c r="AR607" t="b">
        <v>0</v>
      </c>
    </row>
    <row r="608" spans="1:45" x14ac:dyDescent="0.3">
      <c r="A608" t="s">
        <v>2157</v>
      </c>
      <c r="B608" t="s">
        <v>2266</v>
      </c>
      <c r="C608" t="s">
        <v>2453</v>
      </c>
      <c r="D608" t="s">
        <v>2454</v>
      </c>
      <c r="E608" t="s">
        <v>2455</v>
      </c>
      <c r="F608" t="s">
        <v>77</v>
      </c>
      <c r="G608">
        <v>11.5</v>
      </c>
      <c r="H608">
        <v>7.6</v>
      </c>
      <c r="I608">
        <v>1.9</v>
      </c>
      <c r="J608">
        <v>5.3</v>
      </c>
      <c r="K608">
        <v>4.5</v>
      </c>
      <c r="L608">
        <v>1.7</v>
      </c>
      <c r="M608">
        <v>72.8</v>
      </c>
      <c r="N608">
        <v>95.4</v>
      </c>
      <c r="O608">
        <v>7.6</v>
      </c>
      <c r="P608" t="s">
        <v>1615</v>
      </c>
      <c r="Q608" t="s">
        <v>733</v>
      </c>
      <c r="R608" t="s">
        <v>2453</v>
      </c>
      <c r="S608" t="s">
        <v>735</v>
      </c>
      <c r="T608">
        <v>10630</v>
      </c>
      <c r="U608">
        <v>14.9</v>
      </c>
      <c r="V608">
        <v>1759</v>
      </c>
      <c r="W608">
        <v>21.3</v>
      </c>
      <c r="X608">
        <v>754</v>
      </c>
      <c r="Y608">
        <v>42.1</v>
      </c>
      <c r="Z608">
        <v>1180</v>
      </c>
      <c r="AA608">
        <v>37.299999999999997</v>
      </c>
      <c r="AB608">
        <v>1033</v>
      </c>
      <c r="AC608">
        <v>52.3</v>
      </c>
      <c r="AD608">
        <v>732</v>
      </c>
      <c r="AE608" t="s">
        <v>57</v>
      </c>
      <c r="AF608">
        <v>0</v>
      </c>
      <c r="AG608" t="s">
        <v>2456</v>
      </c>
      <c r="AH608">
        <v>131352</v>
      </c>
      <c r="AI608" t="s">
        <v>2455</v>
      </c>
      <c r="AJ608" s="1">
        <v>59744</v>
      </c>
      <c r="AK608">
        <v>35.9</v>
      </c>
      <c r="AL608" s="2">
        <v>0.01</v>
      </c>
      <c r="AM608" s="3">
        <v>2.0770833333333334</v>
      </c>
      <c r="AN608" t="s">
        <v>2453</v>
      </c>
      <c r="AO608" t="s">
        <v>2457</v>
      </c>
      <c r="AP608" t="b">
        <v>0</v>
      </c>
      <c r="AQ608" t="b">
        <v>0</v>
      </c>
      <c r="AR608" t="b">
        <v>0</v>
      </c>
    </row>
    <row r="609" spans="1:45" x14ac:dyDescent="0.3">
      <c r="A609" t="s">
        <v>2157</v>
      </c>
      <c r="B609" t="s">
        <v>2157</v>
      </c>
      <c r="C609" t="s">
        <v>2458</v>
      </c>
      <c r="D609" t="s">
        <v>54</v>
      </c>
      <c r="E609" t="s">
        <v>55</v>
      </c>
      <c r="F609" t="s">
        <v>56</v>
      </c>
      <c r="G609">
        <v>4.4000000000000004</v>
      </c>
      <c r="H609">
        <v>3.7</v>
      </c>
      <c r="I609">
        <v>5.9</v>
      </c>
      <c r="J609">
        <v>5.2</v>
      </c>
      <c r="K609">
        <v>62</v>
      </c>
      <c r="L609">
        <v>100</v>
      </c>
      <c r="M609">
        <v>58.8</v>
      </c>
      <c r="N609">
        <v>10.1</v>
      </c>
      <c r="O609">
        <v>2.1</v>
      </c>
      <c r="P609" t="s">
        <v>1615</v>
      </c>
      <c r="Q609" t="s">
        <v>696</v>
      </c>
      <c r="R609" t="s">
        <v>2458</v>
      </c>
      <c r="S609" t="s">
        <v>697</v>
      </c>
      <c r="T609">
        <v>6650</v>
      </c>
      <c r="U609">
        <v>18.600000000000001</v>
      </c>
      <c r="V609">
        <v>1491</v>
      </c>
      <c r="W609">
        <v>13.4</v>
      </c>
      <c r="X609">
        <v>1263</v>
      </c>
      <c r="Y609">
        <v>67.2</v>
      </c>
      <c r="Z609">
        <v>617</v>
      </c>
      <c r="AA609">
        <v>33.9</v>
      </c>
      <c r="AB609">
        <v>1111</v>
      </c>
      <c r="AC609">
        <v>91.6</v>
      </c>
      <c r="AD609">
        <v>105</v>
      </c>
      <c r="AE609" t="s">
        <v>57</v>
      </c>
      <c r="AF609">
        <v>0</v>
      </c>
      <c r="AG609" t="s">
        <v>2459</v>
      </c>
      <c r="AH609">
        <v>779</v>
      </c>
      <c r="AI609" t="s">
        <v>55</v>
      </c>
      <c r="AJ609" s="1">
        <v>20480</v>
      </c>
      <c r="AK609">
        <v>16.3</v>
      </c>
      <c r="AL609" s="2">
        <v>0.4</v>
      </c>
      <c r="AM609" s="3">
        <v>2.2000000000000002</v>
      </c>
      <c r="AN609" t="s">
        <v>2458</v>
      </c>
      <c r="AO609" t="s">
        <v>2460</v>
      </c>
      <c r="AP609" t="b">
        <v>0</v>
      </c>
      <c r="AQ609" t="b">
        <v>0</v>
      </c>
      <c r="AR609" t="b">
        <v>0</v>
      </c>
      <c r="AS609" t="s">
        <v>2461</v>
      </c>
    </row>
    <row r="610" spans="1:45" x14ac:dyDescent="0.3">
      <c r="A610" t="s">
        <v>2157</v>
      </c>
      <c r="B610" t="s">
        <v>2157</v>
      </c>
      <c r="C610" t="s">
        <v>1227</v>
      </c>
      <c r="D610" t="s">
        <v>54</v>
      </c>
      <c r="E610" t="s">
        <v>55</v>
      </c>
      <c r="F610" t="s">
        <v>56</v>
      </c>
      <c r="G610">
        <v>5.9</v>
      </c>
      <c r="H610">
        <v>4.7</v>
      </c>
      <c r="I610">
        <v>7.9</v>
      </c>
      <c r="J610">
        <v>9.9</v>
      </c>
      <c r="K610">
        <v>74</v>
      </c>
      <c r="L610">
        <v>47.2</v>
      </c>
      <c r="M610">
        <v>58.5</v>
      </c>
      <c r="N610">
        <v>4.8</v>
      </c>
      <c r="O610">
        <v>10.1</v>
      </c>
      <c r="P610" t="s">
        <v>1615</v>
      </c>
      <c r="Q610" t="s">
        <v>572</v>
      </c>
      <c r="R610" t="s">
        <v>1227</v>
      </c>
      <c r="S610" t="s">
        <v>574</v>
      </c>
      <c r="T610">
        <v>5540</v>
      </c>
      <c r="U610">
        <v>19.899999999999999</v>
      </c>
      <c r="V610">
        <v>1381</v>
      </c>
      <c r="W610">
        <v>18.7</v>
      </c>
      <c r="X610">
        <v>882</v>
      </c>
      <c r="Y610">
        <v>82.2</v>
      </c>
      <c r="Z610">
        <v>283</v>
      </c>
      <c r="AA610">
        <v>24.7</v>
      </c>
      <c r="AB610">
        <v>1343</v>
      </c>
      <c r="AC610">
        <v>80.2</v>
      </c>
      <c r="AD610">
        <v>253</v>
      </c>
      <c r="AE610" t="s">
        <v>57</v>
      </c>
      <c r="AF610">
        <v>0</v>
      </c>
      <c r="AG610" t="s">
        <v>1228</v>
      </c>
      <c r="AH610">
        <v>131741</v>
      </c>
      <c r="AI610" t="s">
        <v>55</v>
      </c>
      <c r="AJ610" s="1">
        <v>15020</v>
      </c>
      <c r="AK610">
        <v>16.100000000000001</v>
      </c>
      <c r="AL610" s="2">
        <v>0.13</v>
      </c>
      <c r="AM610" s="3">
        <v>2.3229166666666665</v>
      </c>
      <c r="AN610" t="s">
        <v>1227</v>
      </c>
      <c r="AO610" t="s">
        <v>1229</v>
      </c>
      <c r="AP610" t="b">
        <v>0</v>
      </c>
      <c r="AQ610" t="b">
        <v>0</v>
      </c>
      <c r="AR610" t="b">
        <v>0</v>
      </c>
    </row>
    <row r="611" spans="1:45" x14ac:dyDescent="0.3">
      <c r="A611" t="s">
        <v>2157</v>
      </c>
      <c r="B611" t="s">
        <v>2157</v>
      </c>
      <c r="C611" t="s">
        <v>2462</v>
      </c>
      <c r="D611" t="s">
        <v>442</v>
      </c>
      <c r="E611" t="s">
        <v>443</v>
      </c>
      <c r="F611" t="s">
        <v>56</v>
      </c>
      <c r="G611">
        <v>11.1</v>
      </c>
      <c r="H611">
        <v>2.2999999999999998</v>
      </c>
      <c r="I611">
        <v>4.4000000000000004</v>
      </c>
      <c r="J611">
        <v>32.200000000000003</v>
      </c>
      <c r="K611">
        <v>2.4</v>
      </c>
      <c r="L611">
        <v>1.9</v>
      </c>
      <c r="M611">
        <v>81.599999999999994</v>
      </c>
      <c r="N611">
        <v>4.5</v>
      </c>
      <c r="O611">
        <v>5.7</v>
      </c>
      <c r="P611" t="s">
        <v>1615</v>
      </c>
      <c r="Q611" t="s">
        <v>696</v>
      </c>
      <c r="R611" t="s">
        <v>2462</v>
      </c>
      <c r="S611" t="s">
        <v>697</v>
      </c>
      <c r="T611">
        <v>7430</v>
      </c>
      <c r="U611">
        <v>18.899999999999999</v>
      </c>
      <c r="V611">
        <v>1473</v>
      </c>
      <c r="W611">
        <v>22.5</v>
      </c>
      <c r="X611">
        <v>711</v>
      </c>
      <c r="Y611">
        <v>69.8</v>
      </c>
      <c r="Z611">
        <v>560</v>
      </c>
      <c r="AA611">
        <v>47.2</v>
      </c>
      <c r="AB611">
        <v>860</v>
      </c>
      <c r="AC611">
        <v>34.799999999999997</v>
      </c>
      <c r="AD611">
        <v>1328</v>
      </c>
      <c r="AE611" t="s">
        <v>57</v>
      </c>
      <c r="AF611">
        <v>0</v>
      </c>
      <c r="AG611" t="s">
        <v>2463</v>
      </c>
      <c r="AH611">
        <v>131270</v>
      </c>
      <c r="AI611" t="s">
        <v>443</v>
      </c>
      <c r="AJ611" s="1">
        <v>33972</v>
      </c>
      <c r="AK611">
        <v>22</v>
      </c>
      <c r="AL611" s="2">
        <v>0.01</v>
      </c>
      <c r="AM611" s="3">
        <v>2.4868055555555557</v>
      </c>
      <c r="AN611" t="s">
        <v>2462</v>
      </c>
      <c r="AO611" t="s">
        <v>2464</v>
      </c>
      <c r="AP611" t="b">
        <v>0</v>
      </c>
      <c r="AQ611" t="b">
        <v>0</v>
      </c>
      <c r="AR611" t="b">
        <v>0</v>
      </c>
    </row>
    <row r="612" spans="1:45" x14ac:dyDescent="0.3">
      <c r="A612" t="s">
        <v>2157</v>
      </c>
      <c r="B612" t="s">
        <v>2043</v>
      </c>
      <c r="C612" t="s">
        <v>2465</v>
      </c>
      <c r="D612" t="s">
        <v>1117</v>
      </c>
      <c r="E612" t="s">
        <v>1118</v>
      </c>
      <c r="F612" t="s">
        <v>77</v>
      </c>
      <c r="G612">
        <v>12.8</v>
      </c>
      <c r="H612">
        <v>39.9</v>
      </c>
      <c r="I612">
        <v>12.5</v>
      </c>
      <c r="J612">
        <v>1.3</v>
      </c>
      <c r="K612">
        <v>34.9</v>
      </c>
      <c r="L612">
        <v>5.8</v>
      </c>
      <c r="M612">
        <v>18.100000000000001</v>
      </c>
      <c r="N612">
        <v>14.1</v>
      </c>
      <c r="O612">
        <v>2.4</v>
      </c>
      <c r="P612" t="s">
        <v>1615</v>
      </c>
      <c r="Q612" t="s">
        <v>1068</v>
      </c>
      <c r="R612" t="s">
        <v>2465</v>
      </c>
      <c r="S612" t="s">
        <v>1070</v>
      </c>
      <c r="T612">
        <v>18280</v>
      </c>
      <c r="U612">
        <v>19.600000000000001</v>
      </c>
      <c r="V612">
        <v>1414</v>
      </c>
      <c r="W612">
        <v>9.5</v>
      </c>
      <c r="X612">
        <v>1718</v>
      </c>
      <c r="Y612">
        <v>25.8</v>
      </c>
      <c r="Z612">
        <v>1547</v>
      </c>
      <c r="AA612">
        <v>20.7</v>
      </c>
      <c r="AB612">
        <v>1504</v>
      </c>
      <c r="AC612">
        <v>67</v>
      </c>
      <c r="AD612">
        <v>447</v>
      </c>
      <c r="AE612" t="s">
        <v>57</v>
      </c>
      <c r="AF612">
        <v>0</v>
      </c>
      <c r="AG612" t="s">
        <v>2466</v>
      </c>
      <c r="AH612">
        <v>131541</v>
      </c>
      <c r="AI612" t="s">
        <v>1118</v>
      </c>
      <c r="AJ612" s="1">
        <v>31813</v>
      </c>
      <c r="AK612">
        <v>13.3</v>
      </c>
      <c r="AL612" s="2">
        <v>7.0000000000000007E-2</v>
      </c>
      <c r="AM612" s="3">
        <v>2.1590277777777778</v>
      </c>
      <c r="AN612" t="s">
        <v>2465</v>
      </c>
      <c r="AO612" t="s">
        <v>2467</v>
      </c>
      <c r="AP612" t="b">
        <v>0</v>
      </c>
      <c r="AQ612" t="b">
        <v>0</v>
      </c>
      <c r="AR612" t="b">
        <v>0</v>
      </c>
    </row>
    <row r="613" spans="1:45" x14ac:dyDescent="0.3">
      <c r="A613" t="s">
        <v>2157</v>
      </c>
      <c r="B613" t="s">
        <v>2157</v>
      </c>
      <c r="C613" t="s">
        <v>2468</v>
      </c>
      <c r="D613" t="s">
        <v>649</v>
      </c>
      <c r="E613" t="s">
        <v>650</v>
      </c>
      <c r="F613" t="s">
        <v>77</v>
      </c>
      <c r="G613">
        <v>10.6</v>
      </c>
      <c r="H613">
        <v>7.2</v>
      </c>
      <c r="I613">
        <v>1.1000000000000001</v>
      </c>
      <c r="J613">
        <v>7.3</v>
      </c>
      <c r="L613">
        <v>7.3</v>
      </c>
      <c r="M613">
        <v>91</v>
      </c>
      <c r="N613">
        <v>92.8</v>
      </c>
      <c r="O613">
        <v>3.1</v>
      </c>
      <c r="P613" t="s">
        <v>1615</v>
      </c>
      <c r="Q613" t="s">
        <v>733</v>
      </c>
      <c r="R613" t="s">
        <v>2468</v>
      </c>
      <c r="S613" t="s">
        <v>735</v>
      </c>
      <c r="T613">
        <v>11630</v>
      </c>
      <c r="U613">
        <v>24.7</v>
      </c>
      <c r="V613">
        <v>1031</v>
      </c>
      <c r="W613">
        <v>19.3</v>
      </c>
      <c r="X613">
        <v>853</v>
      </c>
      <c r="Y613">
        <v>50.5</v>
      </c>
      <c r="Z613">
        <v>1010</v>
      </c>
      <c r="AA613">
        <v>26</v>
      </c>
      <c r="AB613">
        <v>1301</v>
      </c>
      <c r="AC613">
        <v>41.4</v>
      </c>
      <c r="AD613">
        <v>1070</v>
      </c>
      <c r="AE613" t="s">
        <v>57</v>
      </c>
      <c r="AF613">
        <v>0</v>
      </c>
      <c r="AG613" t="s">
        <v>2469</v>
      </c>
      <c r="AH613">
        <v>131710</v>
      </c>
      <c r="AI613" t="s">
        <v>650</v>
      </c>
      <c r="AJ613" s="1">
        <v>198816</v>
      </c>
      <c r="AK613">
        <v>114.2</v>
      </c>
      <c r="AL613" s="2">
        <v>0.03</v>
      </c>
      <c r="AM613" s="3">
        <v>3.1013888888888888</v>
      </c>
      <c r="AN613" t="s">
        <v>2468</v>
      </c>
      <c r="AO613" t="s">
        <v>2470</v>
      </c>
      <c r="AP613" t="b">
        <v>0</v>
      </c>
      <c r="AQ613" t="b">
        <v>0</v>
      </c>
      <c r="AR613" t="b">
        <v>0</v>
      </c>
    </row>
    <row r="614" spans="1:45" x14ac:dyDescent="0.3">
      <c r="A614" t="s">
        <v>2157</v>
      </c>
      <c r="B614" t="s">
        <v>2266</v>
      </c>
      <c r="C614" t="s">
        <v>2471</v>
      </c>
      <c r="D614" t="s">
        <v>1511</v>
      </c>
      <c r="E614" t="s">
        <v>1415</v>
      </c>
      <c r="F614" t="s">
        <v>77</v>
      </c>
      <c r="G614">
        <v>15.3</v>
      </c>
      <c r="H614">
        <v>18.7</v>
      </c>
      <c r="I614">
        <v>7.6</v>
      </c>
      <c r="J614">
        <v>2.4</v>
      </c>
      <c r="K614">
        <v>5.5</v>
      </c>
      <c r="L614">
        <v>1.2</v>
      </c>
      <c r="M614">
        <v>61</v>
      </c>
      <c r="N614">
        <v>60.1</v>
      </c>
      <c r="O614">
        <v>6.4</v>
      </c>
      <c r="P614" t="s">
        <v>1615</v>
      </c>
      <c r="Q614" t="s">
        <v>621</v>
      </c>
      <c r="R614" t="s">
        <v>2472</v>
      </c>
      <c r="S614" t="s">
        <v>622</v>
      </c>
      <c r="T614">
        <v>14790</v>
      </c>
      <c r="U614">
        <v>20.9</v>
      </c>
      <c r="V614">
        <v>1311</v>
      </c>
      <c r="W614">
        <v>11.2</v>
      </c>
      <c r="X614">
        <v>1505</v>
      </c>
      <c r="Y614">
        <v>46.8</v>
      </c>
      <c r="Z614">
        <v>1080</v>
      </c>
      <c r="AA614">
        <v>19.100000000000001</v>
      </c>
      <c r="AB614">
        <v>1584</v>
      </c>
      <c r="AC614">
        <v>48.9</v>
      </c>
      <c r="AD614">
        <v>834</v>
      </c>
      <c r="AE614" t="s">
        <v>57</v>
      </c>
      <c r="AF614">
        <v>0</v>
      </c>
      <c r="AG614" t="s">
        <v>2473</v>
      </c>
      <c r="AH614">
        <v>625908</v>
      </c>
      <c r="AI614" t="s">
        <v>1415</v>
      </c>
      <c r="AJ614" s="1">
        <v>52005</v>
      </c>
      <c r="AK614">
        <v>15.9</v>
      </c>
      <c r="AL614" s="2">
        <v>0.01</v>
      </c>
      <c r="AM614" s="3">
        <v>2.6506944444444445</v>
      </c>
      <c r="AN614" t="s">
        <v>2474</v>
      </c>
      <c r="AO614" t="s">
        <v>2475</v>
      </c>
      <c r="AP614" t="b">
        <v>0</v>
      </c>
      <c r="AQ614" t="b">
        <v>0</v>
      </c>
      <c r="AR614" t="b">
        <v>0</v>
      </c>
    </row>
    <row r="615" spans="1:45" x14ac:dyDescent="0.3">
      <c r="A615" t="s">
        <v>2157</v>
      </c>
      <c r="B615" t="s">
        <v>1787</v>
      </c>
      <c r="C615" t="s">
        <v>2476</v>
      </c>
      <c r="D615" t="s">
        <v>45</v>
      </c>
      <c r="E615" t="s">
        <v>46</v>
      </c>
      <c r="F615" t="s">
        <v>56</v>
      </c>
      <c r="G615">
        <v>7.1</v>
      </c>
      <c r="H615">
        <v>8.5</v>
      </c>
      <c r="I615">
        <v>38.799999999999997</v>
      </c>
      <c r="J615">
        <v>12.8</v>
      </c>
      <c r="K615">
        <v>9.6999999999999993</v>
      </c>
      <c r="L615">
        <v>3.2</v>
      </c>
      <c r="M615">
        <v>73.5</v>
      </c>
      <c r="N615">
        <v>8.1999999999999993</v>
      </c>
      <c r="O615">
        <v>8.5</v>
      </c>
      <c r="P615" t="s">
        <v>1615</v>
      </c>
      <c r="Q615" t="s">
        <v>372</v>
      </c>
      <c r="R615" t="s">
        <v>2476</v>
      </c>
      <c r="S615" t="s">
        <v>374</v>
      </c>
      <c r="T615">
        <v>4990</v>
      </c>
      <c r="U615">
        <v>36.4</v>
      </c>
      <c r="V615">
        <v>416</v>
      </c>
      <c r="W615">
        <v>23.2</v>
      </c>
      <c r="X615">
        <v>680</v>
      </c>
      <c r="Y615">
        <v>82.8</v>
      </c>
      <c r="Z615">
        <v>264</v>
      </c>
      <c r="AA615">
        <v>72.7</v>
      </c>
      <c r="AB615">
        <v>376</v>
      </c>
      <c r="AC615">
        <v>36.5</v>
      </c>
      <c r="AD615">
        <v>1260</v>
      </c>
      <c r="AE615" t="s">
        <v>208</v>
      </c>
      <c r="AF615">
        <v>0</v>
      </c>
      <c r="AG615" t="s">
        <v>2477</v>
      </c>
      <c r="AH615">
        <v>594842</v>
      </c>
      <c r="AI615" t="s">
        <v>46</v>
      </c>
      <c r="AJ615" s="1">
        <v>25944</v>
      </c>
      <c r="AK615">
        <v>10.6</v>
      </c>
      <c r="AL615" s="2">
        <v>0.03</v>
      </c>
      <c r="AM615" s="3">
        <v>2.6506944444444445</v>
      </c>
      <c r="AN615" t="s">
        <v>2476</v>
      </c>
      <c r="AO615" t="s">
        <v>2478</v>
      </c>
      <c r="AP615" t="b">
        <v>0</v>
      </c>
      <c r="AQ615" t="b">
        <v>0</v>
      </c>
      <c r="AR615" t="b">
        <v>0</v>
      </c>
      <c r="AS615" t="s">
        <v>2479</v>
      </c>
    </row>
    <row r="616" spans="1:45" x14ac:dyDescent="0.3">
      <c r="A616" t="s">
        <v>2200</v>
      </c>
      <c r="B616" t="s">
        <v>2043</v>
      </c>
      <c r="C616" t="s">
        <v>2480</v>
      </c>
      <c r="D616" t="s">
        <v>87</v>
      </c>
      <c r="E616" t="s">
        <v>88</v>
      </c>
      <c r="F616" t="s">
        <v>56</v>
      </c>
      <c r="G616">
        <v>8.1999999999999993</v>
      </c>
      <c r="H616">
        <v>8.9</v>
      </c>
      <c r="I616">
        <v>5.0999999999999996</v>
      </c>
      <c r="J616">
        <v>12.1</v>
      </c>
      <c r="K616">
        <v>71</v>
      </c>
      <c r="L616">
        <v>41.7</v>
      </c>
      <c r="M616">
        <v>33.9</v>
      </c>
      <c r="N616">
        <v>1.7</v>
      </c>
      <c r="O616">
        <v>2.7</v>
      </c>
      <c r="P616" t="s">
        <v>1615</v>
      </c>
      <c r="Q616" t="s">
        <v>372</v>
      </c>
      <c r="R616" t="s">
        <v>2480</v>
      </c>
      <c r="S616" t="s">
        <v>374</v>
      </c>
      <c r="T616">
        <v>4040</v>
      </c>
      <c r="U616">
        <v>16.8</v>
      </c>
      <c r="V616">
        <v>1636</v>
      </c>
      <c r="W616">
        <v>25.7</v>
      </c>
      <c r="X616">
        <v>582</v>
      </c>
      <c r="Y616">
        <v>97</v>
      </c>
      <c r="Z616">
        <v>28</v>
      </c>
      <c r="AA616">
        <v>21.9</v>
      </c>
      <c r="AB616">
        <v>1440</v>
      </c>
      <c r="AC616">
        <v>80.7</v>
      </c>
      <c r="AD616">
        <v>244</v>
      </c>
      <c r="AE616" t="s">
        <v>57</v>
      </c>
      <c r="AF616">
        <v>0</v>
      </c>
      <c r="AG616" t="s">
        <v>2481</v>
      </c>
      <c r="AH616">
        <v>587658</v>
      </c>
      <c r="AI616" t="s">
        <v>88</v>
      </c>
      <c r="AJ616" s="1">
        <v>23843</v>
      </c>
      <c r="AK616">
        <v>38.4</v>
      </c>
      <c r="AL616" s="2">
        <v>0.14000000000000001</v>
      </c>
      <c r="AM616" s="3">
        <v>3.1833333333333331</v>
      </c>
      <c r="AN616" t="s">
        <v>2482</v>
      </c>
      <c r="AO616" t="s">
        <v>2483</v>
      </c>
      <c r="AP616" t="b">
        <v>0</v>
      </c>
      <c r="AQ616" t="b">
        <v>0</v>
      </c>
      <c r="AR616" t="b">
        <v>0</v>
      </c>
      <c r="AS616" t="s">
        <v>2484</v>
      </c>
    </row>
    <row r="617" spans="1:45" x14ac:dyDescent="0.3">
      <c r="A617" t="s">
        <v>2369</v>
      </c>
      <c r="B617" t="s">
        <v>2369</v>
      </c>
      <c r="C617" t="s">
        <v>2485</v>
      </c>
      <c r="D617" t="s">
        <v>95</v>
      </c>
      <c r="E617" t="s">
        <v>96</v>
      </c>
      <c r="F617" t="s">
        <v>56</v>
      </c>
      <c r="G617">
        <v>5.4</v>
      </c>
      <c r="H617">
        <v>2.4</v>
      </c>
      <c r="I617">
        <v>16.5</v>
      </c>
      <c r="J617">
        <v>28.1</v>
      </c>
      <c r="K617">
        <v>2.2999999999999998</v>
      </c>
      <c r="L617">
        <v>2.2000000000000002</v>
      </c>
      <c r="M617">
        <v>32.4</v>
      </c>
      <c r="N617">
        <v>3.8</v>
      </c>
      <c r="O617">
        <v>1.3</v>
      </c>
      <c r="P617" t="s">
        <v>1615</v>
      </c>
      <c r="Q617" t="s">
        <v>679</v>
      </c>
      <c r="R617" t="s">
        <v>2485</v>
      </c>
      <c r="S617" t="s">
        <v>680</v>
      </c>
      <c r="T617">
        <v>8710</v>
      </c>
      <c r="U617">
        <v>28.1</v>
      </c>
      <c r="V617">
        <v>802</v>
      </c>
      <c r="W617">
        <v>30.6</v>
      </c>
      <c r="X617">
        <v>451</v>
      </c>
      <c r="Y617">
        <v>43.6</v>
      </c>
      <c r="Z617">
        <v>1149</v>
      </c>
      <c r="AA617">
        <v>64.900000000000006</v>
      </c>
      <c r="AB617">
        <v>548</v>
      </c>
      <c r="AC617">
        <v>24.4</v>
      </c>
      <c r="AD617">
        <v>1726</v>
      </c>
      <c r="AE617" t="s">
        <v>57</v>
      </c>
      <c r="AF617">
        <v>0</v>
      </c>
      <c r="AG617" t="s">
        <v>2486</v>
      </c>
      <c r="AH617">
        <v>625653</v>
      </c>
      <c r="AI617" t="s">
        <v>98</v>
      </c>
      <c r="AJ617" s="1">
        <v>33528</v>
      </c>
      <c r="AK617">
        <v>19.8</v>
      </c>
      <c r="AL617" s="2">
        <v>0.02</v>
      </c>
      <c r="AM617">
        <v>0.97083333333333333</v>
      </c>
      <c r="AN617" t="s">
        <v>2485</v>
      </c>
      <c r="AO617" t="s">
        <v>2487</v>
      </c>
      <c r="AP617" t="b">
        <v>0</v>
      </c>
      <c r="AQ617" t="b">
        <v>0</v>
      </c>
      <c r="AR617" t="b">
        <v>0</v>
      </c>
    </row>
    <row r="618" spans="1:45" x14ac:dyDescent="0.3">
      <c r="A618" t="s">
        <v>2200</v>
      </c>
      <c r="B618" t="s">
        <v>2157</v>
      </c>
      <c r="C618" t="s">
        <v>2488</v>
      </c>
      <c r="D618" t="s">
        <v>442</v>
      </c>
      <c r="E618" t="s">
        <v>443</v>
      </c>
      <c r="F618" t="s">
        <v>56</v>
      </c>
      <c r="G618">
        <v>11.6</v>
      </c>
      <c r="H618">
        <v>3</v>
      </c>
      <c r="I618">
        <v>5.4</v>
      </c>
      <c r="J618">
        <v>23.4</v>
      </c>
      <c r="K618">
        <v>3.5</v>
      </c>
      <c r="L618">
        <v>4.5</v>
      </c>
      <c r="M618">
        <v>71.3</v>
      </c>
      <c r="N618">
        <v>5.7</v>
      </c>
      <c r="O618">
        <v>3.6</v>
      </c>
      <c r="P618" t="s">
        <v>1615</v>
      </c>
      <c r="Q618" t="s">
        <v>372</v>
      </c>
      <c r="R618" t="s">
        <v>2489</v>
      </c>
      <c r="S618" t="s">
        <v>374</v>
      </c>
      <c r="T618">
        <v>4130</v>
      </c>
      <c r="U618">
        <v>32.4</v>
      </c>
      <c r="V618">
        <v>572</v>
      </c>
      <c r="W618">
        <v>22.7</v>
      </c>
      <c r="X618">
        <v>697</v>
      </c>
      <c r="Y618">
        <v>81.2</v>
      </c>
      <c r="Z618">
        <v>297</v>
      </c>
      <c r="AA618">
        <v>59</v>
      </c>
      <c r="AB618">
        <v>662</v>
      </c>
      <c r="AC618">
        <v>34.9</v>
      </c>
      <c r="AD618">
        <v>1321</v>
      </c>
      <c r="AE618" t="s">
        <v>57</v>
      </c>
      <c r="AF618">
        <v>0</v>
      </c>
      <c r="AG618" t="s">
        <v>2490</v>
      </c>
      <c r="AH618">
        <v>131466</v>
      </c>
      <c r="AI618" t="s">
        <v>443</v>
      </c>
      <c r="AJ618" s="1">
        <v>26717</v>
      </c>
      <c r="AK618">
        <v>22.2</v>
      </c>
      <c r="AL618" s="2">
        <v>0.03</v>
      </c>
      <c r="AM618" s="3">
        <v>2.4048611111111109</v>
      </c>
      <c r="AN618" t="s">
        <v>2489</v>
      </c>
      <c r="AO618" t="s">
        <v>2491</v>
      </c>
      <c r="AP618" t="b">
        <v>0</v>
      </c>
      <c r="AQ618" t="b">
        <v>0</v>
      </c>
      <c r="AR618" t="b">
        <v>0</v>
      </c>
    </row>
    <row r="619" spans="1:45" x14ac:dyDescent="0.3">
      <c r="A619" t="s">
        <v>2200</v>
      </c>
      <c r="B619" t="s">
        <v>2369</v>
      </c>
      <c r="C619" t="s">
        <v>2492</v>
      </c>
      <c r="D619" t="s">
        <v>1159</v>
      </c>
      <c r="E619" t="s">
        <v>1160</v>
      </c>
      <c r="F619" t="s">
        <v>47</v>
      </c>
      <c r="G619">
        <v>4.8</v>
      </c>
      <c r="H619">
        <v>34.700000000000003</v>
      </c>
      <c r="I619">
        <v>34.9</v>
      </c>
      <c r="J619">
        <v>2</v>
      </c>
      <c r="K619">
        <v>11.7</v>
      </c>
      <c r="L619">
        <v>21.7</v>
      </c>
      <c r="M619">
        <v>40</v>
      </c>
      <c r="N619">
        <v>2.9</v>
      </c>
      <c r="O619">
        <v>1.1000000000000001</v>
      </c>
      <c r="P619" t="s">
        <v>1615</v>
      </c>
      <c r="Q619" t="s">
        <v>1475</v>
      </c>
      <c r="R619" t="s">
        <v>2492</v>
      </c>
      <c r="T619">
        <v>1000265</v>
      </c>
      <c r="V619">
        <v>0</v>
      </c>
      <c r="X619">
        <v>0</v>
      </c>
      <c r="Z619">
        <v>0</v>
      </c>
      <c r="AB619">
        <v>0</v>
      </c>
      <c r="AD619">
        <v>0</v>
      </c>
      <c r="AE619" t="s">
        <v>57</v>
      </c>
      <c r="AF619">
        <v>0</v>
      </c>
      <c r="AG619" t="s">
        <v>2493</v>
      </c>
      <c r="AH619">
        <v>699268</v>
      </c>
      <c r="AI619" t="s">
        <v>1160</v>
      </c>
      <c r="AJ619" s="1">
        <v>8471</v>
      </c>
      <c r="AK619">
        <v>9.9</v>
      </c>
      <c r="AL619" s="2">
        <v>0.11</v>
      </c>
      <c r="AM619" s="3">
        <v>1.83125</v>
      </c>
      <c r="AN619" t="s">
        <v>2492</v>
      </c>
      <c r="AO619" t="s">
        <v>2494</v>
      </c>
      <c r="AP619" t="b">
        <v>0</v>
      </c>
      <c r="AQ619" t="b">
        <v>0</v>
      </c>
      <c r="AR619" t="b">
        <v>0</v>
      </c>
    </row>
    <row r="620" spans="1:45" x14ac:dyDescent="0.3">
      <c r="A620" t="s">
        <v>2200</v>
      </c>
      <c r="B620" t="s">
        <v>2357</v>
      </c>
      <c r="C620" t="s">
        <v>2495</v>
      </c>
      <c r="D620" t="s">
        <v>2227</v>
      </c>
      <c r="E620" t="s">
        <v>2228</v>
      </c>
      <c r="F620" t="s">
        <v>56</v>
      </c>
      <c r="G620">
        <v>7.1</v>
      </c>
      <c r="H620">
        <v>6.6</v>
      </c>
      <c r="I620">
        <v>1</v>
      </c>
      <c r="J620">
        <v>46.9</v>
      </c>
      <c r="M620">
        <v>5.4</v>
      </c>
      <c r="N620">
        <v>25.9</v>
      </c>
      <c r="O620">
        <v>1</v>
      </c>
      <c r="P620" t="s">
        <v>1615</v>
      </c>
      <c r="Q620" t="s">
        <v>1068</v>
      </c>
      <c r="R620" t="s">
        <v>2495</v>
      </c>
      <c r="S620" t="s">
        <v>1070</v>
      </c>
      <c r="T620">
        <v>16290</v>
      </c>
      <c r="U620">
        <v>32.4</v>
      </c>
      <c r="V620">
        <v>573</v>
      </c>
      <c r="W620">
        <v>9.3000000000000007</v>
      </c>
      <c r="X620">
        <v>1745</v>
      </c>
      <c r="Y620">
        <v>22.2</v>
      </c>
      <c r="Z620">
        <v>1632</v>
      </c>
      <c r="AA620">
        <v>16.100000000000001</v>
      </c>
      <c r="AB620">
        <v>1847</v>
      </c>
      <c r="AC620">
        <v>40.799999999999997</v>
      </c>
      <c r="AD620">
        <v>1087</v>
      </c>
      <c r="AE620" t="s">
        <v>57</v>
      </c>
      <c r="AF620">
        <v>0</v>
      </c>
      <c r="AG620" t="s">
        <v>2496</v>
      </c>
      <c r="AH620">
        <v>716978</v>
      </c>
      <c r="AI620" t="s">
        <v>2228</v>
      </c>
      <c r="AJ620" s="1">
        <v>19873</v>
      </c>
      <c r="AK620">
        <v>15</v>
      </c>
      <c r="AL620" s="2">
        <v>0.02</v>
      </c>
      <c r="AM620">
        <v>0.11041666666666666</v>
      </c>
      <c r="AN620" t="s">
        <v>2495</v>
      </c>
      <c r="AO620" t="s">
        <v>2497</v>
      </c>
      <c r="AP620" t="b">
        <v>0</v>
      </c>
      <c r="AQ620" t="b">
        <v>0</v>
      </c>
      <c r="AR620" t="b">
        <v>0</v>
      </c>
    </row>
    <row r="621" spans="1:45" x14ac:dyDescent="0.3">
      <c r="A621" t="s">
        <v>2200</v>
      </c>
      <c r="B621" t="s">
        <v>2369</v>
      </c>
      <c r="C621" t="s">
        <v>2498</v>
      </c>
      <c r="D621" t="s">
        <v>1214</v>
      </c>
      <c r="E621" t="s">
        <v>1215</v>
      </c>
      <c r="F621" t="s">
        <v>388</v>
      </c>
      <c r="G621">
        <v>8.6</v>
      </c>
      <c r="H621">
        <v>15.1</v>
      </c>
      <c r="I621">
        <v>21.4</v>
      </c>
      <c r="J621">
        <v>5.6</v>
      </c>
      <c r="K621">
        <v>65.3</v>
      </c>
      <c r="L621">
        <v>16.3</v>
      </c>
      <c r="M621">
        <v>17.8</v>
      </c>
      <c r="N621">
        <v>8.5</v>
      </c>
      <c r="O621">
        <v>1.5</v>
      </c>
      <c r="P621" t="s">
        <v>1615</v>
      </c>
      <c r="Q621" t="s">
        <v>621</v>
      </c>
      <c r="R621" t="s">
        <v>2498</v>
      </c>
      <c r="S621" t="s">
        <v>622</v>
      </c>
      <c r="T621">
        <v>12880</v>
      </c>
      <c r="U621">
        <v>17.8</v>
      </c>
      <c r="V621">
        <v>1566</v>
      </c>
      <c r="W621">
        <v>11.4</v>
      </c>
      <c r="X621">
        <v>1476</v>
      </c>
      <c r="Y621">
        <v>40.6</v>
      </c>
      <c r="Z621">
        <v>1211</v>
      </c>
      <c r="AA621">
        <v>19.5</v>
      </c>
      <c r="AB621">
        <v>1559</v>
      </c>
      <c r="AC621">
        <v>69.099999999999994</v>
      </c>
      <c r="AD621">
        <v>418</v>
      </c>
      <c r="AE621" t="s">
        <v>57</v>
      </c>
      <c r="AF621">
        <v>0</v>
      </c>
      <c r="AG621" t="s">
        <v>2499</v>
      </c>
      <c r="AH621">
        <v>622986</v>
      </c>
      <c r="AI621" t="s">
        <v>1215</v>
      </c>
      <c r="AJ621" s="1">
        <v>4255</v>
      </c>
      <c r="AK621">
        <v>12.8</v>
      </c>
      <c r="AL621" s="2">
        <v>0.11</v>
      </c>
      <c r="AM621" t="s">
        <v>1244</v>
      </c>
      <c r="AN621" t="s">
        <v>2498</v>
      </c>
      <c r="AO621" t="s">
        <v>2500</v>
      </c>
      <c r="AP621" t="b">
        <v>0</v>
      </c>
      <c r="AQ621" t="b">
        <v>0</v>
      </c>
      <c r="AR621" t="b">
        <v>0</v>
      </c>
    </row>
    <row r="622" spans="1:45" x14ac:dyDescent="0.3">
      <c r="A622" t="s">
        <v>2200</v>
      </c>
      <c r="B622" t="s">
        <v>2369</v>
      </c>
      <c r="C622" t="s">
        <v>2501</v>
      </c>
      <c r="D622" t="s">
        <v>402</v>
      </c>
      <c r="E622" t="s">
        <v>403</v>
      </c>
      <c r="F622" t="s">
        <v>77</v>
      </c>
      <c r="G622">
        <v>14.8</v>
      </c>
      <c r="H622">
        <v>7.6</v>
      </c>
      <c r="I622">
        <v>17.399999999999999</v>
      </c>
      <c r="J622">
        <v>1.5</v>
      </c>
      <c r="K622">
        <v>46.2</v>
      </c>
      <c r="L622">
        <v>4.2</v>
      </c>
      <c r="M622">
        <v>41.9</v>
      </c>
      <c r="N622">
        <v>26.5</v>
      </c>
      <c r="O622">
        <v>1</v>
      </c>
      <c r="P622" t="s">
        <v>1615</v>
      </c>
      <c r="Q622" t="s">
        <v>372</v>
      </c>
      <c r="R622" t="s">
        <v>2502</v>
      </c>
      <c r="S622" t="s">
        <v>374</v>
      </c>
      <c r="T622">
        <v>4390</v>
      </c>
      <c r="U622">
        <v>43.4</v>
      </c>
      <c r="V622">
        <v>233</v>
      </c>
      <c r="W622">
        <v>23.4</v>
      </c>
      <c r="X622">
        <v>672</v>
      </c>
      <c r="Y622">
        <v>65.8</v>
      </c>
      <c r="Z622">
        <v>655</v>
      </c>
      <c r="AA622">
        <v>21.5</v>
      </c>
      <c r="AB622">
        <v>1461</v>
      </c>
      <c r="AC622">
        <v>69.8</v>
      </c>
      <c r="AD622">
        <v>410</v>
      </c>
      <c r="AE622" t="s">
        <v>57</v>
      </c>
      <c r="AF622">
        <v>0</v>
      </c>
      <c r="AG622" t="s">
        <v>2503</v>
      </c>
      <c r="AH622">
        <v>623490</v>
      </c>
      <c r="AI622" t="s">
        <v>403</v>
      </c>
      <c r="AJ622" s="1">
        <v>42107</v>
      </c>
      <c r="AK622">
        <v>10.5</v>
      </c>
      <c r="AL622" s="2">
        <v>0.03</v>
      </c>
      <c r="AM622" t="s">
        <v>455</v>
      </c>
      <c r="AN622" t="s">
        <v>2502</v>
      </c>
      <c r="AO622" t="s">
        <v>2504</v>
      </c>
      <c r="AP622" t="b">
        <v>0</v>
      </c>
      <c r="AQ622" t="b">
        <v>0</v>
      </c>
      <c r="AR622" t="b">
        <v>0</v>
      </c>
    </row>
    <row r="623" spans="1:45" x14ac:dyDescent="0.3">
      <c r="A623" t="s">
        <v>2200</v>
      </c>
      <c r="B623" t="s">
        <v>2157</v>
      </c>
      <c r="C623" t="s">
        <v>2505</v>
      </c>
      <c r="D623" t="s">
        <v>175</v>
      </c>
      <c r="E623" t="s">
        <v>176</v>
      </c>
      <c r="F623" t="s">
        <v>47</v>
      </c>
      <c r="G623">
        <v>10.5</v>
      </c>
      <c r="H623">
        <v>3.9</v>
      </c>
      <c r="I623">
        <v>55.1</v>
      </c>
      <c r="J623">
        <v>12.2</v>
      </c>
      <c r="K623">
        <v>8.1</v>
      </c>
      <c r="L623">
        <v>5.8</v>
      </c>
      <c r="M623">
        <v>31.9</v>
      </c>
      <c r="N623">
        <v>1.8</v>
      </c>
      <c r="O623">
        <v>1.6</v>
      </c>
      <c r="P623" t="s">
        <v>1615</v>
      </c>
      <c r="Q623" t="s">
        <v>733</v>
      </c>
      <c r="R623" t="s">
        <v>2505</v>
      </c>
      <c r="S623" t="s">
        <v>735</v>
      </c>
      <c r="T623">
        <v>10860</v>
      </c>
      <c r="U623">
        <v>35.5</v>
      </c>
      <c r="V623">
        <v>448</v>
      </c>
      <c r="W623">
        <v>18.8</v>
      </c>
      <c r="X623">
        <v>877</v>
      </c>
      <c r="Y623">
        <v>35.4</v>
      </c>
      <c r="Z623">
        <v>1315</v>
      </c>
      <c r="AA623">
        <v>70.400000000000006</v>
      </c>
      <c r="AB623">
        <v>420</v>
      </c>
      <c r="AC623">
        <v>33.6</v>
      </c>
      <c r="AD623">
        <v>1366</v>
      </c>
      <c r="AE623" t="s">
        <v>57</v>
      </c>
      <c r="AF623">
        <v>0</v>
      </c>
      <c r="AG623" t="s">
        <v>2506</v>
      </c>
      <c r="AH623">
        <v>954</v>
      </c>
      <c r="AI623" t="s">
        <v>176</v>
      </c>
      <c r="AJ623" s="1">
        <v>10271</v>
      </c>
      <c r="AK623">
        <v>9.9</v>
      </c>
      <c r="AL623" s="2">
        <v>0.06</v>
      </c>
      <c r="AM623" t="s">
        <v>153</v>
      </c>
      <c r="AN623" t="s">
        <v>2505</v>
      </c>
      <c r="AO623" t="s">
        <v>2507</v>
      </c>
      <c r="AP623" t="b">
        <v>0</v>
      </c>
      <c r="AQ623" t="b">
        <v>0</v>
      </c>
      <c r="AR623" t="b">
        <v>0</v>
      </c>
    </row>
    <row r="624" spans="1:45" x14ac:dyDescent="0.3">
      <c r="A624" t="s">
        <v>2200</v>
      </c>
      <c r="B624" t="s">
        <v>2157</v>
      </c>
      <c r="C624" t="s">
        <v>2508</v>
      </c>
      <c r="D624" t="s">
        <v>619</v>
      </c>
      <c r="E624" t="s">
        <v>620</v>
      </c>
      <c r="F624" t="s">
        <v>56</v>
      </c>
      <c r="G624">
        <v>15.6</v>
      </c>
      <c r="H624">
        <v>24.5</v>
      </c>
      <c r="I624">
        <v>41.3</v>
      </c>
      <c r="J624">
        <v>1.1000000000000001</v>
      </c>
      <c r="K624">
        <v>13.1</v>
      </c>
      <c r="L624">
        <v>5.2</v>
      </c>
      <c r="M624">
        <v>7.5</v>
      </c>
      <c r="N624">
        <v>7.8</v>
      </c>
      <c r="O624">
        <v>1</v>
      </c>
      <c r="P624" t="s">
        <v>1615</v>
      </c>
      <c r="Q624" t="s">
        <v>1475</v>
      </c>
      <c r="R624" t="s">
        <v>2508</v>
      </c>
      <c r="T624">
        <v>1000364</v>
      </c>
      <c r="V624">
        <v>0</v>
      </c>
      <c r="X624">
        <v>0</v>
      </c>
      <c r="Z624">
        <v>0</v>
      </c>
      <c r="AB624">
        <v>0</v>
      </c>
      <c r="AD624">
        <v>0</v>
      </c>
      <c r="AE624" t="s">
        <v>57</v>
      </c>
      <c r="AF624">
        <v>0</v>
      </c>
      <c r="AG624" t="s">
        <v>2509</v>
      </c>
      <c r="AH624">
        <v>621645</v>
      </c>
      <c r="AI624" t="s">
        <v>620</v>
      </c>
      <c r="AJ624" s="1">
        <v>13360</v>
      </c>
      <c r="AK624">
        <v>9.1</v>
      </c>
      <c r="AL624" s="2">
        <v>7.0000000000000007E-2</v>
      </c>
      <c r="AM624" s="3">
        <v>2.8145833333333332</v>
      </c>
      <c r="AN624" t="s">
        <v>2508</v>
      </c>
      <c r="AO624" t="s">
        <v>2510</v>
      </c>
      <c r="AP624" t="b">
        <v>0</v>
      </c>
      <c r="AQ624" t="b">
        <v>0</v>
      </c>
      <c r="AR624" t="b">
        <v>0</v>
      </c>
    </row>
    <row r="625" spans="1:45" x14ac:dyDescent="0.3">
      <c r="A625" t="s">
        <v>2200</v>
      </c>
      <c r="B625" t="s">
        <v>2157</v>
      </c>
      <c r="C625" t="s">
        <v>2511</v>
      </c>
      <c r="D625" t="s">
        <v>2512</v>
      </c>
      <c r="E625" t="s">
        <v>2513</v>
      </c>
      <c r="F625" t="s">
        <v>388</v>
      </c>
      <c r="G625">
        <v>15.1</v>
      </c>
      <c r="H625">
        <v>10.9</v>
      </c>
      <c r="I625">
        <v>10.7</v>
      </c>
      <c r="J625">
        <v>1.7</v>
      </c>
      <c r="K625">
        <v>90.5</v>
      </c>
      <c r="L625">
        <v>19.7</v>
      </c>
      <c r="M625">
        <v>7.1</v>
      </c>
      <c r="N625">
        <v>5.7</v>
      </c>
      <c r="O625">
        <v>1</v>
      </c>
      <c r="P625" t="s">
        <v>1615</v>
      </c>
      <c r="Q625" t="s">
        <v>1475</v>
      </c>
      <c r="R625" t="s">
        <v>2511</v>
      </c>
      <c r="T625">
        <v>1000408</v>
      </c>
      <c r="V625">
        <v>0</v>
      </c>
      <c r="X625">
        <v>0</v>
      </c>
      <c r="Z625">
        <v>0</v>
      </c>
      <c r="AB625">
        <v>0</v>
      </c>
      <c r="AD625">
        <v>0</v>
      </c>
      <c r="AE625" t="s">
        <v>57</v>
      </c>
      <c r="AF625">
        <v>0</v>
      </c>
      <c r="AG625" t="s">
        <v>2514</v>
      </c>
      <c r="AH625">
        <v>718899</v>
      </c>
      <c r="AI625" t="s">
        <v>2513</v>
      </c>
      <c r="AJ625" s="1">
        <v>5768</v>
      </c>
      <c r="AK625">
        <v>15</v>
      </c>
      <c r="AL625" s="2">
        <v>0.11</v>
      </c>
      <c r="AM625" s="3">
        <v>2.4048611111111109</v>
      </c>
      <c r="AN625" t="s">
        <v>2511</v>
      </c>
      <c r="AO625" t="s">
        <v>2515</v>
      </c>
      <c r="AP625" t="b">
        <v>0</v>
      </c>
      <c r="AQ625" t="b">
        <v>0</v>
      </c>
      <c r="AR625" t="b">
        <v>0</v>
      </c>
    </row>
    <row r="626" spans="1:45" x14ac:dyDescent="0.3">
      <c r="A626" t="s">
        <v>2200</v>
      </c>
      <c r="B626" t="s">
        <v>2043</v>
      </c>
      <c r="C626" t="s">
        <v>2516</v>
      </c>
      <c r="D626" t="s">
        <v>45</v>
      </c>
      <c r="E626" t="s">
        <v>46</v>
      </c>
      <c r="F626" t="s">
        <v>77</v>
      </c>
      <c r="G626">
        <v>9.5</v>
      </c>
      <c r="H626">
        <v>6.7</v>
      </c>
      <c r="I626">
        <v>7.8</v>
      </c>
      <c r="J626">
        <v>12.9</v>
      </c>
      <c r="K626">
        <v>8.6</v>
      </c>
      <c r="L626">
        <v>3.8</v>
      </c>
      <c r="M626">
        <v>52.3</v>
      </c>
      <c r="N626">
        <v>18.8</v>
      </c>
      <c r="O626">
        <v>52.8</v>
      </c>
      <c r="P626" t="s">
        <v>1615</v>
      </c>
      <c r="Q626" t="s">
        <v>696</v>
      </c>
      <c r="R626" t="s">
        <v>2516</v>
      </c>
      <c r="S626" t="s">
        <v>697</v>
      </c>
      <c r="T626">
        <v>7000</v>
      </c>
      <c r="U626">
        <v>32.700000000000003</v>
      </c>
      <c r="V626">
        <v>561</v>
      </c>
      <c r="W626">
        <v>21.4</v>
      </c>
      <c r="X626">
        <v>753</v>
      </c>
      <c r="Y626">
        <v>61.1</v>
      </c>
      <c r="Z626">
        <v>751</v>
      </c>
      <c r="AA626">
        <v>63.1</v>
      </c>
      <c r="AB626">
        <v>584</v>
      </c>
      <c r="AC626">
        <v>47.8</v>
      </c>
      <c r="AD626">
        <v>868</v>
      </c>
      <c r="AE626" t="s">
        <v>208</v>
      </c>
      <c r="AF626">
        <v>0</v>
      </c>
      <c r="AG626" t="s">
        <v>2517</v>
      </c>
      <c r="AH626">
        <v>131540</v>
      </c>
      <c r="AI626" t="s">
        <v>46</v>
      </c>
      <c r="AJ626" s="1">
        <v>31112</v>
      </c>
      <c r="AK626">
        <v>19.399999999999999</v>
      </c>
      <c r="AL626" s="2">
        <v>0.04</v>
      </c>
      <c r="AM626" s="3">
        <v>2.3229166666666665</v>
      </c>
      <c r="AN626" t="s">
        <v>2516</v>
      </c>
      <c r="AO626" t="s">
        <v>2518</v>
      </c>
      <c r="AP626" t="b">
        <v>0</v>
      </c>
      <c r="AQ626" t="b">
        <v>0</v>
      </c>
      <c r="AR626" t="b">
        <v>0</v>
      </c>
      <c r="AS626" t="s">
        <v>2519</v>
      </c>
    </row>
    <row r="627" spans="1:45" x14ac:dyDescent="0.3">
      <c r="A627" t="s">
        <v>2200</v>
      </c>
      <c r="B627" t="s">
        <v>2266</v>
      </c>
      <c r="C627" t="s">
        <v>2520</v>
      </c>
      <c r="D627" t="s">
        <v>2521</v>
      </c>
      <c r="E627" t="s">
        <v>2522</v>
      </c>
      <c r="F627" t="s">
        <v>77</v>
      </c>
      <c r="G627">
        <v>11</v>
      </c>
      <c r="H627">
        <v>4.2</v>
      </c>
      <c r="I627">
        <v>3.4</v>
      </c>
      <c r="J627">
        <v>4.5</v>
      </c>
      <c r="K627">
        <v>9.6</v>
      </c>
      <c r="L627">
        <v>7.5</v>
      </c>
      <c r="M627">
        <v>64.8</v>
      </c>
      <c r="N627">
        <v>98.3</v>
      </c>
      <c r="O627">
        <v>3.5</v>
      </c>
      <c r="P627" t="s">
        <v>1615</v>
      </c>
      <c r="Q627" t="s">
        <v>679</v>
      </c>
      <c r="R627" t="s">
        <v>2520</v>
      </c>
      <c r="S627" t="s">
        <v>680</v>
      </c>
      <c r="T627">
        <v>9160</v>
      </c>
      <c r="U627">
        <v>23.4</v>
      </c>
      <c r="V627">
        <v>1122</v>
      </c>
      <c r="W627">
        <v>25.3</v>
      </c>
      <c r="X627">
        <v>596</v>
      </c>
      <c r="Y627">
        <v>39.6</v>
      </c>
      <c r="Z627">
        <v>1226</v>
      </c>
      <c r="AA627">
        <v>52.1</v>
      </c>
      <c r="AB627">
        <v>769</v>
      </c>
      <c r="AC627">
        <v>68.099999999999994</v>
      </c>
      <c r="AD627">
        <v>430</v>
      </c>
      <c r="AE627" t="s">
        <v>57</v>
      </c>
      <c r="AF627">
        <v>0</v>
      </c>
      <c r="AG627" t="s">
        <v>2523</v>
      </c>
      <c r="AH627">
        <v>131749</v>
      </c>
      <c r="AI627" t="s">
        <v>2522</v>
      </c>
      <c r="AJ627" s="1">
        <v>29510</v>
      </c>
      <c r="AK627">
        <v>19.2</v>
      </c>
      <c r="AL627" s="2">
        <v>0.03</v>
      </c>
      <c r="AM627" s="3">
        <v>1.9541666666666666</v>
      </c>
      <c r="AN627" t="s">
        <v>2520</v>
      </c>
      <c r="AO627" t="s">
        <v>2524</v>
      </c>
      <c r="AP627" t="b">
        <v>0</v>
      </c>
      <c r="AQ627" t="b">
        <v>0</v>
      </c>
      <c r="AR627" t="b">
        <v>0</v>
      </c>
    </row>
    <row r="628" spans="1:45" x14ac:dyDescent="0.3">
      <c r="A628" t="s">
        <v>2200</v>
      </c>
      <c r="B628" t="s">
        <v>2157</v>
      </c>
      <c r="C628" t="s">
        <v>2525</v>
      </c>
      <c r="D628" t="s">
        <v>378</v>
      </c>
      <c r="E628" t="s">
        <v>379</v>
      </c>
      <c r="F628" t="s">
        <v>47</v>
      </c>
      <c r="G628">
        <v>5</v>
      </c>
      <c r="H628">
        <v>2.7</v>
      </c>
      <c r="I628">
        <v>96.7</v>
      </c>
      <c r="J628">
        <v>1.7</v>
      </c>
      <c r="K628">
        <v>3</v>
      </c>
      <c r="L628">
        <v>16.600000000000001</v>
      </c>
      <c r="M628">
        <v>19.100000000000001</v>
      </c>
      <c r="N628">
        <v>1.8</v>
      </c>
      <c r="O628">
        <v>1</v>
      </c>
      <c r="P628" t="s">
        <v>1615</v>
      </c>
      <c r="Q628" t="s">
        <v>1068</v>
      </c>
      <c r="R628" t="s">
        <v>2525</v>
      </c>
      <c r="S628" t="s">
        <v>1070</v>
      </c>
      <c r="T628">
        <v>17530</v>
      </c>
      <c r="U628">
        <v>26.8</v>
      </c>
      <c r="V628">
        <v>883</v>
      </c>
      <c r="W628">
        <v>16.100000000000001</v>
      </c>
      <c r="X628">
        <v>1043</v>
      </c>
      <c r="Y628">
        <v>17.600000000000001</v>
      </c>
      <c r="Z628">
        <v>1718</v>
      </c>
      <c r="AA628">
        <v>39.1</v>
      </c>
      <c r="AB628">
        <v>1006</v>
      </c>
      <c r="AC628">
        <v>38</v>
      </c>
      <c r="AD628">
        <v>1198</v>
      </c>
      <c r="AE628" t="s">
        <v>57</v>
      </c>
      <c r="AF628">
        <v>0</v>
      </c>
      <c r="AG628" t="s">
        <v>2526</v>
      </c>
      <c r="AH628">
        <v>131671</v>
      </c>
      <c r="AI628" t="s">
        <v>381</v>
      </c>
      <c r="AJ628" s="1">
        <v>9664</v>
      </c>
      <c r="AK628">
        <v>9.3000000000000007</v>
      </c>
      <c r="AL628" s="2">
        <v>0.11</v>
      </c>
      <c r="AM628" s="3">
        <v>2.4458333333333333</v>
      </c>
      <c r="AN628" t="s">
        <v>2525</v>
      </c>
      <c r="AO628" t="s">
        <v>2527</v>
      </c>
      <c r="AP628" t="b">
        <v>0</v>
      </c>
      <c r="AQ628" t="b">
        <v>0</v>
      </c>
      <c r="AR628" t="b">
        <v>1</v>
      </c>
    </row>
    <row r="629" spans="1:45" x14ac:dyDescent="0.3">
      <c r="A629" t="s">
        <v>2200</v>
      </c>
      <c r="B629" t="s">
        <v>2157</v>
      </c>
      <c r="C629" t="s">
        <v>2528</v>
      </c>
      <c r="D629" t="s">
        <v>1652</v>
      </c>
      <c r="E629" t="s">
        <v>1653</v>
      </c>
      <c r="F629" t="s">
        <v>56</v>
      </c>
      <c r="G629">
        <v>13.3</v>
      </c>
      <c r="H629">
        <v>48.1</v>
      </c>
      <c r="I629">
        <v>6.1</v>
      </c>
      <c r="J629">
        <v>2.7</v>
      </c>
      <c r="K629">
        <v>7.9</v>
      </c>
      <c r="L629">
        <v>1.1000000000000001</v>
      </c>
      <c r="M629">
        <v>24.5</v>
      </c>
      <c r="N629">
        <v>6.6</v>
      </c>
      <c r="O629">
        <v>1.5</v>
      </c>
      <c r="P629" t="s">
        <v>1615</v>
      </c>
      <c r="Q629" t="s">
        <v>679</v>
      </c>
      <c r="R629" t="s">
        <v>2528</v>
      </c>
      <c r="S629" t="s">
        <v>680</v>
      </c>
      <c r="T629">
        <v>9390</v>
      </c>
      <c r="U629">
        <v>12.9</v>
      </c>
      <c r="V629">
        <v>1850</v>
      </c>
      <c r="W629">
        <v>10</v>
      </c>
      <c r="X629">
        <v>1643</v>
      </c>
      <c r="Y629">
        <v>76.099999999999994</v>
      </c>
      <c r="Z629">
        <v>413</v>
      </c>
      <c r="AA629">
        <v>15.8</v>
      </c>
      <c r="AB629">
        <v>1887</v>
      </c>
      <c r="AC629">
        <v>43.3</v>
      </c>
      <c r="AD629">
        <v>1005</v>
      </c>
      <c r="AE629" t="s">
        <v>57</v>
      </c>
      <c r="AF629">
        <v>0</v>
      </c>
      <c r="AG629" t="s">
        <v>2529</v>
      </c>
      <c r="AH629">
        <v>694156</v>
      </c>
      <c r="AI629" t="s">
        <v>1653</v>
      </c>
      <c r="AJ629" s="1">
        <v>18681</v>
      </c>
      <c r="AK629">
        <v>21.3</v>
      </c>
      <c r="AL629" s="2">
        <v>0</v>
      </c>
      <c r="AM629" s="3">
        <v>1.7902777777777779</v>
      </c>
      <c r="AN629" t="s">
        <v>2528</v>
      </c>
      <c r="AO629" t="s">
        <v>2530</v>
      </c>
      <c r="AP629" t="b">
        <v>0</v>
      </c>
      <c r="AQ629" t="b">
        <v>0</v>
      </c>
      <c r="AR629" t="b">
        <v>0</v>
      </c>
    </row>
    <row r="630" spans="1:45" x14ac:dyDescent="0.3">
      <c r="A630" t="s">
        <v>2200</v>
      </c>
      <c r="B630" t="s">
        <v>1746</v>
      </c>
      <c r="C630" t="s">
        <v>2531</v>
      </c>
      <c r="D630" t="s">
        <v>175</v>
      </c>
      <c r="E630" t="s">
        <v>176</v>
      </c>
      <c r="F630" t="s">
        <v>56</v>
      </c>
      <c r="G630">
        <v>12.4</v>
      </c>
      <c r="H630">
        <v>11.6</v>
      </c>
      <c r="I630">
        <v>51.3</v>
      </c>
      <c r="J630">
        <v>6.5</v>
      </c>
      <c r="K630">
        <v>4.5999999999999996</v>
      </c>
      <c r="L630">
        <v>3.1</v>
      </c>
      <c r="M630">
        <v>29.3</v>
      </c>
      <c r="N630">
        <v>5.9</v>
      </c>
      <c r="O630">
        <v>1.1000000000000001</v>
      </c>
      <c r="P630" t="s">
        <v>1615</v>
      </c>
      <c r="Q630" t="s">
        <v>621</v>
      </c>
      <c r="R630" t="s">
        <v>2531</v>
      </c>
      <c r="S630" t="s">
        <v>622</v>
      </c>
      <c r="T630">
        <v>13830</v>
      </c>
      <c r="U630">
        <v>29.1</v>
      </c>
      <c r="V630">
        <v>742</v>
      </c>
      <c r="W630">
        <v>18.7</v>
      </c>
      <c r="X630">
        <v>884</v>
      </c>
      <c r="Y630">
        <v>29.8</v>
      </c>
      <c r="Z630">
        <v>1449</v>
      </c>
      <c r="AA630">
        <v>79.5</v>
      </c>
      <c r="AB630">
        <v>271</v>
      </c>
      <c r="AC630">
        <v>26.6</v>
      </c>
      <c r="AD630">
        <v>1633</v>
      </c>
      <c r="AE630" t="s">
        <v>57</v>
      </c>
      <c r="AF630">
        <v>0</v>
      </c>
      <c r="AG630" t="s">
        <v>2532</v>
      </c>
      <c r="AH630">
        <v>719862</v>
      </c>
      <c r="AI630" t="s">
        <v>176</v>
      </c>
      <c r="AJ630" s="1">
        <v>15734</v>
      </c>
      <c r="AK630">
        <v>11.5</v>
      </c>
      <c r="AL630" s="2">
        <v>0.04</v>
      </c>
      <c r="AM630" t="s">
        <v>153</v>
      </c>
      <c r="AN630" t="s">
        <v>2531</v>
      </c>
      <c r="AO630" t="s">
        <v>2533</v>
      </c>
      <c r="AP630" t="b">
        <v>0</v>
      </c>
      <c r="AQ630" t="b">
        <v>0</v>
      </c>
      <c r="AR630" t="b">
        <v>0</v>
      </c>
    </row>
    <row r="631" spans="1:45" x14ac:dyDescent="0.3">
      <c r="A631" t="s">
        <v>2200</v>
      </c>
      <c r="B631" t="s">
        <v>2043</v>
      </c>
      <c r="C631" t="s">
        <v>2534</v>
      </c>
      <c r="D631" t="s">
        <v>175</v>
      </c>
      <c r="E631" t="s">
        <v>176</v>
      </c>
      <c r="F631" t="s">
        <v>47</v>
      </c>
      <c r="G631">
        <v>6.1</v>
      </c>
      <c r="H631">
        <v>8.3000000000000007</v>
      </c>
      <c r="I631">
        <v>2.6</v>
      </c>
      <c r="J631">
        <v>2.5</v>
      </c>
      <c r="K631">
        <v>99.9</v>
      </c>
      <c r="L631">
        <v>99.4</v>
      </c>
      <c r="M631">
        <v>3.7</v>
      </c>
      <c r="N631">
        <v>1.9</v>
      </c>
      <c r="O631">
        <v>1</v>
      </c>
      <c r="P631" t="s">
        <v>1615</v>
      </c>
      <c r="Q631" t="s">
        <v>1475</v>
      </c>
      <c r="R631" t="s">
        <v>2535</v>
      </c>
      <c r="T631">
        <v>1000578</v>
      </c>
      <c r="V631">
        <v>0</v>
      </c>
      <c r="X631">
        <v>0</v>
      </c>
      <c r="Z631">
        <v>0</v>
      </c>
      <c r="AB631">
        <v>0</v>
      </c>
      <c r="AD631">
        <v>0</v>
      </c>
      <c r="AE631" t="s">
        <v>57</v>
      </c>
      <c r="AF631">
        <v>0</v>
      </c>
      <c r="AG631" t="s">
        <v>2536</v>
      </c>
      <c r="AH631">
        <v>589157</v>
      </c>
      <c r="AI631" t="s">
        <v>176</v>
      </c>
      <c r="AJ631" s="1">
        <v>5672</v>
      </c>
      <c r="AK631">
        <v>25.8</v>
      </c>
      <c r="AL631" s="2">
        <v>0.47</v>
      </c>
      <c r="AM631" s="3">
        <v>2.2000000000000002</v>
      </c>
      <c r="AN631" t="s">
        <v>2537</v>
      </c>
      <c r="AO631" t="s">
        <v>2538</v>
      </c>
      <c r="AP631" t="b">
        <v>0</v>
      </c>
      <c r="AQ631" t="b">
        <v>0</v>
      </c>
      <c r="AR631" t="b">
        <v>0</v>
      </c>
    </row>
    <row r="632" spans="1:45" x14ac:dyDescent="0.3">
      <c r="A632" t="s">
        <v>2200</v>
      </c>
      <c r="B632" t="s">
        <v>2200</v>
      </c>
      <c r="C632" t="s">
        <v>2539</v>
      </c>
      <c r="D632" t="s">
        <v>54</v>
      </c>
      <c r="E632" t="s">
        <v>55</v>
      </c>
      <c r="F632" t="s">
        <v>47</v>
      </c>
      <c r="G632">
        <v>3.7</v>
      </c>
      <c r="H632">
        <v>11.5</v>
      </c>
      <c r="I632">
        <v>5.6</v>
      </c>
      <c r="J632">
        <v>5.3</v>
      </c>
      <c r="K632">
        <v>62.6</v>
      </c>
      <c r="L632">
        <v>74.099999999999994</v>
      </c>
      <c r="M632">
        <v>35.799999999999997</v>
      </c>
      <c r="N632">
        <v>5.6</v>
      </c>
      <c r="O632">
        <v>5.8</v>
      </c>
      <c r="P632" t="s">
        <v>1615</v>
      </c>
      <c r="Q632" t="s">
        <v>679</v>
      </c>
      <c r="R632" t="s">
        <v>2539</v>
      </c>
      <c r="S632" t="s">
        <v>680</v>
      </c>
      <c r="T632">
        <v>9580</v>
      </c>
      <c r="U632">
        <v>17.5</v>
      </c>
      <c r="V632">
        <v>1595</v>
      </c>
      <c r="W632">
        <v>13.2</v>
      </c>
      <c r="X632">
        <v>1287</v>
      </c>
      <c r="Y632">
        <v>53.4</v>
      </c>
      <c r="Z632">
        <v>935</v>
      </c>
      <c r="AA632">
        <v>36</v>
      </c>
      <c r="AB632">
        <v>1075</v>
      </c>
      <c r="AC632">
        <v>87.1</v>
      </c>
      <c r="AD632">
        <v>164</v>
      </c>
      <c r="AE632" t="s">
        <v>57</v>
      </c>
      <c r="AF632">
        <v>0</v>
      </c>
      <c r="AG632" t="s">
        <v>2540</v>
      </c>
      <c r="AH632">
        <v>131467</v>
      </c>
      <c r="AI632" t="s">
        <v>55</v>
      </c>
      <c r="AJ632" s="1">
        <v>10095</v>
      </c>
      <c r="AK632">
        <v>21</v>
      </c>
      <c r="AL632" s="2">
        <v>0.26</v>
      </c>
      <c r="AM632" s="3">
        <v>2.5277777777777777</v>
      </c>
      <c r="AN632" t="s">
        <v>2539</v>
      </c>
      <c r="AO632" t="s">
        <v>2541</v>
      </c>
      <c r="AP632" t="b">
        <v>0</v>
      </c>
      <c r="AQ632" t="b">
        <v>0</v>
      </c>
      <c r="AR632" t="b">
        <v>0</v>
      </c>
      <c r="AS632" t="s">
        <v>2542</v>
      </c>
    </row>
    <row r="633" spans="1:45" x14ac:dyDescent="0.3">
      <c r="A633" t="s">
        <v>2200</v>
      </c>
      <c r="B633" t="s">
        <v>2043</v>
      </c>
      <c r="C633" t="s">
        <v>2543</v>
      </c>
      <c r="D633" t="s">
        <v>2544</v>
      </c>
      <c r="E633" t="s">
        <v>2545</v>
      </c>
      <c r="F633" t="s">
        <v>47</v>
      </c>
      <c r="G633">
        <v>8.4</v>
      </c>
      <c r="H633">
        <v>8.8000000000000007</v>
      </c>
      <c r="I633">
        <v>74.7</v>
      </c>
      <c r="J633">
        <v>1.7</v>
      </c>
      <c r="K633">
        <v>3.8</v>
      </c>
      <c r="L633">
        <v>2.2999999999999998</v>
      </c>
      <c r="M633">
        <v>10</v>
      </c>
      <c r="N633">
        <v>22</v>
      </c>
      <c r="O633">
        <v>1.6</v>
      </c>
      <c r="P633" t="s">
        <v>1615</v>
      </c>
      <c r="Q633" t="s">
        <v>1068</v>
      </c>
      <c r="R633" t="s">
        <v>2546</v>
      </c>
      <c r="S633" t="s">
        <v>1070</v>
      </c>
      <c r="T633">
        <v>18040</v>
      </c>
      <c r="U633">
        <v>24.2</v>
      </c>
      <c r="V633">
        <v>1070</v>
      </c>
      <c r="W633">
        <v>10.6</v>
      </c>
      <c r="X633">
        <v>1579</v>
      </c>
      <c r="Y633">
        <v>10.199999999999999</v>
      </c>
      <c r="Z633">
        <v>1853</v>
      </c>
      <c r="AA633">
        <v>26.8</v>
      </c>
      <c r="AB633">
        <v>1269</v>
      </c>
      <c r="AC633">
        <v>37.200000000000003</v>
      </c>
      <c r="AD633">
        <v>1232</v>
      </c>
      <c r="AE633" t="s">
        <v>57</v>
      </c>
      <c r="AF633">
        <v>0</v>
      </c>
      <c r="AG633" t="s">
        <v>2547</v>
      </c>
      <c r="AH633">
        <v>131507</v>
      </c>
      <c r="AI633" t="s">
        <v>2545</v>
      </c>
      <c r="AJ633" s="1">
        <v>10565</v>
      </c>
      <c r="AK633">
        <v>10.6</v>
      </c>
      <c r="AL633" s="2">
        <v>0.02</v>
      </c>
      <c r="AM633" s="3">
        <v>2.4048611111111109</v>
      </c>
      <c r="AN633" t="s">
        <v>2546</v>
      </c>
      <c r="AO633" t="s">
        <v>2548</v>
      </c>
      <c r="AP633" t="b">
        <v>0</v>
      </c>
      <c r="AQ633" t="b">
        <v>0</v>
      </c>
      <c r="AR633" t="b">
        <v>0</v>
      </c>
    </row>
    <row r="634" spans="1:45" x14ac:dyDescent="0.3">
      <c r="A634" t="s">
        <v>2200</v>
      </c>
      <c r="B634" t="s">
        <v>2266</v>
      </c>
      <c r="C634" t="s">
        <v>2549</v>
      </c>
      <c r="D634" t="s">
        <v>442</v>
      </c>
      <c r="E634" t="s">
        <v>443</v>
      </c>
      <c r="F634" t="s">
        <v>47</v>
      </c>
      <c r="G634">
        <v>6.8</v>
      </c>
      <c r="H634">
        <v>2.2999999999999998</v>
      </c>
      <c r="I634">
        <v>5.5</v>
      </c>
      <c r="J634">
        <v>22.6</v>
      </c>
      <c r="K634">
        <v>8.3000000000000007</v>
      </c>
      <c r="L634">
        <v>6.2</v>
      </c>
      <c r="M634">
        <v>81.400000000000006</v>
      </c>
      <c r="N634">
        <v>1.7</v>
      </c>
      <c r="O634">
        <v>29.6</v>
      </c>
      <c r="P634" t="s">
        <v>1615</v>
      </c>
      <c r="Q634" t="s">
        <v>572</v>
      </c>
      <c r="R634" t="s">
        <v>2549</v>
      </c>
      <c r="S634" t="s">
        <v>574</v>
      </c>
      <c r="T634">
        <v>5200</v>
      </c>
      <c r="U634">
        <v>34.9</v>
      </c>
      <c r="V634">
        <v>464</v>
      </c>
      <c r="W634">
        <v>19.5</v>
      </c>
      <c r="X634">
        <v>838</v>
      </c>
      <c r="Y634">
        <v>69.599999999999994</v>
      </c>
      <c r="Z634">
        <v>564</v>
      </c>
      <c r="AA634">
        <v>47.4</v>
      </c>
      <c r="AB634">
        <v>853</v>
      </c>
      <c r="AC634">
        <v>43.2</v>
      </c>
      <c r="AD634">
        <v>1006</v>
      </c>
      <c r="AE634" t="s">
        <v>57</v>
      </c>
      <c r="AF634">
        <v>0</v>
      </c>
      <c r="AG634" t="s">
        <v>2550</v>
      </c>
      <c r="AH634">
        <v>589361</v>
      </c>
      <c r="AI634" t="s">
        <v>443</v>
      </c>
      <c r="AJ634" s="1">
        <v>12784</v>
      </c>
      <c r="AK634">
        <v>16.100000000000001</v>
      </c>
      <c r="AL634" s="2">
        <v>0.05</v>
      </c>
      <c r="AM634" s="3">
        <v>2.6097222222222221</v>
      </c>
      <c r="AN634" t="s">
        <v>2549</v>
      </c>
      <c r="AO634" t="s">
        <v>2551</v>
      </c>
      <c r="AP634" t="b">
        <v>0</v>
      </c>
      <c r="AQ634" t="b">
        <v>0</v>
      </c>
      <c r="AR634" t="b">
        <v>0</v>
      </c>
    </row>
    <row r="635" spans="1:45" x14ac:dyDescent="0.3">
      <c r="A635" t="s">
        <v>2200</v>
      </c>
      <c r="B635" t="s">
        <v>2157</v>
      </c>
      <c r="C635" t="s">
        <v>2552</v>
      </c>
      <c r="D635" t="s">
        <v>54</v>
      </c>
      <c r="E635" t="s">
        <v>55</v>
      </c>
      <c r="F635" t="s">
        <v>56</v>
      </c>
      <c r="G635">
        <v>3.6</v>
      </c>
      <c r="H635">
        <v>3.6</v>
      </c>
      <c r="I635">
        <v>3.1</v>
      </c>
      <c r="J635">
        <v>6.2</v>
      </c>
      <c r="K635">
        <v>73.099999999999994</v>
      </c>
      <c r="L635">
        <v>100</v>
      </c>
      <c r="M635">
        <v>33.299999999999997</v>
      </c>
      <c r="N635">
        <v>7.6</v>
      </c>
      <c r="O635">
        <v>1.1000000000000001</v>
      </c>
      <c r="P635" t="s">
        <v>1615</v>
      </c>
      <c r="Q635" t="s">
        <v>733</v>
      </c>
      <c r="R635" t="s">
        <v>2552</v>
      </c>
      <c r="S635" t="s">
        <v>735</v>
      </c>
      <c r="T635">
        <v>10450</v>
      </c>
      <c r="U635">
        <v>21.8</v>
      </c>
      <c r="V635">
        <v>1245</v>
      </c>
      <c r="W635">
        <v>15.1</v>
      </c>
      <c r="X635">
        <v>1112</v>
      </c>
      <c r="Y635">
        <v>41</v>
      </c>
      <c r="Z635">
        <v>1200</v>
      </c>
      <c r="AA635">
        <v>28.2</v>
      </c>
      <c r="AB635">
        <v>1230</v>
      </c>
      <c r="AC635">
        <v>84.9</v>
      </c>
      <c r="AD635">
        <v>189</v>
      </c>
      <c r="AE635" t="s">
        <v>57</v>
      </c>
      <c r="AF635">
        <v>0</v>
      </c>
      <c r="AG635" t="s">
        <v>2553</v>
      </c>
      <c r="AH635">
        <v>131563</v>
      </c>
      <c r="AI635" t="s">
        <v>55</v>
      </c>
      <c r="AJ635" s="1">
        <v>14480</v>
      </c>
      <c r="AK635">
        <v>26.1</v>
      </c>
      <c r="AL635" s="2">
        <v>0.52</v>
      </c>
      <c r="AM635" s="3">
        <v>2.3638888888888889</v>
      </c>
      <c r="AN635" t="s">
        <v>2552</v>
      </c>
      <c r="AO635" t="s">
        <v>2554</v>
      </c>
      <c r="AP635" t="b">
        <v>0</v>
      </c>
      <c r="AQ635" t="b">
        <v>0</v>
      </c>
      <c r="AR635" t="b">
        <v>0</v>
      </c>
      <c r="AS635" t="s">
        <v>2555</v>
      </c>
    </row>
    <row r="636" spans="1:45" x14ac:dyDescent="0.3">
      <c r="A636" t="s">
        <v>2200</v>
      </c>
      <c r="C636" t="s">
        <v>2556</v>
      </c>
      <c r="D636" t="s">
        <v>402</v>
      </c>
      <c r="E636" t="s">
        <v>403</v>
      </c>
      <c r="F636" t="s">
        <v>56</v>
      </c>
      <c r="G636">
        <v>5.2</v>
      </c>
      <c r="H636">
        <v>1.9</v>
      </c>
      <c r="I636">
        <v>39.4</v>
      </c>
      <c r="J636">
        <v>2.4</v>
      </c>
      <c r="K636">
        <v>100</v>
      </c>
      <c r="L636">
        <v>3</v>
      </c>
      <c r="M636">
        <v>43.3</v>
      </c>
      <c r="N636">
        <v>2.2999999999999998</v>
      </c>
      <c r="O636">
        <v>1.5</v>
      </c>
      <c r="P636" t="s">
        <v>1615</v>
      </c>
      <c r="Q636" t="s">
        <v>696</v>
      </c>
      <c r="R636" t="s">
        <v>2556</v>
      </c>
      <c r="S636" t="s">
        <v>697</v>
      </c>
      <c r="T636">
        <v>6630</v>
      </c>
      <c r="U636">
        <v>22.1</v>
      </c>
      <c r="V636">
        <v>1223</v>
      </c>
      <c r="W636">
        <v>10.5</v>
      </c>
      <c r="X636">
        <v>1587</v>
      </c>
      <c r="Y636">
        <v>72.3</v>
      </c>
      <c r="Z636">
        <v>503</v>
      </c>
      <c r="AA636">
        <v>23.5</v>
      </c>
      <c r="AB636">
        <v>1380</v>
      </c>
      <c r="AC636">
        <v>76.8</v>
      </c>
      <c r="AD636">
        <v>300</v>
      </c>
      <c r="AE636" t="s">
        <v>57</v>
      </c>
      <c r="AF636">
        <v>0</v>
      </c>
      <c r="AG636" t="s">
        <v>2557</v>
      </c>
      <c r="AH636">
        <v>704053</v>
      </c>
      <c r="AI636" t="s">
        <v>403</v>
      </c>
      <c r="AJ636" s="1">
        <v>19400</v>
      </c>
      <c r="AK636">
        <v>11.2</v>
      </c>
      <c r="AL636" s="2">
        <v>0.03</v>
      </c>
      <c r="AM636" s="3">
        <v>2.5687500000000001</v>
      </c>
      <c r="AN636" t="s">
        <v>2556</v>
      </c>
      <c r="AO636" t="s">
        <v>2558</v>
      </c>
      <c r="AP636" t="b">
        <v>0</v>
      </c>
      <c r="AQ636" t="b">
        <v>0</v>
      </c>
      <c r="AR636" t="b">
        <v>0</v>
      </c>
    </row>
    <row r="637" spans="1:45" x14ac:dyDescent="0.3">
      <c r="A637" t="s">
        <v>2200</v>
      </c>
      <c r="B637" t="s">
        <v>2157</v>
      </c>
      <c r="C637" t="s">
        <v>2559</v>
      </c>
      <c r="D637" t="s">
        <v>1770</v>
      </c>
      <c r="E637" t="s">
        <v>1771</v>
      </c>
      <c r="F637" t="s">
        <v>56</v>
      </c>
      <c r="G637">
        <v>8</v>
      </c>
      <c r="H637">
        <v>6.6</v>
      </c>
      <c r="I637">
        <v>29.2</v>
      </c>
      <c r="J637">
        <v>6.8</v>
      </c>
      <c r="K637">
        <v>1.8</v>
      </c>
      <c r="L637">
        <v>13</v>
      </c>
      <c r="M637">
        <v>61</v>
      </c>
      <c r="N637">
        <v>33.4</v>
      </c>
      <c r="O637">
        <v>9.1</v>
      </c>
      <c r="P637" t="s">
        <v>1615</v>
      </c>
      <c r="Q637" t="s">
        <v>621</v>
      </c>
      <c r="R637" t="s">
        <v>2559</v>
      </c>
      <c r="S637" t="s">
        <v>622</v>
      </c>
      <c r="T637">
        <v>13440</v>
      </c>
      <c r="U637">
        <v>20.100000000000001</v>
      </c>
      <c r="V637">
        <v>1367</v>
      </c>
      <c r="W637">
        <v>16.899999999999999</v>
      </c>
      <c r="X637">
        <v>977</v>
      </c>
      <c r="Y637">
        <v>40.799999999999997</v>
      </c>
      <c r="Z637">
        <v>1207</v>
      </c>
      <c r="AA637">
        <v>36.5</v>
      </c>
      <c r="AB637">
        <v>1060</v>
      </c>
      <c r="AC637">
        <v>38.9</v>
      </c>
      <c r="AD637">
        <v>1154</v>
      </c>
      <c r="AE637" t="s">
        <v>57</v>
      </c>
      <c r="AF637">
        <v>0</v>
      </c>
      <c r="AG637" t="s">
        <v>2560</v>
      </c>
      <c r="AH637">
        <v>131610</v>
      </c>
      <c r="AI637" t="s">
        <v>1771</v>
      </c>
      <c r="AJ637" s="1">
        <v>12919</v>
      </c>
      <c r="AK637">
        <v>14.4</v>
      </c>
      <c r="AL637" s="2">
        <v>0.11</v>
      </c>
      <c r="AM637" s="3">
        <v>2.2819444444444446</v>
      </c>
      <c r="AN637" t="s">
        <v>2559</v>
      </c>
      <c r="AO637" t="s">
        <v>2561</v>
      </c>
      <c r="AP637" t="b">
        <v>0</v>
      </c>
      <c r="AQ637" t="b">
        <v>0</v>
      </c>
      <c r="AR637" t="b">
        <v>0</v>
      </c>
    </row>
    <row r="638" spans="1:45" x14ac:dyDescent="0.3">
      <c r="A638" t="s">
        <v>2200</v>
      </c>
      <c r="B638" t="s">
        <v>2200</v>
      </c>
      <c r="C638" t="s">
        <v>2562</v>
      </c>
      <c r="D638" t="s">
        <v>626</v>
      </c>
      <c r="E638" t="s">
        <v>627</v>
      </c>
      <c r="F638" t="s">
        <v>56</v>
      </c>
      <c r="G638">
        <v>11.7</v>
      </c>
      <c r="H638">
        <v>2.9</v>
      </c>
      <c r="I638">
        <v>24.5</v>
      </c>
      <c r="J638">
        <v>6.8</v>
      </c>
      <c r="K638">
        <v>1.7</v>
      </c>
      <c r="L638">
        <v>3.9</v>
      </c>
      <c r="M638">
        <v>79.8</v>
      </c>
      <c r="N638">
        <v>3.7</v>
      </c>
      <c r="O638">
        <v>44.9</v>
      </c>
      <c r="P638" t="s">
        <v>1615</v>
      </c>
      <c r="Q638" t="s">
        <v>679</v>
      </c>
      <c r="R638" t="s">
        <v>2562</v>
      </c>
      <c r="S638" t="s">
        <v>680</v>
      </c>
      <c r="T638">
        <v>9270</v>
      </c>
      <c r="U638">
        <v>25.2</v>
      </c>
      <c r="V638">
        <v>988</v>
      </c>
      <c r="W638">
        <v>19.899999999999999</v>
      </c>
      <c r="X638">
        <v>819</v>
      </c>
      <c r="Y638">
        <v>52.6</v>
      </c>
      <c r="Z638">
        <v>950</v>
      </c>
      <c r="AA638">
        <v>61.4</v>
      </c>
      <c r="AB638">
        <v>624</v>
      </c>
      <c r="AC638">
        <v>38.9</v>
      </c>
      <c r="AD638">
        <v>1155</v>
      </c>
      <c r="AE638" t="s">
        <v>57</v>
      </c>
      <c r="AF638">
        <v>0</v>
      </c>
      <c r="AG638" t="s">
        <v>2563</v>
      </c>
      <c r="AH638">
        <v>131331</v>
      </c>
      <c r="AI638" t="s">
        <v>627</v>
      </c>
      <c r="AJ638" s="1">
        <v>28862</v>
      </c>
      <c r="AK638">
        <v>17.7</v>
      </c>
      <c r="AL638" s="2">
        <v>0.05</v>
      </c>
      <c r="AM638" s="3">
        <v>2.6097222222222221</v>
      </c>
      <c r="AN638" t="s">
        <v>2562</v>
      </c>
      <c r="AO638" t="s">
        <v>2564</v>
      </c>
      <c r="AP638" t="b">
        <v>0</v>
      </c>
      <c r="AQ638" t="b">
        <v>0</v>
      </c>
      <c r="AR638" t="b">
        <v>0</v>
      </c>
    </row>
    <row r="639" spans="1:45" x14ac:dyDescent="0.3">
      <c r="A639" t="s">
        <v>2200</v>
      </c>
      <c r="B639" t="s">
        <v>2369</v>
      </c>
      <c r="C639" t="s">
        <v>2565</v>
      </c>
      <c r="D639" t="s">
        <v>2566</v>
      </c>
      <c r="E639" t="s">
        <v>2567</v>
      </c>
      <c r="F639" t="s">
        <v>77</v>
      </c>
      <c r="G639">
        <v>10</v>
      </c>
      <c r="H639">
        <v>11.7</v>
      </c>
      <c r="I639">
        <v>20.100000000000001</v>
      </c>
      <c r="J639">
        <v>1.8</v>
      </c>
      <c r="M639">
        <v>50.1</v>
      </c>
      <c r="N639">
        <v>92.5</v>
      </c>
      <c r="O639">
        <v>1.8</v>
      </c>
      <c r="P639" t="s">
        <v>1615</v>
      </c>
      <c r="Q639" t="s">
        <v>621</v>
      </c>
      <c r="R639" t="s">
        <v>2565</v>
      </c>
      <c r="S639" t="s">
        <v>622</v>
      </c>
      <c r="T639">
        <v>13640</v>
      </c>
      <c r="U639">
        <v>12</v>
      </c>
      <c r="V639">
        <v>1877</v>
      </c>
      <c r="W639">
        <v>10.6</v>
      </c>
      <c r="X639">
        <v>1577</v>
      </c>
      <c r="Y639">
        <v>45.9</v>
      </c>
      <c r="Z639">
        <v>1099</v>
      </c>
      <c r="AA639">
        <v>18.8</v>
      </c>
      <c r="AB639">
        <v>1604</v>
      </c>
      <c r="AC639">
        <v>49.8</v>
      </c>
      <c r="AD639">
        <v>805</v>
      </c>
      <c r="AE639" t="s">
        <v>57</v>
      </c>
      <c r="AF639">
        <v>0</v>
      </c>
      <c r="AG639" t="s">
        <v>2568</v>
      </c>
      <c r="AH639">
        <v>131543</v>
      </c>
      <c r="AI639" t="s">
        <v>2567</v>
      </c>
      <c r="AJ639" s="1">
        <v>52678</v>
      </c>
      <c r="AK639">
        <v>34.5</v>
      </c>
      <c r="AL639" s="2">
        <v>0.02</v>
      </c>
      <c r="AM639" t="s">
        <v>1142</v>
      </c>
      <c r="AN639" t="s">
        <v>2565</v>
      </c>
      <c r="AO639" t="s">
        <v>2569</v>
      </c>
      <c r="AP639" t="b">
        <v>0</v>
      </c>
      <c r="AQ639" t="b">
        <v>0</v>
      </c>
      <c r="AR639" t="b">
        <v>0</v>
      </c>
    </row>
    <row r="640" spans="1:45" x14ac:dyDescent="0.3">
      <c r="A640" t="s">
        <v>2200</v>
      </c>
      <c r="B640" t="s">
        <v>2266</v>
      </c>
      <c r="C640" t="s">
        <v>2570</v>
      </c>
      <c r="D640" t="s">
        <v>1047</v>
      </c>
      <c r="E640" t="s">
        <v>737</v>
      </c>
      <c r="F640" t="s">
        <v>47</v>
      </c>
      <c r="G640">
        <v>6.9</v>
      </c>
      <c r="H640">
        <v>9.9</v>
      </c>
      <c r="I640">
        <v>34.299999999999997</v>
      </c>
      <c r="J640">
        <v>21.4</v>
      </c>
      <c r="L640">
        <v>1.9</v>
      </c>
      <c r="M640">
        <v>42.9</v>
      </c>
      <c r="N640">
        <v>15.3</v>
      </c>
      <c r="O640">
        <v>1.1000000000000001</v>
      </c>
      <c r="P640" t="s">
        <v>1615</v>
      </c>
      <c r="Q640" t="s">
        <v>733</v>
      </c>
      <c r="R640" t="s">
        <v>2570</v>
      </c>
      <c r="S640" t="s">
        <v>735</v>
      </c>
      <c r="T640">
        <v>11380</v>
      </c>
      <c r="U640">
        <v>19.399999999999999</v>
      </c>
      <c r="V640">
        <v>1434</v>
      </c>
      <c r="W640">
        <v>12.2</v>
      </c>
      <c r="X640">
        <v>1391</v>
      </c>
      <c r="Y640">
        <v>61</v>
      </c>
      <c r="Z640">
        <v>755</v>
      </c>
      <c r="AA640">
        <v>17.399999999999999</v>
      </c>
      <c r="AB640">
        <v>1714</v>
      </c>
      <c r="AC640">
        <v>47.3</v>
      </c>
      <c r="AD640">
        <v>880</v>
      </c>
      <c r="AE640" t="s">
        <v>57</v>
      </c>
      <c r="AF640">
        <v>0</v>
      </c>
      <c r="AG640" t="s">
        <v>2571</v>
      </c>
      <c r="AH640">
        <v>131812</v>
      </c>
      <c r="AI640" t="s">
        <v>737</v>
      </c>
      <c r="AJ640" s="1">
        <v>20494</v>
      </c>
      <c r="AK640">
        <v>42.7</v>
      </c>
      <c r="AL640" s="2">
        <v>0</v>
      </c>
      <c r="AM640">
        <v>0.80694444444444446</v>
      </c>
      <c r="AN640" t="s">
        <v>2570</v>
      </c>
      <c r="AO640" t="s">
        <v>2572</v>
      </c>
      <c r="AP640" t="b">
        <v>0</v>
      </c>
      <c r="AQ640" t="b">
        <v>0</v>
      </c>
      <c r="AR640" t="b">
        <v>0</v>
      </c>
    </row>
    <row r="641" spans="1:45" x14ac:dyDescent="0.3">
      <c r="A641" t="s">
        <v>2200</v>
      </c>
      <c r="B641" t="s">
        <v>2157</v>
      </c>
      <c r="C641" t="s">
        <v>2573</v>
      </c>
      <c r="D641" t="s">
        <v>54</v>
      </c>
      <c r="E641" t="s">
        <v>55</v>
      </c>
      <c r="F641" t="s">
        <v>56</v>
      </c>
      <c r="G641">
        <v>6.8</v>
      </c>
      <c r="H641">
        <v>3.9</v>
      </c>
      <c r="I641">
        <v>6.4</v>
      </c>
      <c r="J641">
        <v>6.9</v>
      </c>
      <c r="K641">
        <v>36.700000000000003</v>
      </c>
      <c r="L641">
        <v>69.8</v>
      </c>
      <c r="M641">
        <v>63.6</v>
      </c>
      <c r="N641">
        <v>9.6</v>
      </c>
      <c r="O641">
        <v>5.8</v>
      </c>
      <c r="P641" t="s">
        <v>1615</v>
      </c>
      <c r="Q641" t="s">
        <v>679</v>
      </c>
      <c r="R641" t="s">
        <v>2573</v>
      </c>
      <c r="S641" t="s">
        <v>680</v>
      </c>
      <c r="T641">
        <v>9620</v>
      </c>
      <c r="U641">
        <v>18.8</v>
      </c>
      <c r="V641">
        <v>1482</v>
      </c>
      <c r="W641">
        <v>15</v>
      </c>
      <c r="X641">
        <v>1124</v>
      </c>
      <c r="Y641">
        <v>61.1</v>
      </c>
      <c r="Z641">
        <v>752</v>
      </c>
      <c r="AA641">
        <v>46.9</v>
      </c>
      <c r="AB641">
        <v>865</v>
      </c>
      <c r="AC641">
        <v>82.2</v>
      </c>
      <c r="AD641">
        <v>221</v>
      </c>
      <c r="AE641" t="s">
        <v>57</v>
      </c>
      <c r="AF641">
        <v>0</v>
      </c>
      <c r="AG641" t="s">
        <v>2574</v>
      </c>
      <c r="AH641">
        <v>131658</v>
      </c>
      <c r="AI641" t="s">
        <v>55</v>
      </c>
      <c r="AJ641" s="1">
        <v>20010</v>
      </c>
      <c r="AK641">
        <v>20.3</v>
      </c>
      <c r="AL641" s="2">
        <v>0.23</v>
      </c>
      <c r="AM641" s="3">
        <v>2.3229166666666665</v>
      </c>
      <c r="AN641" t="s">
        <v>2573</v>
      </c>
      <c r="AO641" t="s">
        <v>2575</v>
      </c>
      <c r="AP641" t="b">
        <v>0</v>
      </c>
      <c r="AQ641" t="b">
        <v>0</v>
      </c>
      <c r="AR641" t="b">
        <v>0</v>
      </c>
      <c r="AS641" t="s">
        <v>2576</v>
      </c>
    </row>
    <row r="642" spans="1:45" x14ac:dyDescent="0.3">
      <c r="A642" t="s">
        <v>2200</v>
      </c>
      <c r="B642" t="s">
        <v>2157</v>
      </c>
      <c r="C642" t="s">
        <v>2577</v>
      </c>
      <c r="D642" t="s">
        <v>45</v>
      </c>
      <c r="E642" t="s">
        <v>46</v>
      </c>
      <c r="F642" t="s">
        <v>47</v>
      </c>
      <c r="G642">
        <v>3.5</v>
      </c>
      <c r="H642">
        <v>5.2</v>
      </c>
      <c r="I642">
        <v>17.399999999999999</v>
      </c>
      <c r="J642">
        <v>26.2</v>
      </c>
      <c r="K642">
        <v>42</v>
      </c>
      <c r="L642">
        <v>23.5</v>
      </c>
      <c r="M642">
        <v>25.6</v>
      </c>
      <c r="N642">
        <v>8.3000000000000007</v>
      </c>
      <c r="O642">
        <v>1.9</v>
      </c>
      <c r="P642" t="s">
        <v>1615</v>
      </c>
      <c r="Q642" t="s">
        <v>696</v>
      </c>
      <c r="R642" t="s">
        <v>2577</v>
      </c>
      <c r="S642" t="s">
        <v>697</v>
      </c>
      <c r="T642">
        <v>7960</v>
      </c>
      <c r="U642">
        <v>30</v>
      </c>
      <c r="V642">
        <v>690</v>
      </c>
      <c r="W642">
        <v>22.1</v>
      </c>
      <c r="X642">
        <v>727</v>
      </c>
      <c r="Y642">
        <v>61.2</v>
      </c>
      <c r="Z642">
        <v>749</v>
      </c>
      <c r="AA642">
        <v>61.8</v>
      </c>
      <c r="AB642">
        <v>619</v>
      </c>
      <c r="AC642">
        <v>57.2</v>
      </c>
      <c r="AD642">
        <v>638</v>
      </c>
      <c r="AE642" t="s">
        <v>49</v>
      </c>
      <c r="AF642">
        <v>0</v>
      </c>
      <c r="AG642" t="s">
        <v>2578</v>
      </c>
      <c r="AH642">
        <v>593006</v>
      </c>
      <c r="AI642" t="s">
        <v>46</v>
      </c>
      <c r="AJ642" s="1">
        <v>5834</v>
      </c>
      <c r="AK642">
        <v>13</v>
      </c>
      <c r="AL642" s="2">
        <v>0.14000000000000001</v>
      </c>
      <c r="AM642" t="s">
        <v>1244</v>
      </c>
      <c r="AN642" t="s">
        <v>2577</v>
      </c>
      <c r="AO642" t="s">
        <v>2579</v>
      </c>
      <c r="AP642" t="b">
        <v>0</v>
      </c>
      <c r="AQ642" t="b">
        <v>0</v>
      </c>
      <c r="AR642" t="b">
        <v>0</v>
      </c>
      <c r="AS642" t="s">
        <v>2580</v>
      </c>
    </row>
    <row r="643" spans="1:45" x14ac:dyDescent="0.3">
      <c r="A643" t="s">
        <v>2200</v>
      </c>
      <c r="B643" t="s">
        <v>2369</v>
      </c>
      <c r="C643" t="s">
        <v>2581</v>
      </c>
      <c r="D643" t="s">
        <v>2582</v>
      </c>
      <c r="E643" t="s">
        <v>2583</v>
      </c>
      <c r="F643" t="s">
        <v>47</v>
      </c>
      <c r="G643">
        <v>7</v>
      </c>
      <c r="H643">
        <v>2.9</v>
      </c>
      <c r="I643">
        <v>51.4</v>
      </c>
      <c r="J643">
        <v>1.3</v>
      </c>
      <c r="K643">
        <v>5.0999999999999996</v>
      </c>
      <c r="L643">
        <v>1.7</v>
      </c>
      <c r="M643">
        <v>20</v>
      </c>
      <c r="N643">
        <v>87.4</v>
      </c>
      <c r="O643">
        <v>1</v>
      </c>
      <c r="P643" t="s">
        <v>1615</v>
      </c>
      <c r="Q643" t="s">
        <v>1068</v>
      </c>
      <c r="R643" t="s">
        <v>2581</v>
      </c>
      <c r="S643" t="s">
        <v>1070</v>
      </c>
      <c r="T643">
        <v>19020</v>
      </c>
      <c r="U643">
        <v>23.9</v>
      </c>
      <c r="V643">
        <v>1087</v>
      </c>
      <c r="W643">
        <v>8.6</v>
      </c>
      <c r="X643">
        <v>1849</v>
      </c>
      <c r="Y643">
        <v>26.8</v>
      </c>
      <c r="Z643">
        <v>1521</v>
      </c>
      <c r="AA643">
        <v>16.399999999999999</v>
      </c>
      <c r="AB643">
        <v>1821</v>
      </c>
      <c r="AC643">
        <v>38.1</v>
      </c>
      <c r="AD643">
        <v>1193</v>
      </c>
      <c r="AE643" t="s">
        <v>57</v>
      </c>
      <c r="AF643">
        <v>0</v>
      </c>
      <c r="AG643" t="s">
        <v>2584</v>
      </c>
      <c r="AH643">
        <v>715426</v>
      </c>
      <c r="AI643" t="s">
        <v>2583</v>
      </c>
      <c r="AJ643" s="1">
        <v>13838</v>
      </c>
      <c r="AK643">
        <v>8</v>
      </c>
      <c r="AL643" s="2">
        <v>0.02</v>
      </c>
      <c r="AM643" s="3">
        <v>2.2409722222222221</v>
      </c>
      <c r="AN643" t="s">
        <v>2581</v>
      </c>
      <c r="AO643" t="s">
        <v>2585</v>
      </c>
      <c r="AP643" t="b">
        <v>0</v>
      </c>
      <c r="AQ643" t="b">
        <v>0</v>
      </c>
      <c r="AR643" t="b">
        <v>0</v>
      </c>
    </row>
    <row r="644" spans="1:45" x14ac:dyDescent="0.3">
      <c r="A644" t="s">
        <v>2200</v>
      </c>
      <c r="B644" t="s">
        <v>2043</v>
      </c>
      <c r="C644" t="s">
        <v>2586</v>
      </c>
      <c r="D644" t="s">
        <v>175</v>
      </c>
      <c r="E644" t="s">
        <v>176</v>
      </c>
      <c r="F644" t="s">
        <v>47</v>
      </c>
      <c r="G644">
        <v>3.4</v>
      </c>
      <c r="H644">
        <v>2.4</v>
      </c>
      <c r="I644">
        <v>96.2</v>
      </c>
      <c r="J644">
        <v>10.3</v>
      </c>
      <c r="K644">
        <v>5.4</v>
      </c>
      <c r="L644">
        <v>2.4</v>
      </c>
      <c r="M644">
        <v>10.5</v>
      </c>
      <c r="N644">
        <v>3.1</v>
      </c>
      <c r="O644">
        <v>1</v>
      </c>
      <c r="P644" t="s">
        <v>1615</v>
      </c>
      <c r="Q644" t="s">
        <v>679</v>
      </c>
      <c r="R644" t="s">
        <v>2586</v>
      </c>
      <c r="S644" t="s">
        <v>680</v>
      </c>
      <c r="T644">
        <v>9970</v>
      </c>
      <c r="U644">
        <v>28.4</v>
      </c>
      <c r="V644">
        <v>784</v>
      </c>
      <c r="W644">
        <v>11.3</v>
      </c>
      <c r="X644">
        <v>1497</v>
      </c>
      <c r="Y644">
        <v>59.4</v>
      </c>
      <c r="Z644">
        <v>793</v>
      </c>
      <c r="AA644">
        <v>62.4</v>
      </c>
      <c r="AB644">
        <v>607</v>
      </c>
      <c r="AC644">
        <v>29</v>
      </c>
      <c r="AD644">
        <v>1542</v>
      </c>
      <c r="AE644" t="s">
        <v>57</v>
      </c>
      <c r="AF644">
        <v>0</v>
      </c>
      <c r="AG644" t="s">
        <v>2587</v>
      </c>
      <c r="AH644">
        <v>131820</v>
      </c>
      <c r="AI644" t="s">
        <v>176</v>
      </c>
      <c r="AJ644" s="1">
        <v>5144</v>
      </c>
      <c r="AK644">
        <v>6</v>
      </c>
      <c r="AL644" s="2">
        <v>0.03</v>
      </c>
      <c r="AM644" s="3">
        <v>2.3229166666666665</v>
      </c>
      <c r="AN644" t="s">
        <v>2586</v>
      </c>
      <c r="AO644" t="s">
        <v>2588</v>
      </c>
      <c r="AP644" t="b">
        <v>0</v>
      </c>
      <c r="AQ644" t="b">
        <v>0</v>
      </c>
      <c r="AR644" t="b">
        <v>0</v>
      </c>
    </row>
    <row r="645" spans="1:45" x14ac:dyDescent="0.3">
      <c r="A645" t="s">
        <v>2266</v>
      </c>
      <c r="B645" t="s">
        <v>2043</v>
      </c>
      <c r="C645" t="s">
        <v>2589</v>
      </c>
      <c r="D645" t="s">
        <v>619</v>
      </c>
      <c r="E645" t="s">
        <v>620</v>
      </c>
      <c r="F645" t="s">
        <v>47</v>
      </c>
      <c r="G645">
        <v>6.2</v>
      </c>
      <c r="H645">
        <v>4.2</v>
      </c>
      <c r="I645">
        <v>88.1</v>
      </c>
      <c r="J645">
        <v>1</v>
      </c>
      <c r="K645">
        <v>25</v>
      </c>
      <c r="L645">
        <v>4.8</v>
      </c>
      <c r="M645">
        <v>2.9</v>
      </c>
      <c r="N645">
        <v>3.3</v>
      </c>
      <c r="O645">
        <v>1.1000000000000001</v>
      </c>
      <c r="P645" t="s">
        <v>1615</v>
      </c>
      <c r="Q645" t="s">
        <v>1475</v>
      </c>
      <c r="R645" t="s">
        <v>2589</v>
      </c>
      <c r="T645">
        <v>1000048</v>
      </c>
      <c r="V645">
        <v>0</v>
      </c>
      <c r="X645">
        <v>0</v>
      </c>
      <c r="Z645">
        <v>0</v>
      </c>
      <c r="AB645">
        <v>0</v>
      </c>
      <c r="AD645">
        <v>0</v>
      </c>
      <c r="AE645" t="s">
        <v>57</v>
      </c>
      <c r="AF645">
        <v>0</v>
      </c>
      <c r="AG645" t="s">
        <v>2590</v>
      </c>
      <c r="AH645">
        <v>725799</v>
      </c>
      <c r="AI645" t="s">
        <v>620</v>
      </c>
      <c r="AJ645" s="1">
        <v>7022</v>
      </c>
      <c r="AK645">
        <v>6.3</v>
      </c>
      <c r="AL645" s="2">
        <v>0.06</v>
      </c>
      <c r="AM645" s="3">
        <v>2.3638888888888889</v>
      </c>
      <c r="AN645" t="s">
        <v>2589</v>
      </c>
      <c r="AO645" t="s">
        <v>2591</v>
      </c>
      <c r="AP645" t="b">
        <v>0</v>
      </c>
      <c r="AQ645" t="b">
        <v>0</v>
      </c>
      <c r="AR645" t="b">
        <v>0</v>
      </c>
    </row>
    <row r="646" spans="1:45" x14ac:dyDescent="0.3">
      <c r="A646" t="s">
        <v>2266</v>
      </c>
      <c r="B646" t="s">
        <v>2200</v>
      </c>
      <c r="C646" t="s">
        <v>2592</v>
      </c>
      <c r="D646" t="s">
        <v>1075</v>
      </c>
      <c r="E646" t="s">
        <v>1076</v>
      </c>
      <c r="F646" t="s">
        <v>47</v>
      </c>
      <c r="G646">
        <v>7.6</v>
      </c>
      <c r="H646">
        <v>29.3</v>
      </c>
      <c r="I646">
        <v>1.7</v>
      </c>
      <c r="J646">
        <v>20</v>
      </c>
      <c r="K646">
        <v>1.6</v>
      </c>
      <c r="L646">
        <v>3.1</v>
      </c>
      <c r="M646">
        <v>14</v>
      </c>
      <c r="N646">
        <v>20.9</v>
      </c>
      <c r="O646">
        <v>2.4</v>
      </c>
      <c r="P646" t="s">
        <v>1615</v>
      </c>
      <c r="Q646" t="s">
        <v>679</v>
      </c>
      <c r="R646" t="s">
        <v>2592</v>
      </c>
      <c r="S646" t="s">
        <v>680</v>
      </c>
      <c r="T646">
        <v>8180</v>
      </c>
      <c r="U646">
        <v>18.100000000000001</v>
      </c>
      <c r="V646">
        <v>1538</v>
      </c>
      <c r="W646">
        <v>23.6</v>
      </c>
      <c r="X646">
        <v>667</v>
      </c>
      <c r="Y646">
        <v>53.3</v>
      </c>
      <c r="Z646">
        <v>937</v>
      </c>
      <c r="AA646">
        <v>57.8</v>
      </c>
      <c r="AB646">
        <v>684</v>
      </c>
      <c r="AC646">
        <v>44.5</v>
      </c>
      <c r="AD646">
        <v>973</v>
      </c>
      <c r="AE646" t="s">
        <v>57</v>
      </c>
      <c r="AF646">
        <v>0</v>
      </c>
      <c r="AG646" t="s">
        <v>2593</v>
      </c>
      <c r="AH646">
        <v>131674</v>
      </c>
      <c r="AI646" t="s">
        <v>1076</v>
      </c>
      <c r="AJ646" s="1">
        <v>10477</v>
      </c>
      <c r="AK646">
        <v>53.7</v>
      </c>
      <c r="AL646" s="2">
        <v>0.05</v>
      </c>
      <c r="AM646" s="3">
        <v>1.9131944444444444</v>
      </c>
      <c r="AN646" t="s">
        <v>2592</v>
      </c>
      <c r="AO646" t="s">
        <v>2594</v>
      </c>
      <c r="AP646" t="b">
        <v>0</v>
      </c>
      <c r="AQ646" t="b">
        <v>0</v>
      </c>
      <c r="AR646" t="b">
        <v>0</v>
      </c>
    </row>
    <row r="647" spans="1:45" x14ac:dyDescent="0.3">
      <c r="A647" t="s">
        <v>2266</v>
      </c>
      <c r="B647" t="s">
        <v>2043</v>
      </c>
      <c r="C647" t="s">
        <v>2595</v>
      </c>
      <c r="D647" t="s">
        <v>45</v>
      </c>
      <c r="E647" t="s">
        <v>46</v>
      </c>
      <c r="F647" t="s">
        <v>56</v>
      </c>
      <c r="G647">
        <v>7.1</v>
      </c>
      <c r="H647">
        <v>7.7</v>
      </c>
      <c r="I647">
        <v>7.6</v>
      </c>
      <c r="J647">
        <v>17.2</v>
      </c>
      <c r="K647">
        <v>27.6</v>
      </c>
      <c r="L647">
        <v>6</v>
      </c>
      <c r="M647">
        <v>54.7</v>
      </c>
      <c r="N647">
        <v>16.399999999999999</v>
      </c>
      <c r="O647">
        <v>10.9</v>
      </c>
      <c r="P647" t="s">
        <v>1615</v>
      </c>
      <c r="Q647" t="s">
        <v>572</v>
      </c>
      <c r="R647" t="s">
        <v>2595</v>
      </c>
      <c r="S647" t="s">
        <v>574</v>
      </c>
      <c r="T647">
        <v>5120</v>
      </c>
      <c r="U647">
        <v>36</v>
      </c>
      <c r="V647">
        <v>424</v>
      </c>
      <c r="W647">
        <v>25.7</v>
      </c>
      <c r="X647">
        <v>581</v>
      </c>
      <c r="Y647">
        <v>59.6</v>
      </c>
      <c r="Z647">
        <v>789</v>
      </c>
      <c r="AA647">
        <v>69.3</v>
      </c>
      <c r="AB647">
        <v>448</v>
      </c>
      <c r="AC647">
        <v>57.7</v>
      </c>
      <c r="AD647">
        <v>628</v>
      </c>
      <c r="AE647" t="s">
        <v>208</v>
      </c>
      <c r="AF647">
        <v>0</v>
      </c>
      <c r="AG647" t="s">
        <v>2596</v>
      </c>
      <c r="AH647">
        <v>817</v>
      </c>
      <c r="AI647" t="s">
        <v>46</v>
      </c>
      <c r="AJ647" s="1">
        <v>27670</v>
      </c>
      <c r="AK647">
        <v>18.2</v>
      </c>
      <c r="AL647" s="2">
        <v>0.08</v>
      </c>
      <c r="AM647" s="3">
        <v>2.1180555555555554</v>
      </c>
      <c r="AN647" t="s">
        <v>2595</v>
      </c>
      <c r="AO647" t="s">
        <v>2597</v>
      </c>
      <c r="AP647" t="b">
        <v>0</v>
      </c>
      <c r="AQ647" t="b">
        <v>0</v>
      </c>
      <c r="AR647" t="b">
        <v>0</v>
      </c>
      <c r="AS647" t="s">
        <v>2598</v>
      </c>
    </row>
    <row r="648" spans="1:45" x14ac:dyDescent="0.3">
      <c r="A648" t="s">
        <v>2266</v>
      </c>
      <c r="B648" t="s">
        <v>2369</v>
      </c>
      <c r="C648" t="s">
        <v>2599</v>
      </c>
      <c r="D648" t="s">
        <v>2600</v>
      </c>
      <c r="E648" t="s">
        <v>2601</v>
      </c>
      <c r="F648" t="s">
        <v>56</v>
      </c>
      <c r="G648">
        <v>12.9</v>
      </c>
      <c r="H648">
        <v>5.5</v>
      </c>
      <c r="I648">
        <v>41.7</v>
      </c>
      <c r="J648">
        <v>1.4</v>
      </c>
      <c r="K648">
        <v>5.3</v>
      </c>
      <c r="L648">
        <v>2.2000000000000002</v>
      </c>
      <c r="M648">
        <v>16.7</v>
      </c>
      <c r="N648">
        <v>47.7</v>
      </c>
      <c r="O648">
        <v>1.3</v>
      </c>
      <c r="P648" t="s">
        <v>1615</v>
      </c>
      <c r="Q648" t="s">
        <v>1068</v>
      </c>
      <c r="R648" t="s">
        <v>2599</v>
      </c>
      <c r="S648" t="s">
        <v>1070</v>
      </c>
      <c r="T648">
        <v>15440</v>
      </c>
      <c r="U648">
        <v>20.100000000000001</v>
      </c>
      <c r="V648">
        <v>1363</v>
      </c>
      <c r="W648">
        <v>8.6</v>
      </c>
      <c r="X648">
        <v>1839</v>
      </c>
      <c r="Y648">
        <v>13.8</v>
      </c>
      <c r="Z648">
        <v>1786</v>
      </c>
      <c r="AA648">
        <v>19.7</v>
      </c>
      <c r="AB648">
        <v>1545</v>
      </c>
      <c r="AC648">
        <v>35.5</v>
      </c>
      <c r="AD648">
        <v>1293</v>
      </c>
      <c r="AE648" t="s">
        <v>57</v>
      </c>
      <c r="AF648">
        <v>0</v>
      </c>
      <c r="AG648" t="s">
        <v>2602</v>
      </c>
      <c r="AH648">
        <v>131448</v>
      </c>
      <c r="AI648" t="s">
        <v>2601</v>
      </c>
      <c r="AJ648" s="1">
        <v>23684</v>
      </c>
      <c r="AK648">
        <v>13.2</v>
      </c>
      <c r="AL648" s="2">
        <v>0.02</v>
      </c>
      <c r="AM648" s="3">
        <v>2.7736111111111112</v>
      </c>
      <c r="AN648" t="s">
        <v>2599</v>
      </c>
      <c r="AO648" t="s">
        <v>2603</v>
      </c>
      <c r="AP648" t="b">
        <v>0</v>
      </c>
      <c r="AQ648" t="b">
        <v>0</v>
      </c>
      <c r="AR648" t="b">
        <v>0</v>
      </c>
    </row>
    <row r="649" spans="1:45" x14ac:dyDescent="0.3">
      <c r="A649" t="s">
        <v>2266</v>
      </c>
      <c r="B649" t="s">
        <v>2043</v>
      </c>
      <c r="C649" t="s">
        <v>2604</v>
      </c>
      <c r="D649" t="s">
        <v>45</v>
      </c>
      <c r="E649" t="s">
        <v>46</v>
      </c>
      <c r="F649" t="s">
        <v>388</v>
      </c>
      <c r="G649">
        <v>2.6</v>
      </c>
      <c r="H649">
        <v>2.5</v>
      </c>
      <c r="I649">
        <v>18.899999999999999</v>
      </c>
      <c r="J649">
        <v>16.7</v>
      </c>
      <c r="K649">
        <v>13.2</v>
      </c>
      <c r="L649">
        <v>84.7</v>
      </c>
      <c r="M649">
        <v>20.2</v>
      </c>
      <c r="N649">
        <v>13.6</v>
      </c>
      <c r="O649">
        <v>6.5</v>
      </c>
      <c r="P649" t="s">
        <v>1615</v>
      </c>
      <c r="Q649" t="s">
        <v>696</v>
      </c>
      <c r="R649" t="s">
        <v>2604</v>
      </c>
      <c r="S649" t="s">
        <v>697</v>
      </c>
      <c r="T649">
        <v>6350</v>
      </c>
      <c r="U649">
        <v>26.6</v>
      </c>
      <c r="V649">
        <v>900</v>
      </c>
      <c r="W649">
        <v>20.8</v>
      </c>
      <c r="X649">
        <v>781</v>
      </c>
      <c r="Y649">
        <v>66.8</v>
      </c>
      <c r="Z649">
        <v>627</v>
      </c>
      <c r="AA649">
        <v>54</v>
      </c>
      <c r="AB649">
        <v>737</v>
      </c>
      <c r="AC649">
        <v>70.5</v>
      </c>
      <c r="AD649">
        <v>400</v>
      </c>
      <c r="AE649" t="s">
        <v>49</v>
      </c>
      <c r="AF649">
        <v>0</v>
      </c>
      <c r="AG649" t="s">
        <v>2605</v>
      </c>
      <c r="AH649">
        <v>131481</v>
      </c>
      <c r="AI649" t="s">
        <v>46</v>
      </c>
      <c r="AJ649" s="1">
        <v>3217</v>
      </c>
      <c r="AK649">
        <v>12.2</v>
      </c>
      <c r="AL649" s="2">
        <v>0.27</v>
      </c>
      <c r="AM649" s="3">
        <v>2.4868055555555557</v>
      </c>
      <c r="AN649" t="s">
        <v>2604</v>
      </c>
      <c r="AO649" t="s">
        <v>2606</v>
      </c>
      <c r="AP649" t="b">
        <v>0</v>
      </c>
      <c r="AQ649" t="b">
        <v>0</v>
      </c>
      <c r="AR649" t="b">
        <v>0</v>
      </c>
      <c r="AS649" t="s">
        <v>2607</v>
      </c>
    </row>
    <row r="650" spans="1:45" x14ac:dyDescent="0.3">
      <c r="A650" t="s">
        <v>2266</v>
      </c>
      <c r="B650" t="s">
        <v>2200</v>
      </c>
      <c r="C650" t="s">
        <v>2608</v>
      </c>
      <c r="D650" t="s">
        <v>619</v>
      </c>
      <c r="E650" t="s">
        <v>620</v>
      </c>
      <c r="F650" t="s">
        <v>47</v>
      </c>
      <c r="G650">
        <v>13</v>
      </c>
      <c r="H650">
        <v>7.7</v>
      </c>
      <c r="I650">
        <v>64.2</v>
      </c>
      <c r="J650">
        <v>1.2</v>
      </c>
      <c r="K650">
        <v>14.4</v>
      </c>
      <c r="L650">
        <v>2.5</v>
      </c>
      <c r="M650">
        <v>2.4</v>
      </c>
      <c r="N650">
        <v>3.5</v>
      </c>
      <c r="O650">
        <v>1.3</v>
      </c>
      <c r="P650" t="s">
        <v>1615</v>
      </c>
      <c r="Q650" t="s">
        <v>1475</v>
      </c>
      <c r="R650" t="s">
        <v>2609</v>
      </c>
      <c r="T650">
        <v>1000199</v>
      </c>
      <c r="V650">
        <v>0</v>
      </c>
      <c r="X650">
        <v>0</v>
      </c>
      <c r="Z650">
        <v>0</v>
      </c>
      <c r="AB650">
        <v>0</v>
      </c>
      <c r="AD650">
        <v>0</v>
      </c>
      <c r="AE650" t="s">
        <v>57</v>
      </c>
      <c r="AF650">
        <v>0</v>
      </c>
      <c r="AG650" t="s">
        <v>2610</v>
      </c>
      <c r="AH650">
        <v>722207</v>
      </c>
      <c r="AI650" t="s">
        <v>620</v>
      </c>
      <c r="AJ650" s="1">
        <v>4994</v>
      </c>
      <c r="AK650">
        <v>14.4</v>
      </c>
      <c r="AL650" s="2">
        <v>0.03</v>
      </c>
      <c r="AM650" t="s">
        <v>410</v>
      </c>
      <c r="AN650" t="s">
        <v>2609</v>
      </c>
      <c r="AO650" t="s">
        <v>2611</v>
      </c>
      <c r="AP650" t="b">
        <v>0</v>
      </c>
      <c r="AQ650" t="b">
        <v>0</v>
      </c>
      <c r="AR650" t="b">
        <v>0</v>
      </c>
    </row>
    <row r="651" spans="1:45" x14ac:dyDescent="0.3">
      <c r="A651" t="s">
        <v>2266</v>
      </c>
      <c r="B651" t="s">
        <v>2369</v>
      </c>
      <c r="C651" t="s">
        <v>2612</v>
      </c>
      <c r="D651" t="s">
        <v>1134</v>
      </c>
      <c r="E651" t="s">
        <v>1135</v>
      </c>
      <c r="F651" t="s">
        <v>56</v>
      </c>
      <c r="G651">
        <v>7</v>
      </c>
      <c r="H651">
        <v>6</v>
      </c>
      <c r="I651">
        <v>3.5</v>
      </c>
      <c r="J651">
        <v>28.2</v>
      </c>
      <c r="K651">
        <v>1.3</v>
      </c>
      <c r="L651">
        <v>7.1</v>
      </c>
      <c r="M651">
        <v>71.7</v>
      </c>
      <c r="N651">
        <v>5.2</v>
      </c>
      <c r="O651">
        <v>1.7</v>
      </c>
      <c r="P651" t="s">
        <v>1615</v>
      </c>
      <c r="Q651" t="s">
        <v>679</v>
      </c>
      <c r="R651" t="s">
        <v>2612</v>
      </c>
      <c r="S651" t="s">
        <v>680</v>
      </c>
      <c r="T651">
        <v>8600</v>
      </c>
      <c r="U651">
        <v>28.6</v>
      </c>
      <c r="V651">
        <v>765</v>
      </c>
      <c r="W651">
        <v>26.8</v>
      </c>
      <c r="X651">
        <v>546</v>
      </c>
      <c r="Y651">
        <v>48.2</v>
      </c>
      <c r="Z651">
        <v>1050</v>
      </c>
      <c r="AA651">
        <v>45.4</v>
      </c>
      <c r="AB651">
        <v>888</v>
      </c>
      <c r="AC651">
        <v>38.6</v>
      </c>
      <c r="AD651">
        <v>1167</v>
      </c>
      <c r="AE651" t="s">
        <v>57</v>
      </c>
      <c r="AF651">
        <v>0</v>
      </c>
      <c r="AG651" t="s">
        <v>2613</v>
      </c>
      <c r="AH651">
        <v>131530</v>
      </c>
      <c r="AI651" t="s">
        <v>1137</v>
      </c>
      <c r="AJ651" s="1">
        <v>25009</v>
      </c>
      <c r="AK651">
        <v>30.5</v>
      </c>
      <c r="AL651" s="2">
        <v>0.11</v>
      </c>
      <c r="AM651" s="3">
        <v>2.2819444444444446</v>
      </c>
      <c r="AN651" t="s">
        <v>2612</v>
      </c>
      <c r="AO651" t="s">
        <v>2614</v>
      </c>
      <c r="AP651" t="b">
        <v>0</v>
      </c>
      <c r="AQ651" t="b">
        <v>0</v>
      </c>
      <c r="AR651" t="b">
        <v>0</v>
      </c>
    </row>
    <row r="652" spans="1:45" x14ac:dyDescent="0.3">
      <c r="A652" t="s">
        <v>2266</v>
      </c>
      <c r="B652" t="s">
        <v>2369</v>
      </c>
      <c r="C652" t="s">
        <v>2615</v>
      </c>
      <c r="D652" t="s">
        <v>378</v>
      </c>
      <c r="E652" t="s">
        <v>379</v>
      </c>
      <c r="F652" t="s">
        <v>56</v>
      </c>
      <c r="G652">
        <v>5.3</v>
      </c>
      <c r="H652">
        <v>9.9</v>
      </c>
      <c r="I652">
        <v>39.299999999999997</v>
      </c>
      <c r="J652">
        <v>1.6</v>
      </c>
      <c r="K652">
        <v>4.7</v>
      </c>
      <c r="L652">
        <v>19.399999999999999</v>
      </c>
      <c r="M652">
        <v>32.4</v>
      </c>
      <c r="N652">
        <v>47.7</v>
      </c>
      <c r="O652">
        <v>5.0999999999999996</v>
      </c>
      <c r="P652" t="s">
        <v>1615</v>
      </c>
      <c r="Q652" t="s">
        <v>733</v>
      </c>
      <c r="R652" t="s">
        <v>2615</v>
      </c>
      <c r="S652" t="s">
        <v>735</v>
      </c>
      <c r="T652">
        <v>10540</v>
      </c>
      <c r="U652">
        <v>26.7</v>
      </c>
      <c r="V652">
        <v>891</v>
      </c>
      <c r="W652">
        <v>18</v>
      </c>
      <c r="X652">
        <v>916</v>
      </c>
      <c r="Y652">
        <v>50.3</v>
      </c>
      <c r="Z652">
        <v>1015</v>
      </c>
      <c r="AA652">
        <v>30.9</v>
      </c>
      <c r="AB652">
        <v>1159</v>
      </c>
      <c r="AC652">
        <v>34.5</v>
      </c>
      <c r="AD652">
        <v>1337</v>
      </c>
      <c r="AE652" t="s">
        <v>57</v>
      </c>
      <c r="AF652">
        <v>0</v>
      </c>
      <c r="AG652" t="s">
        <v>2616</v>
      </c>
      <c r="AH652">
        <v>624054</v>
      </c>
      <c r="AI652" t="s">
        <v>381</v>
      </c>
      <c r="AJ652" s="1">
        <v>16580</v>
      </c>
      <c r="AK652">
        <v>13</v>
      </c>
      <c r="AL652" s="2">
        <v>0.09</v>
      </c>
      <c r="AM652" s="3">
        <v>2.1590277777777778</v>
      </c>
      <c r="AN652" t="s">
        <v>2615</v>
      </c>
      <c r="AO652" t="s">
        <v>2617</v>
      </c>
      <c r="AP652" t="b">
        <v>0</v>
      </c>
      <c r="AQ652" t="b">
        <v>0</v>
      </c>
      <c r="AR652" t="b">
        <v>1</v>
      </c>
    </row>
    <row r="653" spans="1:45" x14ac:dyDescent="0.3">
      <c r="A653" t="s">
        <v>2266</v>
      </c>
      <c r="B653" t="s">
        <v>2200</v>
      </c>
      <c r="C653" t="s">
        <v>2618</v>
      </c>
      <c r="D653" t="s">
        <v>166</v>
      </c>
      <c r="E653" t="s">
        <v>167</v>
      </c>
      <c r="F653" t="s">
        <v>47</v>
      </c>
      <c r="G653">
        <v>2.8</v>
      </c>
      <c r="H653">
        <v>1.8</v>
      </c>
      <c r="I653">
        <v>94.4</v>
      </c>
      <c r="J653">
        <v>6.9</v>
      </c>
      <c r="K653">
        <v>3.8</v>
      </c>
      <c r="L653">
        <v>2.2000000000000002</v>
      </c>
      <c r="M653">
        <v>5.7</v>
      </c>
      <c r="N653">
        <v>1.7</v>
      </c>
      <c r="O653">
        <v>1.1000000000000001</v>
      </c>
      <c r="P653" t="s">
        <v>1615</v>
      </c>
      <c r="Q653" t="s">
        <v>621</v>
      </c>
      <c r="R653" t="s">
        <v>2619</v>
      </c>
      <c r="S653" t="s">
        <v>622</v>
      </c>
      <c r="T653">
        <v>12940</v>
      </c>
      <c r="U653">
        <v>25.2</v>
      </c>
      <c r="V653">
        <v>987</v>
      </c>
      <c r="W653">
        <v>19.8</v>
      </c>
      <c r="X653">
        <v>826</v>
      </c>
      <c r="Y653">
        <v>31.8</v>
      </c>
      <c r="Z653">
        <v>1403</v>
      </c>
      <c r="AA653">
        <v>60.6</v>
      </c>
      <c r="AB653">
        <v>631</v>
      </c>
      <c r="AC653">
        <v>23.4</v>
      </c>
      <c r="AD653">
        <v>1763</v>
      </c>
      <c r="AE653" t="s">
        <v>57</v>
      </c>
      <c r="AF653">
        <v>0</v>
      </c>
      <c r="AG653" t="s">
        <v>2620</v>
      </c>
      <c r="AH653">
        <v>589301</v>
      </c>
      <c r="AI653" t="s">
        <v>167</v>
      </c>
      <c r="AJ653" s="1">
        <v>8369</v>
      </c>
      <c r="AK653">
        <v>9.3000000000000007</v>
      </c>
      <c r="AL653" s="2">
        <v>0.04</v>
      </c>
      <c r="AN653" t="s">
        <v>2619</v>
      </c>
      <c r="AO653" t="s">
        <v>2621</v>
      </c>
      <c r="AP653" t="b">
        <v>0</v>
      </c>
      <c r="AQ653" t="b">
        <v>0</v>
      </c>
      <c r="AR653" t="b">
        <v>0</v>
      </c>
    </row>
    <row r="654" spans="1:45" x14ac:dyDescent="0.3">
      <c r="A654" t="s">
        <v>2266</v>
      </c>
      <c r="B654" t="s">
        <v>2266</v>
      </c>
      <c r="C654" t="s">
        <v>2622</v>
      </c>
      <c r="D654" t="s">
        <v>796</v>
      </c>
      <c r="E654" t="s">
        <v>797</v>
      </c>
      <c r="F654" t="s">
        <v>77</v>
      </c>
      <c r="G654">
        <v>17.2</v>
      </c>
      <c r="H654">
        <v>10.7</v>
      </c>
      <c r="I654">
        <v>7.4</v>
      </c>
      <c r="J654">
        <v>4.4000000000000004</v>
      </c>
      <c r="K654">
        <v>5.3</v>
      </c>
      <c r="L654">
        <v>2.2999999999999998</v>
      </c>
      <c r="M654">
        <v>50.9</v>
      </c>
      <c r="N654">
        <v>4.4000000000000004</v>
      </c>
      <c r="O654">
        <v>31.8</v>
      </c>
      <c r="P654" t="s">
        <v>1615</v>
      </c>
      <c r="Q654" t="s">
        <v>621</v>
      </c>
      <c r="R654" t="s">
        <v>2622</v>
      </c>
      <c r="S654" t="s">
        <v>622</v>
      </c>
      <c r="T654">
        <v>13290</v>
      </c>
      <c r="U654">
        <v>23.3</v>
      </c>
      <c r="V654">
        <v>1130</v>
      </c>
      <c r="W654">
        <v>15.7</v>
      </c>
      <c r="X654">
        <v>1071</v>
      </c>
      <c r="Y654">
        <v>35.5</v>
      </c>
      <c r="Z654">
        <v>1311</v>
      </c>
      <c r="AA654">
        <v>36.1</v>
      </c>
      <c r="AB654">
        <v>1071</v>
      </c>
      <c r="AC654">
        <v>35.4</v>
      </c>
      <c r="AD654">
        <v>1303</v>
      </c>
      <c r="AE654" t="s">
        <v>57</v>
      </c>
      <c r="AF654">
        <v>0</v>
      </c>
      <c r="AG654" t="s">
        <v>2623</v>
      </c>
      <c r="AH654">
        <v>131523</v>
      </c>
      <c r="AI654" t="s">
        <v>797</v>
      </c>
      <c r="AJ654" s="1">
        <v>32895</v>
      </c>
      <c r="AK654">
        <v>17.2</v>
      </c>
      <c r="AL654" s="2">
        <v>0.02</v>
      </c>
      <c r="AM654" s="3">
        <v>2.6097222222222221</v>
      </c>
      <c r="AN654" t="s">
        <v>2622</v>
      </c>
      <c r="AO654" t="s">
        <v>2624</v>
      </c>
      <c r="AP654" t="b">
        <v>0</v>
      </c>
      <c r="AQ654" t="b">
        <v>0</v>
      </c>
      <c r="AR654" t="b">
        <v>0</v>
      </c>
    </row>
    <row r="655" spans="1:45" x14ac:dyDescent="0.3">
      <c r="A655" t="s">
        <v>2266</v>
      </c>
      <c r="B655" t="s">
        <v>2266</v>
      </c>
      <c r="C655" t="s">
        <v>2625</v>
      </c>
      <c r="D655" t="s">
        <v>796</v>
      </c>
      <c r="E655" t="s">
        <v>797</v>
      </c>
      <c r="F655" t="s">
        <v>56</v>
      </c>
      <c r="G655">
        <v>13.2</v>
      </c>
      <c r="H655">
        <v>6.3</v>
      </c>
      <c r="I655">
        <v>13.3</v>
      </c>
      <c r="J655">
        <v>8.5</v>
      </c>
      <c r="K655">
        <v>9.5</v>
      </c>
      <c r="L655">
        <v>3.2</v>
      </c>
      <c r="M655">
        <v>36.9</v>
      </c>
      <c r="N655">
        <v>2.6</v>
      </c>
      <c r="O655">
        <v>41</v>
      </c>
      <c r="P655" t="s">
        <v>1615</v>
      </c>
      <c r="Q655" t="s">
        <v>679</v>
      </c>
      <c r="R655" t="s">
        <v>2626</v>
      </c>
      <c r="S655" t="s">
        <v>680</v>
      </c>
      <c r="T655">
        <v>9000</v>
      </c>
      <c r="U655">
        <v>21.5</v>
      </c>
      <c r="V655">
        <v>1266</v>
      </c>
      <c r="W655">
        <v>22.1</v>
      </c>
      <c r="X655">
        <v>723</v>
      </c>
      <c r="Y655">
        <v>59.5</v>
      </c>
      <c r="Z655">
        <v>791</v>
      </c>
      <c r="AA655">
        <v>71</v>
      </c>
      <c r="AB655">
        <v>408</v>
      </c>
      <c r="AC655">
        <v>43.3</v>
      </c>
      <c r="AD655">
        <v>1004</v>
      </c>
      <c r="AE655" t="s">
        <v>57</v>
      </c>
      <c r="AF655">
        <v>0</v>
      </c>
      <c r="AG655" t="s">
        <v>2627</v>
      </c>
      <c r="AH655">
        <v>901</v>
      </c>
      <c r="AI655" t="s">
        <v>797</v>
      </c>
      <c r="AJ655" s="1">
        <v>15075</v>
      </c>
      <c r="AK655">
        <v>20.399999999999999</v>
      </c>
      <c r="AL655" s="2">
        <v>0.04</v>
      </c>
      <c r="AM655" s="3">
        <v>1.9131944444444444</v>
      </c>
      <c r="AN655" t="s">
        <v>2626</v>
      </c>
      <c r="AO655" t="s">
        <v>2628</v>
      </c>
      <c r="AP655" t="b">
        <v>0</v>
      </c>
      <c r="AQ655" t="b">
        <v>0</v>
      </c>
      <c r="AR655" t="b">
        <v>0</v>
      </c>
    </row>
    <row r="656" spans="1:45" x14ac:dyDescent="0.3">
      <c r="A656" t="s">
        <v>2266</v>
      </c>
      <c r="B656" t="s">
        <v>2200</v>
      </c>
      <c r="C656" t="s">
        <v>2629</v>
      </c>
      <c r="D656" t="s">
        <v>175</v>
      </c>
      <c r="E656" t="s">
        <v>176</v>
      </c>
      <c r="F656" t="s">
        <v>47</v>
      </c>
      <c r="G656">
        <v>7.1</v>
      </c>
      <c r="H656">
        <v>2.8</v>
      </c>
      <c r="I656">
        <v>55.2</v>
      </c>
      <c r="J656">
        <v>12.6</v>
      </c>
      <c r="K656">
        <v>7.2</v>
      </c>
      <c r="L656">
        <v>3.5</v>
      </c>
      <c r="M656">
        <v>35.1</v>
      </c>
      <c r="N656">
        <v>2.9</v>
      </c>
      <c r="O656">
        <v>8</v>
      </c>
      <c r="P656" t="s">
        <v>1615</v>
      </c>
      <c r="Q656" t="s">
        <v>679</v>
      </c>
      <c r="R656" t="s">
        <v>2629</v>
      </c>
      <c r="S656" t="s">
        <v>680</v>
      </c>
      <c r="T656">
        <v>9040</v>
      </c>
      <c r="U656">
        <v>33.6</v>
      </c>
      <c r="V656">
        <v>515</v>
      </c>
      <c r="W656">
        <v>19.600000000000001</v>
      </c>
      <c r="X656">
        <v>834</v>
      </c>
      <c r="Y656">
        <v>40.9</v>
      </c>
      <c r="Z656">
        <v>1203</v>
      </c>
      <c r="AA656">
        <v>77.5</v>
      </c>
      <c r="AB656">
        <v>295</v>
      </c>
      <c r="AC656">
        <v>36.5</v>
      </c>
      <c r="AD656">
        <v>1257</v>
      </c>
      <c r="AE656" t="s">
        <v>57</v>
      </c>
      <c r="AF656">
        <v>0</v>
      </c>
      <c r="AG656" t="s">
        <v>2630</v>
      </c>
      <c r="AH656">
        <v>131520</v>
      </c>
      <c r="AI656" t="s">
        <v>176</v>
      </c>
      <c r="AJ656" s="1">
        <v>9384</v>
      </c>
      <c r="AK656">
        <v>9.8000000000000007</v>
      </c>
      <c r="AL656" s="2">
        <v>0.06</v>
      </c>
      <c r="AM656" t="s">
        <v>455</v>
      </c>
      <c r="AN656" t="s">
        <v>2629</v>
      </c>
      <c r="AO656" t="s">
        <v>2631</v>
      </c>
      <c r="AP656" t="b">
        <v>0</v>
      </c>
      <c r="AQ656" t="b">
        <v>0</v>
      </c>
      <c r="AR656" t="b">
        <v>0</v>
      </c>
    </row>
    <row r="657" spans="1:45" x14ac:dyDescent="0.3">
      <c r="A657" t="s">
        <v>2266</v>
      </c>
      <c r="B657" t="s">
        <v>2369</v>
      </c>
      <c r="C657" t="s">
        <v>2632</v>
      </c>
      <c r="D657" t="s">
        <v>1159</v>
      </c>
      <c r="E657" t="s">
        <v>1160</v>
      </c>
      <c r="F657" t="s">
        <v>77</v>
      </c>
      <c r="G657">
        <v>14.1</v>
      </c>
      <c r="H657">
        <v>12</v>
      </c>
      <c r="I657">
        <v>3.3</v>
      </c>
      <c r="J657">
        <v>2.6</v>
      </c>
      <c r="K657">
        <v>6.7</v>
      </c>
      <c r="L657">
        <v>5.7</v>
      </c>
      <c r="M657">
        <v>74.7</v>
      </c>
      <c r="N657">
        <v>4.4000000000000004</v>
      </c>
      <c r="O657">
        <v>40.4</v>
      </c>
      <c r="P657" t="s">
        <v>1615</v>
      </c>
      <c r="Q657" t="s">
        <v>679</v>
      </c>
      <c r="R657" t="s">
        <v>2632</v>
      </c>
      <c r="S657" t="s">
        <v>680</v>
      </c>
      <c r="T657">
        <v>9200</v>
      </c>
      <c r="U657">
        <v>19.5</v>
      </c>
      <c r="V657">
        <v>1422</v>
      </c>
      <c r="W657">
        <v>12.4</v>
      </c>
      <c r="X657">
        <v>1366</v>
      </c>
      <c r="Y657">
        <v>68.099999999999994</v>
      </c>
      <c r="Z657">
        <v>600</v>
      </c>
      <c r="AA657">
        <v>31.8</v>
      </c>
      <c r="AB657">
        <v>1145</v>
      </c>
      <c r="AC657">
        <v>74.099999999999994</v>
      </c>
      <c r="AD657">
        <v>349</v>
      </c>
      <c r="AE657" t="s">
        <v>57</v>
      </c>
      <c r="AF657">
        <v>0</v>
      </c>
      <c r="AG657" t="s">
        <v>2633</v>
      </c>
      <c r="AH657">
        <v>918</v>
      </c>
      <c r="AI657" t="s">
        <v>1160</v>
      </c>
      <c r="AJ657" s="1">
        <v>174302</v>
      </c>
      <c r="AK657">
        <v>40.200000000000003</v>
      </c>
      <c r="AL657" s="2">
        <v>0.04</v>
      </c>
      <c r="AM657" s="3">
        <v>2.1180555555555554</v>
      </c>
      <c r="AN657" t="s">
        <v>2632</v>
      </c>
      <c r="AO657" t="s">
        <v>2634</v>
      </c>
      <c r="AP657" t="b">
        <v>0</v>
      </c>
      <c r="AQ657" t="b">
        <v>0</v>
      </c>
      <c r="AR657" t="b">
        <v>0</v>
      </c>
    </row>
    <row r="658" spans="1:45" x14ac:dyDescent="0.3">
      <c r="A658" t="s">
        <v>2266</v>
      </c>
      <c r="B658" t="s">
        <v>2157</v>
      </c>
      <c r="C658" t="s">
        <v>2635</v>
      </c>
      <c r="D658" t="s">
        <v>175</v>
      </c>
      <c r="E658" t="s">
        <v>176</v>
      </c>
      <c r="F658" t="s">
        <v>56</v>
      </c>
      <c r="G658">
        <v>4.9000000000000004</v>
      </c>
      <c r="H658">
        <v>3.2</v>
      </c>
      <c r="I658">
        <v>85.3</v>
      </c>
      <c r="J658">
        <v>3.8</v>
      </c>
      <c r="K658">
        <v>4.5999999999999996</v>
      </c>
      <c r="L658">
        <v>3.1</v>
      </c>
      <c r="M658">
        <v>18.399999999999999</v>
      </c>
      <c r="N658">
        <v>5.7</v>
      </c>
      <c r="O658">
        <v>1.8</v>
      </c>
      <c r="P658" t="s">
        <v>1615</v>
      </c>
      <c r="Q658" t="s">
        <v>733</v>
      </c>
      <c r="R658" t="s">
        <v>2635</v>
      </c>
      <c r="S658" t="s">
        <v>735</v>
      </c>
      <c r="T658">
        <v>11280</v>
      </c>
      <c r="U658">
        <v>30.6</v>
      </c>
      <c r="V658">
        <v>661</v>
      </c>
      <c r="W658">
        <v>15</v>
      </c>
      <c r="X658">
        <v>1123</v>
      </c>
      <c r="Y658">
        <v>41.8</v>
      </c>
      <c r="Z658">
        <v>1185</v>
      </c>
      <c r="AA658">
        <v>49.7</v>
      </c>
      <c r="AB658">
        <v>814</v>
      </c>
      <c r="AC658">
        <v>29</v>
      </c>
      <c r="AD658">
        <v>1539</v>
      </c>
      <c r="AE658" t="s">
        <v>57</v>
      </c>
      <c r="AF658">
        <v>0</v>
      </c>
      <c r="AG658" t="s">
        <v>2636</v>
      </c>
      <c r="AH658">
        <v>131303</v>
      </c>
      <c r="AI658" t="s">
        <v>176</v>
      </c>
      <c r="AJ658" s="1">
        <v>11942</v>
      </c>
      <c r="AK658">
        <v>7.2</v>
      </c>
      <c r="AL658" s="2">
        <v>0.03</v>
      </c>
      <c r="AM658" t="s">
        <v>153</v>
      </c>
      <c r="AN658" t="s">
        <v>2635</v>
      </c>
      <c r="AO658" t="s">
        <v>2637</v>
      </c>
      <c r="AP658" t="b">
        <v>0</v>
      </c>
      <c r="AQ658" t="b">
        <v>0</v>
      </c>
      <c r="AR658" t="b">
        <v>0</v>
      </c>
    </row>
    <row r="659" spans="1:45" x14ac:dyDescent="0.3">
      <c r="A659" t="s">
        <v>2266</v>
      </c>
      <c r="B659" t="s">
        <v>2200</v>
      </c>
      <c r="C659" t="s">
        <v>2638</v>
      </c>
      <c r="D659" t="s">
        <v>402</v>
      </c>
      <c r="E659" t="s">
        <v>403</v>
      </c>
      <c r="F659" t="s">
        <v>56</v>
      </c>
      <c r="G659">
        <v>13.1</v>
      </c>
      <c r="H659">
        <v>4.7</v>
      </c>
      <c r="I659">
        <v>20.2</v>
      </c>
      <c r="J659">
        <v>2.1</v>
      </c>
      <c r="K659">
        <v>98.4</v>
      </c>
      <c r="L659">
        <v>4.8</v>
      </c>
      <c r="M659">
        <v>13.1</v>
      </c>
      <c r="N659">
        <v>2.4</v>
      </c>
      <c r="O659">
        <v>1</v>
      </c>
      <c r="P659" t="s">
        <v>1615</v>
      </c>
      <c r="Q659" t="s">
        <v>1475</v>
      </c>
      <c r="R659" t="s">
        <v>2639</v>
      </c>
      <c r="T659">
        <v>1000515</v>
      </c>
      <c r="V659">
        <v>0</v>
      </c>
      <c r="X659">
        <v>0</v>
      </c>
      <c r="Z659">
        <v>0</v>
      </c>
      <c r="AB659">
        <v>0</v>
      </c>
      <c r="AD659">
        <v>0</v>
      </c>
      <c r="AE659" t="s">
        <v>57</v>
      </c>
      <c r="AF659">
        <v>0</v>
      </c>
      <c r="AG659" t="s">
        <v>2640</v>
      </c>
      <c r="AH659">
        <v>709700</v>
      </c>
      <c r="AI659" t="s">
        <v>403</v>
      </c>
      <c r="AJ659" s="1">
        <v>14875</v>
      </c>
      <c r="AK659">
        <v>11.5</v>
      </c>
      <c r="AL659" s="2">
        <v>0.02</v>
      </c>
      <c r="AM659" s="3">
        <v>2.7326388888888888</v>
      </c>
      <c r="AN659" t="s">
        <v>2639</v>
      </c>
      <c r="AO659" t="s">
        <v>2641</v>
      </c>
      <c r="AP659" t="b">
        <v>0</v>
      </c>
      <c r="AQ659" t="b">
        <v>0</v>
      </c>
      <c r="AR659" t="b">
        <v>0</v>
      </c>
    </row>
    <row r="660" spans="1:45" x14ac:dyDescent="0.3">
      <c r="A660" t="s">
        <v>2266</v>
      </c>
      <c r="B660" t="s">
        <v>2200</v>
      </c>
      <c r="C660" t="s">
        <v>2642</v>
      </c>
      <c r="D660" t="s">
        <v>2319</v>
      </c>
      <c r="E660" t="s">
        <v>1196</v>
      </c>
      <c r="F660" t="s">
        <v>56</v>
      </c>
      <c r="G660">
        <v>17.3</v>
      </c>
      <c r="H660">
        <v>16.2</v>
      </c>
      <c r="I660">
        <v>11.5</v>
      </c>
      <c r="J660">
        <v>1.3</v>
      </c>
      <c r="K660">
        <v>14.2</v>
      </c>
      <c r="L660">
        <v>1.7</v>
      </c>
      <c r="M660">
        <v>27.1</v>
      </c>
      <c r="N660">
        <v>34</v>
      </c>
      <c r="O660">
        <v>1</v>
      </c>
      <c r="P660" t="s">
        <v>1615</v>
      </c>
      <c r="Q660" t="s">
        <v>1068</v>
      </c>
      <c r="R660" t="s">
        <v>1194</v>
      </c>
      <c r="S660" t="s">
        <v>1070</v>
      </c>
      <c r="T660">
        <v>18050</v>
      </c>
      <c r="U660">
        <v>12.2</v>
      </c>
      <c r="V660">
        <v>1871</v>
      </c>
      <c r="W660">
        <v>8.6999999999999993</v>
      </c>
      <c r="X660">
        <v>1835</v>
      </c>
      <c r="Y660">
        <v>15.3</v>
      </c>
      <c r="Z660">
        <v>1760</v>
      </c>
      <c r="AA660">
        <v>15.9</v>
      </c>
      <c r="AB660">
        <v>1879</v>
      </c>
      <c r="AC660">
        <v>63.9</v>
      </c>
      <c r="AD660">
        <v>504</v>
      </c>
      <c r="AE660" t="s">
        <v>57</v>
      </c>
      <c r="AF660">
        <v>0</v>
      </c>
      <c r="AG660" t="s">
        <v>1195</v>
      </c>
      <c r="AH660">
        <v>623952</v>
      </c>
      <c r="AI660" t="s">
        <v>1196</v>
      </c>
      <c r="AJ660" s="1">
        <v>21237</v>
      </c>
      <c r="AK660">
        <v>25.4</v>
      </c>
      <c r="AL660" s="2">
        <v>0.01</v>
      </c>
      <c r="AM660" s="3">
        <v>2.3638888888888889</v>
      </c>
      <c r="AN660" t="s">
        <v>1194</v>
      </c>
      <c r="AO660" t="s">
        <v>1197</v>
      </c>
      <c r="AP660" t="b">
        <v>0</v>
      </c>
      <c r="AQ660" t="b">
        <v>0</v>
      </c>
      <c r="AR660" t="b">
        <v>0</v>
      </c>
    </row>
    <row r="661" spans="1:45" x14ac:dyDescent="0.3">
      <c r="A661" t="s">
        <v>2266</v>
      </c>
      <c r="B661" t="s">
        <v>2200</v>
      </c>
      <c r="C661" t="s">
        <v>2643</v>
      </c>
      <c r="D661" t="s">
        <v>796</v>
      </c>
      <c r="E661" t="s">
        <v>797</v>
      </c>
      <c r="F661" t="s">
        <v>77</v>
      </c>
      <c r="G661">
        <v>21.6</v>
      </c>
      <c r="H661">
        <v>5.6</v>
      </c>
      <c r="I661">
        <v>16.399999999999999</v>
      </c>
      <c r="J661">
        <v>3.3</v>
      </c>
      <c r="K661">
        <v>5.3</v>
      </c>
      <c r="L661">
        <v>1.9</v>
      </c>
      <c r="M661">
        <v>40.299999999999997</v>
      </c>
      <c r="N661">
        <v>3.9</v>
      </c>
      <c r="O661">
        <v>24.2</v>
      </c>
      <c r="P661" t="s">
        <v>1615</v>
      </c>
      <c r="Q661" t="s">
        <v>621</v>
      </c>
      <c r="R661" t="s">
        <v>2643</v>
      </c>
      <c r="S661" t="s">
        <v>622</v>
      </c>
      <c r="T661">
        <v>13990</v>
      </c>
      <c r="U661">
        <v>23.4</v>
      </c>
      <c r="V661">
        <v>1126</v>
      </c>
      <c r="W661">
        <v>14.8</v>
      </c>
      <c r="X661">
        <v>1139</v>
      </c>
      <c r="Y661">
        <v>32.6</v>
      </c>
      <c r="Z661">
        <v>1388</v>
      </c>
      <c r="AA661">
        <v>43.5</v>
      </c>
      <c r="AB661">
        <v>914</v>
      </c>
      <c r="AC661">
        <v>37.700000000000003</v>
      </c>
      <c r="AD661">
        <v>1210</v>
      </c>
      <c r="AE661" t="s">
        <v>57</v>
      </c>
      <c r="AF661">
        <v>0</v>
      </c>
      <c r="AG661" t="s">
        <v>2644</v>
      </c>
      <c r="AH661">
        <v>1002</v>
      </c>
      <c r="AI661" t="s">
        <v>797</v>
      </c>
      <c r="AJ661" s="1">
        <v>33318</v>
      </c>
      <c r="AK661">
        <v>12.9</v>
      </c>
      <c r="AL661" s="2">
        <v>0.02</v>
      </c>
      <c r="AM661" s="3">
        <v>2.8965277777777776</v>
      </c>
      <c r="AN661" t="s">
        <v>2643</v>
      </c>
      <c r="AO661" t="s">
        <v>2645</v>
      </c>
      <c r="AP661" t="b">
        <v>0</v>
      </c>
      <c r="AQ661" t="b">
        <v>0</v>
      </c>
      <c r="AR661" t="b">
        <v>0</v>
      </c>
    </row>
    <row r="662" spans="1:45" x14ac:dyDescent="0.3">
      <c r="A662" t="s">
        <v>2266</v>
      </c>
      <c r="B662" t="s">
        <v>2200</v>
      </c>
      <c r="C662" t="s">
        <v>2646</v>
      </c>
      <c r="D662" t="s">
        <v>619</v>
      </c>
      <c r="E662" t="s">
        <v>620</v>
      </c>
      <c r="F662" t="s">
        <v>47</v>
      </c>
      <c r="G662">
        <v>6.7</v>
      </c>
      <c r="H662">
        <v>4.2</v>
      </c>
      <c r="I662">
        <v>59.7</v>
      </c>
      <c r="J662">
        <v>1.1000000000000001</v>
      </c>
      <c r="K662">
        <v>10.4</v>
      </c>
      <c r="L662">
        <v>64.7</v>
      </c>
      <c r="M662">
        <v>3.9</v>
      </c>
      <c r="N662">
        <v>3.4</v>
      </c>
      <c r="O662">
        <v>1.1000000000000001</v>
      </c>
      <c r="P662" t="s">
        <v>1615</v>
      </c>
      <c r="Q662" t="s">
        <v>1475</v>
      </c>
      <c r="R662" t="s">
        <v>2647</v>
      </c>
      <c r="T662">
        <v>1000093</v>
      </c>
      <c r="V662">
        <v>0</v>
      </c>
      <c r="X662">
        <v>0</v>
      </c>
      <c r="Z662">
        <v>0</v>
      </c>
      <c r="AB662">
        <v>0</v>
      </c>
      <c r="AD662">
        <v>0</v>
      </c>
      <c r="AE662" t="s">
        <v>57</v>
      </c>
      <c r="AF662">
        <v>0</v>
      </c>
      <c r="AG662" t="s">
        <v>2648</v>
      </c>
      <c r="AH662">
        <v>721758</v>
      </c>
      <c r="AI662" t="s">
        <v>620</v>
      </c>
      <c r="AJ662" s="1">
        <v>11872</v>
      </c>
      <c r="AK662">
        <v>8.1999999999999993</v>
      </c>
      <c r="AL662" s="2">
        <v>0.22</v>
      </c>
      <c r="AM662" s="3">
        <v>3.3472222222222223</v>
      </c>
      <c r="AN662" t="s">
        <v>2647</v>
      </c>
      <c r="AO662" t="s">
        <v>2649</v>
      </c>
      <c r="AP662" t="b">
        <v>0</v>
      </c>
      <c r="AQ662" t="b">
        <v>0</v>
      </c>
      <c r="AR662" t="b">
        <v>0</v>
      </c>
    </row>
    <row r="663" spans="1:45" x14ac:dyDescent="0.3">
      <c r="A663" t="s">
        <v>2266</v>
      </c>
      <c r="B663" t="s">
        <v>2200</v>
      </c>
      <c r="C663" t="s">
        <v>2650</v>
      </c>
      <c r="D663" t="s">
        <v>175</v>
      </c>
      <c r="E663" t="s">
        <v>176</v>
      </c>
      <c r="F663" t="s">
        <v>56</v>
      </c>
      <c r="G663">
        <v>12.7</v>
      </c>
      <c r="H663">
        <v>19.899999999999999</v>
      </c>
      <c r="I663">
        <v>21.9</v>
      </c>
      <c r="J663">
        <v>1.8</v>
      </c>
      <c r="K663">
        <v>34.5</v>
      </c>
      <c r="L663">
        <v>10.8</v>
      </c>
      <c r="M663">
        <v>8.6</v>
      </c>
      <c r="N663">
        <v>11.7</v>
      </c>
      <c r="O663">
        <v>5.2</v>
      </c>
      <c r="P663" t="s">
        <v>1615</v>
      </c>
      <c r="Q663" t="s">
        <v>1068</v>
      </c>
      <c r="R663" t="s">
        <v>2651</v>
      </c>
      <c r="S663" t="s">
        <v>1070</v>
      </c>
      <c r="T663">
        <v>18490</v>
      </c>
      <c r="U663">
        <v>22.6</v>
      </c>
      <c r="V663">
        <v>1183</v>
      </c>
      <c r="W663">
        <v>11</v>
      </c>
      <c r="X663">
        <v>1528</v>
      </c>
      <c r="Y663">
        <v>13.3</v>
      </c>
      <c r="Z663">
        <v>1797</v>
      </c>
      <c r="AA663">
        <v>25.4</v>
      </c>
      <c r="AB663">
        <v>1323</v>
      </c>
      <c r="AC663">
        <v>50.9</v>
      </c>
      <c r="AD663">
        <v>777</v>
      </c>
      <c r="AE663" t="s">
        <v>57</v>
      </c>
      <c r="AF663">
        <v>6</v>
      </c>
      <c r="AG663" t="s">
        <v>2652</v>
      </c>
      <c r="AH663">
        <v>131287</v>
      </c>
      <c r="AI663" t="s">
        <v>176</v>
      </c>
      <c r="AJ663" s="1">
        <v>13265</v>
      </c>
      <c r="AK663">
        <v>12.7</v>
      </c>
      <c r="AL663" s="2">
        <v>0.1</v>
      </c>
      <c r="AM663" s="3">
        <v>2.5277777777777777</v>
      </c>
      <c r="AN663" t="s">
        <v>2653</v>
      </c>
      <c r="AO663" t="s">
        <v>2654</v>
      </c>
      <c r="AP663" t="b">
        <v>0</v>
      </c>
      <c r="AQ663" t="b">
        <v>0</v>
      </c>
      <c r="AR663" t="b">
        <v>0</v>
      </c>
    </row>
    <row r="664" spans="1:45" x14ac:dyDescent="0.3">
      <c r="A664" t="s">
        <v>2266</v>
      </c>
      <c r="B664" t="s">
        <v>2157</v>
      </c>
      <c r="C664" t="s">
        <v>2655</v>
      </c>
      <c r="D664" t="s">
        <v>378</v>
      </c>
      <c r="E664" t="s">
        <v>379</v>
      </c>
      <c r="F664" t="s">
        <v>56</v>
      </c>
      <c r="G664">
        <v>6.6</v>
      </c>
      <c r="H664">
        <v>3.8</v>
      </c>
      <c r="I664">
        <v>67.900000000000006</v>
      </c>
      <c r="J664">
        <v>1.9</v>
      </c>
      <c r="K664">
        <v>2.9</v>
      </c>
      <c r="L664">
        <v>25.2</v>
      </c>
      <c r="M664">
        <v>40.1</v>
      </c>
      <c r="N664">
        <v>1.8</v>
      </c>
      <c r="O664">
        <v>1.2</v>
      </c>
      <c r="P664" t="s">
        <v>1615</v>
      </c>
      <c r="Q664" t="s">
        <v>621</v>
      </c>
      <c r="R664" t="s">
        <v>2655</v>
      </c>
      <c r="S664" t="s">
        <v>622</v>
      </c>
      <c r="T664">
        <v>14340</v>
      </c>
      <c r="U664">
        <v>27.9</v>
      </c>
      <c r="V664">
        <v>810</v>
      </c>
      <c r="W664">
        <v>14.3</v>
      </c>
      <c r="X664">
        <v>1181</v>
      </c>
      <c r="Y664">
        <v>21.4</v>
      </c>
      <c r="Z664">
        <v>1649</v>
      </c>
      <c r="AA664">
        <v>32.1</v>
      </c>
      <c r="AB664">
        <v>1141</v>
      </c>
      <c r="AC664">
        <v>40.299999999999997</v>
      </c>
      <c r="AD664">
        <v>1108</v>
      </c>
      <c r="AE664" t="s">
        <v>57</v>
      </c>
      <c r="AF664">
        <v>0</v>
      </c>
      <c r="AG664" t="s">
        <v>2656</v>
      </c>
      <c r="AH664">
        <v>131480</v>
      </c>
      <c r="AI664" t="s">
        <v>381</v>
      </c>
      <c r="AJ664" s="1">
        <v>19181</v>
      </c>
      <c r="AK664">
        <v>11.3</v>
      </c>
      <c r="AL664" s="2">
        <v>0.11</v>
      </c>
      <c r="AM664" s="3">
        <v>2.2819444444444446</v>
      </c>
      <c r="AN664" t="s">
        <v>2655</v>
      </c>
      <c r="AO664" t="s">
        <v>2657</v>
      </c>
      <c r="AP664" t="b">
        <v>0</v>
      </c>
      <c r="AQ664" t="b">
        <v>0</v>
      </c>
      <c r="AR664" t="b">
        <v>1</v>
      </c>
    </row>
    <row r="665" spans="1:45" x14ac:dyDescent="0.3">
      <c r="A665" t="s">
        <v>2266</v>
      </c>
      <c r="B665" t="s">
        <v>2266</v>
      </c>
      <c r="C665" t="s">
        <v>2658</v>
      </c>
      <c r="D665" t="s">
        <v>45</v>
      </c>
      <c r="E665" t="s">
        <v>46</v>
      </c>
      <c r="F665" t="s">
        <v>77</v>
      </c>
      <c r="G665">
        <v>10</v>
      </c>
      <c r="H665">
        <v>20.3</v>
      </c>
      <c r="I665">
        <v>5.3</v>
      </c>
      <c r="J665">
        <v>11.9</v>
      </c>
      <c r="K665">
        <v>5.3</v>
      </c>
      <c r="L665">
        <v>2.5</v>
      </c>
      <c r="M665">
        <v>54.9</v>
      </c>
      <c r="N665">
        <v>10.7</v>
      </c>
      <c r="O665">
        <v>6.7</v>
      </c>
      <c r="P665" t="s">
        <v>1615</v>
      </c>
      <c r="Q665" t="s">
        <v>696</v>
      </c>
      <c r="R665" t="s">
        <v>2658</v>
      </c>
      <c r="S665" t="s">
        <v>697</v>
      </c>
      <c r="T665">
        <v>6080</v>
      </c>
      <c r="U665">
        <v>26</v>
      </c>
      <c r="V665">
        <v>932</v>
      </c>
      <c r="W665">
        <v>21.2</v>
      </c>
      <c r="X665">
        <v>756</v>
      </c>
      <c r="Y665">
        <v>64.400000000000006</v>
      </c>
      <c r="Z665">
        <v>683</v>
      </c>
      <c r="AA665">
        <v>46.6</v>
      </c>
      <c r="AB665">
        <v>872</v>
      </c>
      <c r="AC665">
        <v>39.299999999999997</v>
      </c>
      <c r="AD665">
        <v>1137</v>
      </c>
      <c r="AE665" t="s">
        <v>208</v>
      </c>
      <c r="AF665">
        <v>0</v>
      </c>
      <c r="AG665" t="s">
        <v>2659</v>
      </c>
      <c r="AH665">
        <v>591764</v>
      </c>
      <c r="AI665" t="s">
        <v>46</v>
      </c>
      <c r="AJ665" s="1">
        <v>34810</v>
      </c>
      <c r="AK665">
        <v>21.6</v>
      </c>
      <c r="AL665" s="2">
        <v>0.04</v>
      </c>
      <c r="AM665" s="3">
        <v>2.4048611111111109</v>
      </c>
      <c r="AN665" t="s">
        <v>2658</v>
      </c>
      <c r="AO665" t="s">
        <v>2660</v>
      </c>
      <c r="AP665" t="b">
        <v>0</v>
      </c>
      <c r="AQ665" t="b">
        <v>0</v>
      </c>
      <c r="AR665" t="b">
        <v>0</v>
      </c>
      <c r="AS665" t="s">
        <v>2661</v>
      </c>
    </row>
    <row r="666" spans="1:45" x14ac:dyDescent="0.3">
      <c r="A666" t="s">
        <v>2266</v>
      </c>
      <c r="B666" t="s">
        <v>2369</v>
      </c>
      <c r="C666" t="s">
        <v>2662</v>
      </c>
      <c r="D666" t="s">
        <v>1047</v>
      </c>
      <c r="E666" t="s">
        <v>737</v>
      </c>
      <c r="F666" t="s">
        <v>56</v>
      </c>
      <c r="G666">
        <v>11.1</v>
      </c>
      <c r="H666">
        <v>19.399999999999999</v>
      </c>
      <c r="I666">
        <v>12.3</v>
      </c>
      <c r="J666">
        <v>3.3</v>
      </c>
      <c r="K666">
        <v>4</v>
      </c>
      <c r="L666">
        <v>3</v>
      </c>
      <c r="M666">
        <v>61.4</v>
      </c>
      <c r="N666">
        <v>2.7</v>
      </c>
      <c r="O666">
        <v>19.7</v>
      </c>
      <c r="P666" t="s">
        <v>1615</v>
      </c>
      <c r="Q666" t="s">
        <v>679</v>
      </c>
      <c r="R666" t="s">
        <v>2663</v>
      </c>
      <c r="S666" t="s">
        <v>680</v>
      </c>
      <c r="T666">
        <v>9070</v>
      </c>
      <c r="U666">
        <v>17.600000000000001</v>
      </c>
      <c r="V666">
        <v>1586</v>
      </c>
      <c r="W666">
        <v>10.199999999999999</v>
      </c>
      <c r="X666">
        <v>1625</v>
      </c>
      <c r="Y666">
        <v>68.8</v>
      </c>
      <c r="Z666">
        <v>586</v>
      </c>
      <c r="AA666">
        <v>20.3</v>
      </c>
      <c r="AB666">
        <v>1519</v>
      </c>
      <c r="AC666">
        <v>52.6</v>
      </c>
      <c r="AD666">
        <v>724</v>
      </c>
      <c r="AE666" t="s">
        <v>57</v>
      </c>
      <c r="AF666">
        <v>0</v>
      </c>
      <c r="AG666" t="s">
        <v>2664</v>
      </c>
      <c r="AH666">
        <v>131769</v>
      </c>
      <c r="AI666" t="s">
        <v>737</v>
      </c>
      <c r="AJ666" s="1">
        <v>26010</v>
      </c>
      <c r="AK666">
        <v>13.5</v>
      </c>
      <c r="AL666" s="2">
        <v>0.02</v>
      </c>
      <c r="AM666" t="s">
        <v>1244</v>
      </c>
      <c r="AN666" t="s">
        <v>2663</v>
      </c>
      <c r="AO666" t="s">
        <v>2665</v>
      </c>
      <c r="AP666" t="b">
        <v>0</v>
      </c>
      <c r="AQ666" t="b">
        <v>0</v>
      </c>
      <c r="AR666" t="b">
        <v>0</v>
      </c>
    </row>
    <row r="667" spans="1:45" x14ac:dyDescent="0.3">
      <c r="A667" t="s">
        <v>2266</v>
      </c>
      <c r="B667" t="s">
        <v>2266</v>
      </c>
      <c r="C667" t="s">
        <v>2666</v>
      </c>
      <c r="D667" t="s">
        <v>541</v>
      </c>
      <c r="E667" t="s">
        <v>542</v>
      </c>
      <c r="F667" t="s">
        <v>47</v>
      </c>
      <c r="G667">
        <v>13.1</v>
      </c>
      <c r="H667">
        <v>9.9</v>
      </c>
      <c r="I667">
        <v>27.5</v>
      </c>
      <c r="J667">
        <v>2.7</v>
      </c>
      <c r="K667">
        <v>21.3</v>
      </c>
      <c r="L667">
        <v>38.299999999999997</v>
      </c>
      <c r="M667">
        <v>21.1</v>
      </c>
      <c r="N667">
        <v>3.9</v>
      </c>
      <c r="O667">
        <v>2.2000000000000002</v>
      </c>
      <c r="P667" t="s">
        <v>1615</v>
      </c>
      <c r="Q667" t="s">
        <v>696</v>
      </c>
      <c r="R667" t="s">
        <v>2667</v>
      </c>
      <c r="S667" t="s">
        <v>697</v>
      </c>
      <c r="T667">
        <v>7470</v>
      </c>
      <c r="U667">
        <v>35.299999999999997</v>
      </c>
      <c r="V667">
        <v>452</v>
      </c>
      <c r="W667">
        <v>25.2</v>
      </c>
      <c r="X667">
        <v>604</v>
      </c>
      <c r="Y667">
        <v>38.799999999999997</v>
      </c>
      <c r="Z667">
        <v>1245</v>
      </c>
      <c r="AA667">
        <v>62.3</v>
      </c>
      <c r="AB667">
        <v>609</v>
      </c>
      <c r="AC667">
        <v>70.8</v>
      </c>
      <c r="AD667">
        <v>395</v>
      </c>
      <c r="AE667" t="s">
        <v>57</v>
      </c>
      <c r="AF667">
        <v>0</v>
      </c>
      <c r="AG667" t="s">
        <v>2668</v>
      </c>
      <c r="AH667">
        <v>707600</v>
      </c>
      <c r="AI667" t="s">
        <v>542</v>
      </c>
      <c r="AJ667" s="1">
        <v>5920</v>
      </c>
      <c r="AK667">
        <v>9.8000000000000007</v>
      </c>
      <c r="AL667" s="2">
        <v>0.2</v>
      </c>
      <c r="AM667" s="3">
        <v>2.4048611111111109</v>
      </c>
      <c r="AN667" t="s">
        <v>2667</v>
      </c>
      <c r="AO667" t="s">
        <v>2669</v>
      </c>
      <c r="AP667" t="b">
        <v>0</v>
      </c>
      <c r="AQ667" t="b">
        <v>0</v>
      </c>
      <c r="AR667" t="b">
        <v>0</v>
      </c>
    </row>
    <row r="668" spans="1:45" x14ac:dyDescent="0.3">
      <c r="A668" t="s">
        <v>2266</v>
      </c>
      <c r="B668" t="s">
        <v>2200</v>
      </c>
      <c r="C668" t="s">
        <v>2670</v>
      </c>
      <c r="D668" t="s">
        <v>54</v>
      </c>
      <c r="E668" t="s">
        <v>55</v>
      </c>
      <c r="F668" t="s">
        <v>56</v>
      </c>
      <c r="G668">
        <v>5.4</v>
      </c>
      <c r="H668">
        <v>4.9000000000000004</v>
      </c>
      <c r="I668">
        <v>10.9</v>
      </c>
      <c r="J668">
        <v>3.8</v>
      </c>
      <c r="K668">
        <v>35.5</v>
      </c>
      <c r="L668">
        <v>82</v>
      </c>
      <c r="M668">
        <v>53.9</v>
      </c>
      <c r="N668">
        <v>2.1</v>
      </c>
      <c r="O668">
        <v>1.5</v>
      </c>
      <c r="P668" t="s">
        <v>1615</v>
      </c>
      <c r="Q668" t="s">
        <v>733</v>
      </c>
      <c r="R668" t="s">
        <v>2670</v>
      </c>
      <c r="S668" t="s">
        <v>735</v>
      </c>
      <c r="T668">
        <v>10300</v>
      </c>
      <c r="U668">
        <v>18.3</v>
      </c>
      <c r="V668">
        <v>1524</v>
      </c>
      <c r="W668">
        <v>13.8</v>
      </c>
      <c r="X668">
        <v>1222</v>
      </c>
      <c r="Y668">
        <v>51.9</v>
      </c>
      <c r="Z668">
        <v>964</v>
      </c>
      <c r="AA668">
        <v>34.299999999999997</v>
      </c>
      <c r="AB668">
        <v>1105</v>
      </c>
      <c r="AC668">
        <v>82.3</v>
      </c>
      <c r="AD668">
        <v>218</v>
      </c>
      <c r="AE668" t="s">
        <v>57</v>
      </c>
      <c r="AF668">
        <v>0</v>
      </c>
      <c r="AG668" t="s">
        <v>2671</v>
      </c>
      <c r="AH668">
        <v>131822</v>
      </c>
      <c r="AI668" t="s">
        <v>55</v>
      </c>
      <c r="AJ668" s="1">
        <v>21525</v>
      </c>
      <c r="AK668">
        <v>16.3</v>
      </c>
      <c r="AL668" s="2">
        <v>0.28000000000000003</v>
      </c>
      <c r="AM668" s="3">
        <v>2.4458333333333333</v>
      </c>
      <c r="AN668" t="s">
        <v>2670</v>
      </c>
      <c r="AO668" t="s">
        <v>2672</v>
      </c>
      <c r="AP668" t="b">
        <v>0</v>
      </c>
      <c r="AQ668" t="b">
        <v>0</v>
      </c>
      <c r="AR668" t="b">
        <v>0</v>
      </c>
      <c r="AS668" t="s">
        <v>2673</v>
      </c>
    </row>
    <row r="669" spans="1:45" x14ac:dyDescent="0.3">
      <c r="A669" t="s">
        <v>2266</v>
      </c>
      <c r="B669" t="s">
        <v>2369</v>
      </c>
      <c r="C669" t="s">
        <v>2674</v>
      </c>
      <c r="D669" t="s">
        <v>2675</v>
      </c>
      <c r="E669" t="s">
        <v>2676</v>
      </c>
      <c r="F669" t="s">
        <v>56</v>
      </c>
      <c r="G669">
        <v>13.1</v>
      </c>
      <c r="H669">
        <v>18</v>
      </c>
      <c r="I669">
        <v>2.5</v>
      </c>
      <c r="J669">
        <v>3.2</v>
      </c>
      <c r="K669">
        <v>1.1000000000000001</v>
      </c>
      <c r="L669">
        <v>1.2</v>
      </c>
      <c r="M669">
        <v>19.3</v>
      </c>
      <c r="N669">
        <v>69.599999999999994</v>
      </c>
      <c r="O669">
        <v>16.3</v>
      </c>
      <c r="P669" t="s">
        <v>1615</v>
      </c>
      <c r="Q669" t="s">
        <v>733</v>
      </c>
      <c r="R669" t="s">
        <v>2674</v>
      </c>
      <c r="S669" t="s">
        <v>735</v>
      </c>
      <c r="T669">
        <v>10350</v>
      </c>
      <c r="U669">
        <v>25.4</v>
      </c>
      <c r="V669">
        <v>974</v>
      </c>
      <c r="W669">
        <v>10.6</v>
      </c>
      <c r="X669">
        <v>1569</v>
      </c>
      <c r="Y669">
        <v>60.2</v>
      </c>
      <c r="Z669">
        <v>768</v>
      </c>
      <c r="AA669">
        <v>18.7</v>
      </c>
      <c r="AB669">
        <v>1607</v>
      </c>
      <c r="AC669">
        <v>39.299999999999997</v>
      </c>
      <c r="AD669">
        <v>1139</v>
      </c>
      <c r="AE669" t="s">
        <v>57</v>
      </c>
      <c r="AF669">
        <v>0</v>
      </c>
      <c r="AG669" t="s">
        <v>2677</v>
      </c>
      <c r="AH669">
        <v>589250</v>
      </c>
      <c r="AI669" t="s">
        <v>2676</v>
      </c>
      <c r="AJ669" s="1">
        <v>34058</v>
      </c>
      <c r="AK669">
        <v>32</v>
      </c>
      <c r="AL669" s="2">
        <v>0</v>
      </c>
      <c r="AM669" s="3">
        <v>2.5277777777777777</v>
      </c>
      <c r="AN669" t="s">
        <v>2674</v>
      </c>
      <c r="AO669" t="s">
        <v>2678</v>
      </c>
      <c r="AP669" t="b">
        <v>0</v>
      </c>
      <c r="AQ669" t="b">
        <v>0</v>
      </c>
      <c r="AR669" t="b">
        <v>0</v>
      </c>
    </row>
    <row r="670" spans="1:45" x14ac:dyDescent="0.3">
      <c r="A670" t="s">
        <v>2266</v>
      </c>
      <c r="B670" t="s">
        <v>2200</v>
      </c>
      <c r="C670" t="s">
        <v>2679</v>
      </c>
      <c r="D670" t="s">
        <v>45</v>
      </c>
      <c r="E670" t="s">
        <v>46</v>
      </c>
      <c r="F670" t="s">
        <v>47</v>
      </c>
      <c r="G670">
        <v>5.4</v>
      </c>
      <c r="H670">
        <v>7.4</v>
      </c>
      <c r="I670">
        <v>42.2</v>
      </c>
      <c r="J670">
        <v>7.8</v>
      </c>
      <c r="K670">
        <v>7.7</v>
      </c>
      <c r="L670">
        <v>5.8</v>
      </c>
      <c r="M670">
        <v>32.700000000000003</v>
      </c>
      <c r="N670">
        <v>25.6</v>
      </c>
      <c r="O670">
        <v>9.9</v>
      </c>
      <c r="P670" t="s">
        <v>1615</v>
      </c>
      <c r="Q670" t="s">
        <v>572</v>
      </c>
      <c r="R670" t="s">
        <v>2679</v>
      </c>
      <c r="S670" t="s">
        <v>574</v>
      </c>
      <c r="T670">
        <v>5300</v>
      </c>
      <c r="U670">
        <v>39.9</v>
      </c>
      <c r="V670">
        <v>310</v>
      </c>
      <c r="W670">
        <v>24.3</v>
      </c>
      <c r="X670">
        <v>636</v>
      </c>
      <c r="Y670">
        <v>64.2</v>
      </c>
      <c r="Z670">
        <v>687</v>
      </c>
      <c r="AA670">
        <v>55.8</v>
      </c>
      <c r="AB670">
        <v>716</v>
      </c>
      <c r="AC670">
        <v>31.2</v>
      </c>
      <c r="AD670">
        <v>1451</v>
      </c>
      <c r="AE670" t="s">
        <v>49</v>
      </c>
      <c r="AF670">
        <v>0</v>
      </c>
      <c r="AG670" t="s">
        <v>2680</v>
      </c>
      <c r="AH670">
        <v>589304</v>
      </c>
      <c r="AI670" t="s">
        <v>46</v>
      </c>
      <c r="AJ670" s="1">
        <v>10367</v>
      </c>
      <c r="AK670">
        <v>13.6</v>
      </c>
      <c r="AL670" s="2">
        <v>0.05</v>
      </c>
      <c r="AM670" s="3">
        <v>2.5277777777777777</v>
      </c>
      <c r="AN670" t="s">
        <v>2679</v>
      </c>
      <c r="AO670" t="s">
        <v>2681</v>
      </c>
      <c r="AP670" t="b">
        <v>0</v>
      </c>
      <c r="AQ670" t="b">
        <v>0</v>
      </c>
      <c r="AR670" t="b">
        <v>0</v>
      </c>
      <c r="AS670" t="s">
        <v>2682</v>
      </c>
    </row>
    <row r="671" spans="1:45" x14ac:dyDescent="0.3">
      <c r="A671" t="s">
        <v>2266</v>
      </c>
      <c r="B671" t="s">
        <v>2157</v>
      </c>
      <c r="C671" t="s">
        <v>2683</v>
      </c>
      <c r="D671" t="s">
        <v>442</v>
      </c>
      <c r="E671" t="s">
        <v>443</v>
      </c>
      <c r="F671" t="s">
        <v>77</v>
      </c>
      <c r="G671">
        <v>9.5</v>
      </c>
      <c r="H671">
        <v>2.7</v>
      </c>
      <c r="I671">
        <v>2.9</v>
      </c>
      <c r="J671">
        <v>25.4</v>
      </c>
      <c r="K671">
        <v>3.8</v>
      </c>
      <c r="L671">
        <v>9.1</v>
      </c>
      <c r="M671">
        <v>69.400000000000006</v>
      </c>
      <c r="N671">
        <v>9.1999999999999993</v>
      </c>
      <c r="O671">
        <v>2.2999999999999998</v>
      </c>
      <c r="P671" t="s">
        <v>1615</v>
      </c>
      <c r="Q671" t="s">
        <v>696</v>
      </c>
      <c r="R671" t="s">
        <v>2683</v>
      </c>
      <c r="S671" t="s">
        <v>697</v>
      </c>
      <c r="T671">
        <v>7450</v>
      </c>
      <c r="U671">
        <v>19.399999999999999</v>
      </c>
      <c r="V671">
        <v>1433</v>
      </c>
      <c r="W671">
        <v>22.6</v>
      </c>
      <c r="X671">
        <v>703</v>
      </c>
      <c r="Y671">
        <v>72.2</v>
      </c>
      <c r="Z671">
        <v>505</v>
      </c>
      <c r="AA671">
        <v>65.900000000000006</v>
      </c>
      <c r="AB671">
        <v>532</v>
      </c>
      <c r="AC671">
        <v>38.700000000000003</v>
      </c>
      <c r="AD671">
        <v>1163</v>
      </c>
      <c r="AE671" t="s">
        <v>57</v>
      </c>
      <c r="AF671">
        <v>0</v>
      </c>
      <c r="AG671" t="s">
        <v>2684</v>
      </c>
      <c r="AH671">
        <v>131545</v>
      </c>
      <c r="AI671" t="s">
        <v>443</v>
      </c>
      <c r="AJ671" s="1">
        <v>29840</v>
      </c>
      <c r="AK671">
        <v>33.4</v>
      </c>
      <c r="AL671" s="2">
        <v>0.06</v>
      </c>
      <c r="AM671" s="3">
        <v>2.4458333333333333</v>
      </c>
      <c r="AN671" t="s">
        <v>2683</v>
      </c>
      <c r="AO671" t="s">
        <v>2685</v>
      </c>
      <c r="AP671" t="b">
        <v>0</v>
      </c>
      <c r="AQ671" t="b">
        <v>0</v>
      </c>
      <c r="AR671" t="b">
        <v>0</v>
      </c>
    </row>
    <row r="672" spans="1:45" x14ac:dyDescent="0.3">
      <c r="A672" t="s">
        <v>2266</v>
      </c>
      <c r="B672" t="s">
        <v>2369</v>
      </c>
      <c r="C672" t="s">
        <v>2686</v>
      </c>
      <c r="D672" t="s">
        <v>139</v>
      </c>
      <c r="E672" t="s">
        <v>140</v>
      </c>
      <c r="F672" t="s">
        <v>56</v>
      </c>
      <c r="G672">
        <v>3.3</v>
      </c>
      <c r="H672">
        <v>2.5</v>
      </c>
      <c r="I672">
        <v>3.9</v>
      </c>
      <c r="J672">
        <v>21</v>
      </c>
      <c r="K672">
        <v>7.3</v>
      </c>
      <c r="L672">
        <v>38.299999999999997</v>
      </c>
      <c r="M672">
        <v>39.1</v>
      </c>
      <c r="N672">
        <v>4.0999999999999996</v>
      </c>
      <c r="O672">
        <v>44.6</v>
      </c>
      <c r="P672" t="s">
        <v>1615</v>
      </c>
      <c r="Q672" t="s">
        <v>679</v>
      </c>
      <c r="R672" t="s">
        <v>2686</v>
      </c>
      <c r="S672" t="s">
        <v>680</v>
      </c>
      <c r="T672">
        <v>9550</v>
      </c>
      <c r="U672">
        <v>17.8</v>
      </c>
      <c r="V672">
        <v>1571</v>
      </c>
      <c r="W672">
        <v>19.5</v>
      </c>
      <c r="X672">
        <v>840</v>
      </c>
      <c r="Y672">
        <v>62.9</v>
      </c>
      <c r="Z672">
        <v>709</v>
      </c>
      <c r="AA672">
        <v>36.1</v>
      </c>
      <c r="AB672">
        <v>1074</v>
      </c>
      <c r="AC672">
        <v>71</v>
      </c>
      <c r="AD672">
        <v>391</v>
      </c>
      <c r="AE672" t="s">
        <v>57</v>
      </c>
      <c r="AF672">
        <v>0</v>
      </c>
      <c r="AG672" t="s">
        <v>2687</v>
      </c>
      <c r="AH672">
        <v>131321</v>
      </c>
      <c r="AI672" t="s">
        <v>140</v>
      </c>
      <c r="AJ672" s="1">
        <v>14167</v>
      </c>
      <c r="AK672">
        <v>24.6</v>
      </c>
      <c r="AL672" s="2">
        <v>0.26</v>
      </c>
      <c r="AM672" s="3">
        <v>2.0770833333333334</v>
      </c>
      <c r="AN672" t="s">
        <v>2686</v>
      </c>
      <c r="AO672" t="s">
        <v>2688</v>
      </c>
      <c r="AP672" t="b">
        <v>0</v>
      </c>
      <c r="AQ672" t="b">
        <v>0</v>
      </c>
      <c r="AR672" t="b">
        <v>0</v>
      </c>
    </row>
    <row r="673" spans="1:45" x14ac:dyDescent="0.3">
      <c r="A673" t="s">
        <v>2266</v>
      </c>
      <c r="B673" t="s">
        <v>2266</v>
      </c>
      <c r="C673" t="s">
        <v>2689</v>
      </c>
      <c r="D673" t="s">
        <v>649</v>
      </c>
      <c r="E673" t="s">
        <v>650</v>
      </c>
      <c r="F673" t="s">
        <v>56</v>
      </c>
      <c r="G673">
        <v>8.6</v>
      </c>
      <c r="H673">
        <v>5.3</v>
      </c>
      <c r="I673">
        <v>4.0999999999999996</v>
      </c>
      <c r="J673">
        <v>14.1</v>
      </c>
      <c r="K673">
        <v>25.2</v>
      </c>
      <c r="L673">
        <v>3.7</v>
      </c>
      <c r="M673">
        <v>76.8</v>
      </c>
      <c r="N673">
        <v>21</v>
      </c>
      <c r="O673">
        <v>2.2000000000000002</v>
      </c>
      <c r="P673" t="s">
        <v>1615</v>
      </c>
      <c r="Q673" t="s">
        <v>696</v>
      </c>
      <c r="R673" t="s">
        <v>2689</v>
      </c>
      <c r="S673" t="s">
        <v>697</v>
      </c>
      <c r="T673">
        <v>7920</v>
      </c>
      <c r="U673">
        <v>22</v>
      </c>
      <c r="V673">
        <v>1233</v>
      </c>
      <c r="W673">
        <v>23.8</v>
      </c>
      <c r="X673">
        <v>665</v>
      </c>
      <c r="Y673">
        <v>59.3</v>
      </c>
      <c r="Z673">
        <v>799</v>
      </c>
      <c r="AA673">
        <v>22.6</v>
      </c>
      <c r="AB673">
        <v>1415</v>
      </c>
      <c r="AC673">
        <v>65.7</v>
      </c>
      <c r="AD673">
        <v>472</v>
      </c>
      <c r="AE673" t="s">
        <v>57</v>
      </c>
      <c r="AF673">
        <v>0</v>
      </c>
      <c r="AG673" t="s">
        <v>2690</v>
      </c>
      <c r="AH673">
        <v>587871</v>
      </c>
      <c r="AI673" t="s">
        <v>650</v>
      </c>
      <c r="AJ673" s="1">
        <v>24605</v>
      </c>
      <c r="AK673">
        <v>36.700000000000003</v>
      </c>
      <c r="AL673" s="2">
        <v>0.06</v>
      </c>
      <c r="AM673" s="3">
        <v>2.5687500000000001</v>
      </c>
      <c r="AN673" t="s">
        <v>2689</v>
      </c>
      <c r="AO673" t="s">
        <v>2691</v>
      </c>
      <c r="AP673" t="b">
        <v>0</v>
      </c>
      <c r="AQ673" t="b">
        <v>0</v>
      </c>
      <c r="AR673" t="b">
        <v>0</v>
      </c>
    </row>
    <row r="674" spans="1:45" x14ac:dyDescent="0.3">
      <c r="A674" t="s">
        <v>2266</v>
      </c>
      <c r="B674" t="s">
        <v>2369</v>
      </c>
      <c r="C674" t="s">
        <v>2692</v>
      </c>
      <c r="D674" t="s">
        <v>1214</v>
      </c>
      <c r="E674" t="s">
        <v>1215</v>
      </c>
      <c r="F674" t="s">
        <v>56</v>
      </c>
      <c r="G674">
        <v>14.1</v>
      </c>
      <c r="H674">
        <v>20.100000000000001</v>
      </c>
      <c r="I674">
        <v>3.1</v>
      </c>
      <c r="J674">
        <v>2.6</v>
      </c>
      <c r="K674">
        <v>7.3</v>
      </c>
      <c r="L674">
        <v>8.8000000000000007</v>
      </c>
      <c r="M674">
        <v>45.3</v>
      </c>
      <c r="N674">
        <v>33.799999999999997</v>
      </c>
      <c r="O674">
        <v>7.5</v>
      </c>
      <c r="P674" t="s">
        <v>1615</v>
      </c>
      <c r="Q674" t="s">
        <v>621</v>
      </c>
      <c r="R674" t="s">
        <v>2692</v>
      </c>
      <c r="S674" t="s">
        <v>622</v>
      </c>
      <c r="T674">
        <v>15000</v>
      </c>
      <c r="U674">
        <v>19.899999999999999</v>
      </c>
      <c r="V674">
        <v>1385</v>
      </c>
      <c r="W674">
        <v>12.9</v>
      </c>
      <c r="X674">
        <v>1317</v>
      </c>
      <c r="Y674">
        <v>41.5</v>
      </c>
      <c r="Z674">
        <v>1194</v>
      </c>
      <c r="AA674">
        <v>20.8</v>
      </c>
      <c r="AB674">
        <v>1496</v>
      </c>
      <c r="AC674">
        <v>53.1</v>
      </c>
      <c r="AD674">
        <v>709</v>
      </c>
      <c r="AE674" t="s">
        <v>57</v>
      </c>
      <c r="AF674">
        <v>0</v>
      </c>
      <c r="AG674" t="s">
        <v>2693</v>
      </c>
      <c r="AH674">
        <v>625689</v>
      </c>
      <c r="AI674" t="s">
        <v>1215</v>
      </c>
      <c r="AJ674" s="1">
        <v>31177</v>
      </c>
      <c r="AK674">
        <v>28.3</v>
      </c>
      <c r="AL674" s="2">
        <v>0.11</v>
      </c>
      <c r="AM674" s="3">
        <v>2.4048611111111109</v>
      </c>
      <c r="AN674" t="s">
        <v>2692</v>
      </c>
      <c r="AO674" t="s">
        <v>2694</v>
      </c>
      <c r="AP674" t="b">
        <v>0</v>
      </c>
      <c r="AQ674" t="b">
        <v>0</v>
      </c>
      <c r="AR674" t="b">
        <v>0</v>
      </c>
    </row>
    <row r="675" spans="1:45" x14ac:dyDescent="0.3">
      <c r="A675" t="s">
        <v>2266</v>
      </c>
      <c r="B675" t="s">
        <v>2266</v>
      </c>
      <c r="C675" t="s">
        <v>2695</v>
      </c>
      <c r="D675" t="s">
        <v>166</v>
      </c>
      <c r="E675" t="s">
        <v>167</v>
      </c>
      <c r="F675" t="s">
        <v>56</v>
      </c>
      <c r="G675">
        <v>3.8</v>
      </c>
      <c r="H675">
        <v>2.9</v>
      </c>
      <c r="I675">
        <v>13.4</v>
      </c>
      <c r="J675">
        <v>26.9</v>
      </c>
      <c r="K675">
        <v>34.200000000000003</v>
      </c>
      <c r="L675">
        <v>7.5</v>
      </c>
      <c r="M675">
        <v>43.9</v>
      </c>
      <c r="N675">
        <v>2.7</v>
      </c>
      <c r="O675">
        <v>1.6</v>
      </c>
      <c r="P675" t="s">
        <v>1615</v>
      </c>
      <c r="Q675" t="s">
        <v>696</v>
      </c>
      <c r="R675" t="s">
        <v>2696</v>
      </c>
      <c r="S675" t="s">
        <v>697</v>
      </c>
      <c r="T675">
        <v>8010</v>
      </c>
      <c r="U675">
        <v>24.1</v>
      </c>
      <c r="V675">
        <v>1076</v>
      </c>
      <c r="W675">
        <v>18</v>
      </c>
      <c r="X675">
        <v>921</v>
      </c>
      <c r="Y675">
        <v>66.8</v>
      </c>
      <c r="Z675">
        <v>629</v>
      </c>
      <c r="AA675">
        <v>47</v>
      </c>
      <c r="AB675">
        <v>864</v>
      </c>
      <c r="AC675">
        <v>54.9</v>
      </c>
      <c r="AD675">
        <v>678</v>
      </c>
      <c r="AE675" t="s">
        <v>57</v>
      </c>
      <c r="AF675">
        <v>0</v>
      </c>
      <c r="AG675" t="s">
        <v>2697</v>
      </c>
      <c r="AH675">
        <v>131728</v>
      </c>
      <c r="AI675" t="s">
        <v>167</v>
      </c>
      <c r="AJ675" s="1">
        <v>19063</v>
      </c>
      <c r="AK675">
        <v>14.7</v>
      </c>
      <c r="AL675" s="2">
        <v>0.05</v>
      </c>
      <c r="AM675" s="3">
        <v>2.1180555555555554</v>
      </c>
      <c r="AN675" t="s">
        <v>2696</v>
      </c>
      <c r="AO675" t="s">
        <v>2698</v>
      </c>
      <c r="AP675" t="b">
        <v>0</v>
      </c>
      <c r="AQ675" t="b">
        <v>0</v>
      </c>
      <c r="AR675" t="b">
        <v>0</v>
      </c>
    </row>
    <row r="676" spans="1:45" x14ac:dyDescent="0.3">
      <c r="A676" t="s">
        <v>2369</v>
      </c>
      <c r="B676" t="s">
        <v>1621</v>
      </c>
      <c r="C676" t="s">
        <v>2699</v>
      </c>
      <c r="D676" t="s">
        <v>1159</v>
      </c>
      <c r="E676" t="s">
        <v>1160</v>
      </c>
      <c r="F676" t="s">
        <v>77</v>
      </c>
      <c r="G676">
        <v>13.1</v>
      </c>
      <c r="H676">
        <v>10.3</v>
      </c>
      <c r="I676">
        <v>11</v>
      </c>
      <c r="J676">
        <v>1.4</v>
      </c>
      <c r="K676">
        <v>1.4</v>
      </c>
      <c r="L676">
        <v>9.5</v>
      </c>
      <c r="M676">
        <v>58.3</v>
      </c>
      <c r="N676">
        <v>22.6</v>
      </c>
      <c r="O676">
        <v>1.1000000000000001</v>
      </c>
      <c r="P676" t="s">
        <v>1615</v>
      </c>
      <c r="Q676" t="s">
        <v>679</v>
      </c>
      <c r="R676" t="s">
        <v>2699</v>
      </c>
      <c r="S676" t="s">
        <v>680</v>
      </c>
      <c r="T676">
        <v>8060</v>
      </c>
      <c r="U676">
        <v>19.2</v>
      </c>
      <c r="V676">
        <v>1448</v>
      </c>
      <c r="W676">
        <v>10.9</v>
      </c>
      <c r="X676">
        <v>1533</v>
      </c>
      <c r="Y676">
        <v>69.2</v>
      </c>
      <c r="Z676">
        <v>575</v>
      </c>
      <c r="AA676">
        <v>20.399999999999999</v>
      </c>
      <c r="AB676">
        <v>1515</v>
      </c>
      <c r="AC676">
        <v>57.4</v>
      </c>
      <c r="AD676">
        <v>633</v>
      </c>
      <c r="AE676" t="s">
        <v>57</v>
      </c>
      <c r="AF676">
        <v>0</v>
      </c>
      <c r="AG676" t="s">
        <v>2700</v>
      </c>
      <c r="AH676">
        <v>623154</v>
      </c>
      <c r="AI676" t="s">
        <v>1160</v>
      </c>
      <c r="AJ676" s="1">
        <v>269733</v>
      </c>
      <c r="AK676">
        <v>22</v>
      </c>
      <c r="AL676" s="2">
        <v>0.09</v>
      </c>
      <c r="AM676" s="3">
        <v>1.7902777777777779</v>
      </c>
      <c r="AN676" t="s">
        <v>2699</v>
      </c>
      <c r="AO676" t="s">
        <v>2701</v>
      </c>
      <c r="AP676" t="b">
        <v>0</v>
      </c>
      <c r="AQ676" t="b">
        <v>0</v>
      </c>
      <c r="AR676" t="b">
        <v>0</v>
      </c>
    </row>
    <row r="677" spans="1:45" x14ac:dyDescent="0.3">
      <c r="A677" t="s">
        <v>2369</v>
      </c>
      <c r="B677" t="s">
        <v>2369</v>
      </c>
      <c r="C677" t="s">
        <v>2702</v>
      </c>
      <c r="D677" t="s">
        <v>758</v>
      </c>
      <c r="E677" t="s">
        <v>759</v>
      </c>
      <c r="F677" t="s">
        <v>56</v>
      </c>
      <c r="G677">
        <v>11.1</v>
      </c>
      <c r="H677">
        <v>2.8</v>
      </c>
      <c r="I677">
        <v>16.2</v>
      </c>
      <c r="J677">
        <v>12.1</v>
      </c>
      <c r="K677">
        <v>1</v>
      </c>
      <c r="L677">
        <v>1.4</v>
      </c>
      <c r="M677">
        <v>46</v>
      </c>
      <c r="N677">
        <v>2.7</v>
      </c>
      <c r="O677">
        <v>13.2</v>
      </c>
      <c r="P677" t="s">
        <v>1615</v>
      </c>
      <c r="Q677" t="s">
        <v>696</v>
      </c>
      <c r="R677" t="s">
        <v>2702</v>
      </c>
      <c r="S677" t="s">
        <v>697</v>
      </c>
      <c r="T677">
        <v>6100</v>
      </c>
      <c r="U677">
        <v>41.1</v>
      </c>
      <c r="V677">
        <v>277</v>
      </c>
      <c r="W677">
        <v>14</v>
      </c>
      <c r="X677">
        <v>1202</v>
      </c>
      <c r="Y677">
        <v>61.6</v>
      </c>
      <c r="Z677">
        <v>740</v>
      </c>
      <c r="AA677">
        <v>34.299999999999997</v>
      </c>
      <c r="AB677">
        <v>1104</v>
      </c>
      <c r="AC677">
        <v>38.200000000000003</v>
      </c>
      <c r="AD677">
        <v>1180</v>
      </c>
      <c r="AE677" t="s">
        <v>57</v>
      </c>
      <c r="AF677">
        <v>0</v>
      </c>
      <c r="AG677" t="s">
        <v>2703</v>
      </c>
      <c r="AH677">
        <v>980</v>
      </c>
      <c r="AI677" t="s">
        <v>759</v>
      </c>
      <c r="AJ677" s="1">
        <v>20428</v>
      </c>
      <c r="AK677">
        <v>12</v>
      </c>
      <c r="AL677" s="2">
        <v>0.01</v>
      </c>
      <c r="AM677" t="s">
        <v>789</v>
      </c>
      <c r="AN677" t="s">
        <v>2702</v>
      </c>
      <c r="AO677" t="s">
        <v>2704</v>
      </c>
      <c r="AP677" t="b">
        <v>0</v>
      </c>
      <c r="AQ677" t="b">
        <v>0</v>
      </c>
      <c r="AR677" t="b">
        <v>0</v>
      </c>
    </row>
    <row r="678" spans="1:45" x14ac:dyDescent="0.3">
      <c r="A678" t="s">
        <v>2369</v>
      </c>
      <c r="B678" t="s">
        <v>2369</v>
      </c>
      <c r="C678" t="s">
        <v>2705</v>
      </c>
      <c r="D678" t="s">
        <v>758</v>
      </c>
      <c r="E678" t="s">
        <v>759</v>
      </c>
      <c r="F678" t="s">
        <v>56</v>
      </c>
      <c r="G678">
        <v>9.8000000000000007</v>
      </c>
      <c r="H678">
        <v>10.6</v>
      </c>
      <c r="I678">
        <v>10.7</v>
      </c>
      <c r="J678">
        <v>7.1</v>
      </c>
      <c r="K678">
        <v>3.7</v>
      </c>
      <c r="L678">
        <v>21.1</v>
      </c>
      <c r="M678">
        <v>61.5</v>
      </c>
      <c r="N678">
        <v>4.0999999999999996</v>
      </c>
      <c r="O678">
        <v>10.8</v>
      </c>
      <c r="P678" t="s">
        <v>1615</v>
      </c>
      <c r="Q678" t="s">
        <v>679</v>
      </c>
      <c r="R678" t="s">
        <v>2705</v>
      </c>
      <c r="S678" t="s">
        <v>680</v>
      </c>
      <c r="T678">
        <v>8110</v>
      </c>
      <c r="U678">
        <v>23.6</v>
      </c>
      <c r="V678">
        <v>1102</v>
      </c>
      <c r="W678">
        <v>14</v>
      </c>
      <c r="X678">
        <v>1203</v>
      </c>
      <c r="Y678">
        <v>62.3</v>
      </c>
      <c r="Z678">
        <v>724</v>
      </c>
      <c r="AA678">
        <v>20</v>
      </c>
      <c r="AB678">
        <v>1527</v>
      </c>
      <c r="AC678">
        <v>31.1</v>
      </c>
      <c r="AD678">
        <v>1457</v>
      </c>
      <c r="AE678" t="s">
        <v>57</v>
      </c>
      <c r="AF678">
        <v>0</v>
      </c>
      <c r="AG678" t="s">
        <v>2706</v>
      </c>
      <c r="AH678">
        <v>131629</v>
      </c>
      <c r="AI678" t="s">
        <v>759</v>
      </c>
      <c r="AJ678" s="1">
        <v>30989</v>
      </c>
      <c r="AK678">
        <v>17.100000000000001</v>
      </c>
      <c r="AL678" s="2">
        <v>7.0000000000000007E-2</v>
      </c>
      <c r="AM678" s="3">
        <v>2.2000000000000002</v>
      </c>
      <c r="AN678" t="s">
        <v>2705</v>
      </c>
      <c r="AO678" t="s">
        <v>2707</v>
      </c>
      <c r="AP678" t="b">
        <v>0</v>
      </c>
      <c r="AQ678" t="b">
        <v>0</v>
      </c>
      <c r="AR678" t="b">
        <v>0</v>
      </c>
    </row>
    <row r="679" spans="1:45" x14ac:dyDescent="0.3">
      <c r="A679" t="s">
        <v>2369</v>
      </c>
      <c r="B679" t="s">
        <v>2369</v>
      </c>
      <c r="C679" t="s">
        <v>2708</v>
      </c>
      <c r="D679" t="s">
        <v>758</v>
      </c>
      <c r="E679" t="s">
        <v>759</v>
      </c>
      <c r="F679" t="s">
        <v>56</v>
      </c>
      <c r="G679">
        <v>5.8</v>
      </c>
      <c r="H679">
        <v>4.7</v>
      </c>
      <c r="I679">
        <v>24</v>
      </c>
      <c r="J679">
        <v>5.7</v>
      </c>
      <c r="K679">
        <v>35.5</v>
      </c>
      <c r="L679">
        <v>1.6</v>
      </c>
      <c r="M679">
        <v>39.700000000000003</v>
      </c>
      <c r="N679">
        <v>1.7</v>
      </c>
      <c r="O679">
        <v>1.1000000000000001</v>
      </c>
      <c r="P679" t="s">
        <v>1615</v>
      </c>
      <c r="Q679" t="s">
        <v>679</v>
      </c>
      <c r="R679" t="s">
        <v>2708</v>
      </c>
      <c r="S679" t="s">
        <v>680</v>
      </c>
      <c r="T679">
        <v>8120</v>
      </c>
      <c r="U679">
        <v>28.4</v>
      </c>
      <c r="V679">
        <v>779</v>
      </c>
      <c r="W679">
        <v>20.5</v>
      </c>
      <c r="X679">
        <v>786</v>
      </c>
      <c r="Y679">
        <v>60.8</v>
      </c>
      <c r="Z679">
        <v>762</v>
      </c>
      <c r="AA679">
        <v>41.1</v>
      </c>
      <c r="AB679">
        <v>952</v>
      </c>
      <c r="AC679">
        <v>36.9</v>
      </c>
      <c r="AD679">
        <v>1244</v>
      </c>
      <c r="AE679" t="s">
        <v>57</v>
      </c>
      <c r="AF679">
        <v>0</v>
      </c>
      <c r="AG679" t="s">
        <v>2709</v>
      </c>
      <c r="AH679">
        <v>131729</v>
      </c>
      <c r="AI679" t="s">
        <v>759</v>
      </c>
      <c r="AJ679" s="1">
        <v>22085</v>
      </c>
      <c r="AK679">
        <v>11.8</v>
      </c>
      <c r="AL679" s="2">
        <v>0.05</v>
      </c>
      <c r="AN679" t="s">
        <v>2708</v>
      </c>
      <c r="AO679" t="s">
        <v>2710</v>
      </c>
      <c r="AP679" t="b">
        <v>0</v>
      </c>
      <c r="AQ679" t="b">
        <v>0</v>
      </c>
      <c r="AR679" t="b">
        <v>0</v>
      </c>
    </row>
    <row r="680" spans="1:45" x14ac:dyDescent="0.3">
      <c r="A680" t="s">
        <v>2369</v>
      </c>
      <c r="B680" t="s">
        <v>2369</v>
      </c>
      <c r="C680" t="s">
        <v>2711</v>
      </c>
      <c r="D680" t="s">
        <v>2371</v>
      </c>
      <c r="E680" t="s">
        <v>2372</v>
      </c>
      <c r="F680" t="s">
        <v>56</v>
      </c>
      <c r="G680">
        <v>7.7</v>
      </c>
      <c r="H680">
        <v>12.1</v>
      </c>
      <c r="I680">
        <v>7.3</v>
      </c>
      <c r="J680">
        <v>2.2999999999999998</v>
      </c>
      <c r="K680">
        <v>34.6</v>
      </c>
      <c r="L680">
        <v>24.8</v>
      </c>
      <c r="M680">
        <v>31.8</v>
      </c>
      <c r="N680">
        <v>21.8</v>
      </c>
      <c r="O680">
        <v>1.1000000000000001</v>
      </c>
      <c r="P680" t="s">
        <v>1615</v>
      </c>
      <c r="Q680" t="s">
        <v>733</v>
      </c>
      <c r="R680" t="s">
        <v>2711</v>
      </c>
      <c r="S680" t="s">
        <v>735</v>
      </c>
      <c r="T680">
        <v>10110</v>
      </c>
      <c r="U680">
        <v>13.3</v>
      </c>
      <c r="V680">
        <v>1829</v>
      </c>
      <c r="W680">
        <v>9.8000000000000007</v>
      </c>
      <c r="X680">
        <v>1665</v>
      </c>
      <c r="Y680">
        <v>65.400000000000006</v>
      </c>
      <c r="Z680">
        <v>667</v>
      </c>
      <c r="AA680">
        <v>21</v>
      </c>
      <c r="AB680">
        <v>1478</v>
      </c>
      <c r="AC680">
        <v>61.2</v>
      </c>
      <c r="AD680">
        <v>555</v>
      </c>
      <c r="AE680" t="s">
        <v>57</v>
      </c>
      <c r="AF680">
        <v>11</v>
      </c>
      <c r="AG680" t="s">
        <v>2712</v>
      </c>
      <c r="AH680">
        <v>624453</v>
      </c>
      <c r="AI680" t="s">
        <v>2374</v>
      </c>
      <c r="AJ680" s="1">
        <v>24835</v>
      </c>
      <c r="AK680">
        <v>21.7</v>
      </c>
      <c r="AL680" s="2">
        <v>0.11</v>
      </c>
      <c r="AM680" s="3">
        <v>2.7736111111111112</v>
      </c>
      <c r="AN680" t="s">
        <v>2711</v>
      </c>
      <c r="AO680" t="s">
        <v>2713</v>
      </c>
      <c r="AP680" t="b">
        <v>0</v>
      </c>
      <c r="AQ680" t="b">
        <v>0</v>
      </c>
      <c r="AR680" t="b">
        <v>0</v>
      </c>
    </row>
    <row r="681" spans="1:45" x14ac:dyDescent="0.3">
      <c r="A681" t="s">
        <v>2369</v>
      </c>
      <c r="B681" t="s">
        <v>2369</v>
      </c>
      <c r="C681" t="s">
        <v>2714</v>
      </c>
      <c r="D681" t="s">
        <v>1159</v>
      </c>
      <c r="E681" t="s">
        <v>1160</v>
      </c>
      <c r="F681" t="s">
        <v>56</v>
      </c>
      <c r="G681">
        <v>7.4</v>
      </c>
      <c r="H681">
        <v>8.4</v>
      </c>
      <c r="I681">
        <v>33</v>
      </c>
      <c r="J681">
        <v>1.5</v>
      </c>
      <c r="K681">
        <v>6.8</v>
      </c>
      <c r="L681">
        <v>20.399999999999999</v>
      </c>
      <c r="M681">
        <v>29.8</v>
      </c>
      <c r="N681">
        <v>11.4</v>
      </c>
      <c r="O681">
        <v>1.6</v>
      </c>
      <c r="P681" t="s">
        <v>1615</v>
      </c>
      <c r="Q681" t="s">
        <v>621</v>
      </c>
      <c r="R681" t="s">
        <v>2714</v>
      </c>
      <c r="S681" t="s">
        <v>622</v>
      </c>
      <c r="T681">
        <v>12150</v>
      </c>
      <c r="U681">
        <v>28.1</v>
      </c>
      <c r="V681">
        <v>801</v>
      </c>
      <c r="W681">
        <v>12.3</v>
      </c>
      <c r="X681">
        <v>1373</v>
      </c>
      <c r="Y681">
        <v>32.9</v>
      </c>
      <c r="Z681">
        <v>1377</v>
      </c>
      <c r="AA681">
        <v>22.6</v>
      </c>
      <c r="AB681">
        <v>1413</v>
      </c>
      <c r="AC681">
        <v>53.3</v>
      </c>
      <c r="AD681">
        <v>703</v>
      </c>
      <c r="AE681" t="s">
        <v>57</v>
      </c>
      <c r="AF681">
        <v>0</v>
      </c>
      <c r="AG681" t="s">
        <v>2715</v>
      </c>
      <c r="AH681">
        <v>704825</v>
      </c>
      <c r="AI681" t="s">
        <v>1160</v>
      </c>
      <c r="AJ681" s="1">
        <v>37942</v>
      </c>
      <c r="AK681">
        <v>13.9</v>
      </c>
      <c r="AL681" s="2">
        <v>0.1</v>
      </c>
      <c r="AM681" t="s">
        <v>357</v>
      </c>
      <c r="AN681" t="s">
        <v>2714</v>
      </c>
      <c r="AO681" t="s">
        <v>2716</v>
      </c>
      <c r="AP681" t="b">
        <v>0</v>
      </c>
      <c r="AQ681" t="b">
        <v>0</v>
      </c>
      <c r="AR681" t="b">
        <v>0</v>
      </c>
    </row>
    <row r="682" spans="1:45" x14ac:dyDescent="0.3">
      <c r="A682" t="s">
        <v>2369</v>
      </c>
      <c r="B682" t="s">
        <v>2369</v>
      </c>
      <c r="C682" t="s">
        <v>2717</v>
      </c>
      <c r="D682" t="s">
        <v>1159</v>
      </c>
      <c r="E682" t="s">
        <v>1160</v>
      </c>
      <c r="F682" t="s">
        <v>77</v>
      </c>
      <c r="G682">
        <v>11.4</v>
      </c>
      <c r="H682">
        <v>9.8000000000000007</v>
      </c>
      <c r="I682">
        <v>13.6</v>
      </c>
      <c r="J682">
        <v>2.2000000000000002</v>
      </c>
      <c r="K682">
        <v>11.8</v>
      </c>
      <c r="L682">
        <v>3.5</v>
      </c>
      <c r="M682">
        <v>56</v>
      </c>
      <c r="N682">
        <v>2.5</v>
      </c>
      <c r="O682">
        <v>5.4</v>
      </c>
      <c r="P682" t="s">
        <v>1615</v>
      </c>
      <c r="Q682" t="s">
        <v>621</v>
      </c>
      <c r="R682" t="s">
        <v>2718</v>
      </c>
      <c r="S682" t="s">
        <v>622</v>
      </c>
      <c r="T682">
        <v>12170</v>
      </c>
      <c r="U682">
        <v>16.100000000000001</v>
      </c>
      <c r="V682">
        <v>1690</v>
      </c>
      <c r="W682">
        <v>10.8</v>
      </c>
      <c r="X682">
        <v>1543</v>
      </c>
      <c r="Y682">
        <v>48</v>
      </c>
      <c r="Z682">
        <v>1058</v>
      </c>
      <c r="AA682">
        <v>22.2</v>
      </c>
      <c r="AB682">
        <v>1431</v>
      </c>
      <c r="AC682">
        <v>52.9</v>
      </c>
      <c r="AD682">
        <v>716</v>
      </c>
      <c r="AE682" t="s">
        <v>57</v>
      </c>
      <c r="AF682">
        <v>0</v>
      </c>
      <c r="AG682" t="s">
        <v>2719</v>
      </c>
      <c r="AH682">
        <v>624267</v>
      </c>
      <c r="AI682" t="s">
        <v>1160</v>
      </c>
      <c r="AJ682" s="1">
        <v>99610</v>
      </c>
      <c r="AK682">
        <v>22.1</v>
      </c>
      <c r="AL682" s="2">
        <v>0.01</v>
      </c>
      <c r="AM682" t="s">
        <v>1244</v>
      </c>
      <c r="AN682" t="s">
        <v>2718</v>
      </c>
      <c r="AO682" t="s">
        <v>2720</v>
      </c>
      <c r="AP682" t="b">
        <v>0</v>
      </c>
      <c r="AQ682" t="b">
        <v>0</v>
      </c>
      <c r="AR682" t="b">
        <v>0</v>
      </c>
    </row>
    <row r="683" spans="1:45" x14ac:dyDescent="0.3">
      <c r="A683" t="s">
        <v>2369</v>
      </c>
      <c r="B683" t="s">
        <v>2369</v>
      </c>
      <c r="C683" t="s">
        <v>2721</v>
      </c>
      <c r="D683" t="s">
        <v>2600</v>
      </c>
      <c r="E683" t="s">
        <v>2601</v>
      </c>
      <c r="F683" t="s">
        <v>56</v>
      </c>
      <c r="G683">
        <v>13</v>
      </c>
      <c r="H683">
        <v>14.5</v>
      </c>
      <c r="I683">
        <v>26.1</v>
      </c>
      <c r="J683">
        <v>1.2</v>
      </c>
      <c r="K683">
        <v>14.2</v>
      </c>
      <c r="L683">
        <v>3.4</v>
      </c>
      <c r="M683">
        <v>4.5999999999999996</v>
      </c>
      <c r="N683">
        <v>38.6</v>
      </c>
      <c r="O683">
        <v>1.9</v>
      </c>
      <c r="P683" t="s">
        <v>1615</v>
      </c>
      <c r="Q683" t="s">
        <v>1475</v>
      </c>
      <c r="R683" t="s">
        <v>2721</v>
      </c>
      <c r="T683">
        <v>1000101</v>
      </c>
      <c r="V683">
        <v>0</v>
      </c>
      <c r="X683">
        <v>0</v>
      </c>
      <c r="Z683">
        <v>0</v>
      </c>
      <c r="AB683">
        <v>0</v>
      </c>
      <c r="AD683">
        <v>0</v>
      </c>
      <c r="AE683" t="s">
        <v>57</v>
      </c>
      <c r="AF683">
        <v>0</v>
      </c>
      <c r="AG683" t="s">
        <v>2722</v>
      </c>
      <c r="AH683">
        <v>647939</v>
      </c>
      <c r="AI683" t="s">
        <v>2601</v>
      </c>
      <c r="AJ683" s="1">
        <v>16678</v>
      </c>
      <c r="AK683">
        <v>10.4</v>
      </c>
      <c r="AL683" s="2">
        <v>0.03</v>
      </c>
      <c r="AM683" t="s">
        <v>455</v>
      </c>
      <c r="AN683" t="s">
        <v>2721</v>
      </c>
      <c r="AO683" t="s">
        <v>2723</v>
      </c>
      <c r="AP683" t="b">
        <v>0</v>
      </c>
      <c r="AQ683" t="b">
        <v>0</v>
      </c>
      <c r="AR683" t="b">
        <v>0</v>
      </c>
    </row>
    <row r="684" spans="1:45" x14ac:dyDescent="0.3">
      <c r="A684" t="s">
        <v>2369</v>
      </c>
      <c r="B684" t="s">
        <v>2369</v>
      </c>
      <c r="C684" t="s">
        <v>2724</v>
      </c>
      <c r="D684" t="s">
        <v>758</v>
      </c>
      <c r="E684" t="s">
        <v>759</v>
      </c>
      <c r="F684" t="s">
        <v>56</v>
      </c>
      <c r="G684">
        <v>13.5</v>
      </c>
      <c r="H684">
        <v>8</v>
      </c>
      <c r="I684">
        <v>12.4</v>
      </c>
      <c r="J684">
        <v>9</v>
      </c>
      <c r="K684">
        <v>1.2</v>
      </c>
      <c r="L684">
        <v>1.7</v>
      </c>
      <c r="M684">
        <v>56.4</v>
      </c>
      <c r="N684">
        <v>8.8000000000000007</v>
      </c>
      <c r="O684">
        <v>2.7</v>
      </c>
      <c r="P684" t="s">
        <v>1615</v>
      </c>
      <c r="Q684" t="s">
        <v>696</v>
      </c>
      <c r="R684" t="s">
        <v>2724</v>
      </c>
      <c r="S684" t="s">
        <v>697</v>
      </c>
      <c r="T684">
        <v>6170</v>
      </c>
      <c r="U684">
        <v>47.2</v>
      </c>
      <c r="V684">
        <v>172</v>
      </c>
      <c r="W684">
        <v>16.399999999999999</v>
      </c>
      <c r="X684">
        <v>1012</v>
      </c>
      <c r="Y684">
        <v>66.400000000000006</v>
      </c>
      <c r="Z684">
        <v>640</v>
      </c>
      <c r="AA684">
        <v>26.8</v>
      </c>
      <c r="AB684">
        <v>1266</v>
      </c>
      <c r="AC684">
        <v>25</v>
      </c>
      <c r="AD684">
        <v>1702</v>
      </c>
      <c r="AE684" t="s">
        <v>57</v>
      </c>
      <c r="AF684">
        <v>0</v>
      </c>
      <c r="AG684" t="s">
        <v>2725</v>
      </c>
      <c r="AH684">
        <v>623298</v>
      </c>
      <c r="AI684" t="s">
        <v>759</v>
      </c>
      <c r="AJ684" s="1">
        <v>12620</v>
      </c>
      <c r="AK684">
        <v>8</v>
      </c>
      <c r="AL684" s="2">
        <v>0.03</v>
      </c>
      <c r="AM684" s="3">
        <v>1.83125</v>
      </c>
      <c r="AN684" t="s">
        <v>2724</v>
      </c>
      <c r="AO684" t="s">
        <v>2726</v>
      </c>
      <c r="AP684" t="b">
        <v>0</v>
      </c>
      <c r="AQ684" t="b">
        <v>0</v>
      </c>
      <c r="AR684" t="b">
        <v>0</v>
      </c>
    </row>
    <row r="685" spans="1:45" x14ac:dyDescent="0.3">
      <c r="A685" t="s">
        <v>2369</v>
      </c>
      <c r="B685" t="s">
        <v>2369</v>
      </c>
      <c r="C685" t="s">
        <v>2727</v>
      </c>
      <c r="D685" t="s">
        <v>45</v>
      </c>
      <c r="E685" t="s">
        <v>46</v>
      </c>
      <c r="F685" t="s">
        <v>56</v>
      </c>
      <c r="G685">
        <v>6.1</v>
      </c>
      <c r="H685">
        <v>9.1</v>
      </c>
      <c r="I685">
        <v>11.9</v>
      </c>
      <c r="J685">
        <v>7.5</v>
      </c>
      <c r="K685">
        <v>2.4</v>
      </c>
      <c r="L685">
        <v>3.8</v>
      </c>
      <c r="M685">
        <v>41.8</v>
      </c>
      <c r="N685">
        <v>11.6</v>
      </c>
      <c r="O685">
        <v>4</v>
      </c>
      <c r="P685" t="s">
        <v>1615</v>
      </c>
      <c r="Q685" t="s">
        <v>696</v>
      </c>
      <c r="R685" t="s">
        <v>2727</v>
      </c>
      <c r="S685" t="s">
        <v>697</v>
      </c>
      <c r="T685">
        <v>6200</v>
      </c>
      <c r="U685">
        <v>39.200000000000003</v>
      </c>
      <c r="V685">
        <v>328</v>
      </c>
      <c r="W685">
        <v>19.7</v>
      </c>
      <c r="X685">
        <v>828</v>
      </c>
      <c r="Y685">
        <v>61.3</v>
      </c>
      <c r="Z685">
        <v>746</v>
      </c>
      <c r="AA685">
        <v>54.8</v>
      </c>
      <c r="AB685">
        <v>728</v>
      </c>
      <c r="AC685">
        <v>38.6</v>
      </c>
      <c r="AD685">
        <v>1165</v>
      </c>
      <c r="AE685" t="s">
        <v>49</v>
      </c>
      <c r="AF685">
        <v>0</v>
      </c>
      <c r="AG685" t="s">
        <v>2728</v>
      </c>
      <c r="AH685">
        <v>594605</v>
      </c>
      <c r="AI685" t="s">
        <v>46</v>
      </c>
      <c r="AJ685" s="1">
        <v>20859</v>
      </c>
      <c r="AK685">
        <v>19</v>
      </c>
      <c r="AL685" s="2">
        <v>0.06</v>
      </c>
      <c r="AM685" s="3">
        <v>2.5687500000000001</v>
      </c>
      <c r="AN685" t="s">
        <v>2729</v>
      </c>
      <c r="AO685" t="s">
        <v>2730</v>
      </c>
      <c r="AP685" t="b">
        <v>0</v>
      </c>
      <c r="AQ685" t="b">
        <v>0</v>
      </c>
      <c r="AR685" t="b">
        <v>0</v>
      </c>
      <c r="AS685" t="s">
        <v>2731</v>
      </c>
    </row>
    <row r="686" spans="1:45" x14ac:dyDescent="0.3">
      <c r="A686" t="s">
        <v>2369</v>
      </c>
      <c r="B686" t="s">
        <v>2369</v>
      </c>
      <c r="C686" t="s">
        <v>2732</v>
      </c>
      <c r="D686" t="s">
        <v>54</v>
      </c>
      <c r="E686" t="s">
        <v>55</v>
      </c>
      <c r="F686" t="s">
        <v>56</v>
      </c>
      <c r="G686">
        <v>6.2</v>
      </c>
      <c r="H686">
        <v>4.4000000000000004</v>
      </c>
      <c r="I686">
        <v>7.3</v>
      </c>
      <c r="J686">
        <v>3.2</v>
      </c>
      <c r="K686">
        <v>42</v>
      </c>
      <c r="L686">
        <v>73.8</v>
      </c>
      <c r="M686">
        <v>27.2</v>
      </c>
      <c r="N686">
        <v>6.5</v>
      </c>
      <c r="O686">
        <v>1.4</v>
      </c>
      <c r="P686" t="s">
        <v>1615</v>
      </c>
      <c r="Q686" t="s">
        <v>696</v>
      </c>
      <c r="R686" t="s">
        <v>2733</v>
      </c>
      <c r="S686" t="s">
        <v>697</v>
      </c>
      <c r="T686">
        <v>6240</v>
      </c>
      <c r="U686">
        <v>17.3</v>
      </c>
      <c r="V686">
        <v>1605</v>
      </c>
      <c r="W686">
        <v>11.8</v>
      </c>
      <c r="X686">
        <v>1422</v>
      </c>
      <c r="Y686">
        <v>77.8</v>
      </c>
      <c r="Z686">
        <v>372</v>
      </c>
      <c r="AA686">
        <v>23.2</v>
      </c>
      <c r="AB686">
        <v>1389</v>
      </c>
      <c r="AC686">
        <v>81.900000000000006</v>
      </c>
      <c r="AD686">
        <v>222</v>
      </c>
      <c r="AE686" t="s">
        <v>57</v>
      </c>
      <c r="AF686">
        <v>0</v>
      </c>
      <c r="AG686" t="s">
        <v>2734</v>
      </c>
      <c r="AH686">
        <v>131612</v>
      </c>
      <c r="AI686" t="s">
        <v>55</v>
      </c>
      <c r="AJ686" s="1">
        <v>24575</v>
      </c>
      <c r="AK686">
        <v>17.2</v>
      </c>
      <c r="AL686" s="2">
        <v>0.26</v>
      </c>
      <c r="AM686" s="3">
        <v>2.6506944444444445</v>
      </c>
      <c r="AN686" t="s">
        <v>2733</v>
      </c>
      <c r="AO686" t="s">
        <v>2735</v>
      </c>
      <c r="AP686" t="b">
        <v>0</v>
      </c>
      <c r="AQ686" t="b">
        <v>0</v>
      </c>
      <c r="AR686" t="b">
        <v>0</v>
      </c>
      <c r="AS686" t="s">
        <v>2736</v>
      </c>
    </row>
    <row r="687" spans="1:45" x14ac:dyDescent="0.3">
      <c r="A687" t="s">
        <v>2369</v>
      </c>
      <c r="B687" t="s">
        <v>2369</v>
      </c>
      <c r="C687" t="s">
        <v>2737</v>
      </c>
      <c r="D687" t="s">
        <v>1652</v>
      </c>
      <c r="E687" t="s">
        <v>1653</v>
      </c>
      <c r="F687" t="s">
        <v>56</v>
      </c>
      <c r="G687">
        <v>11.6</v>
      </c>
      <c r="H687">
        <v>27.9</v>
      </c>
      <c r="I687">
        <v>10</v>
      </c>
      <c r="J687">
        <v>2</v>
      </c>
      <c r="K687">
        <v>2</v>
      </c>
      <c r="L687">
        <v>1.4</v>
      </c>
      <c r="M687">
        <v>21.4</v>
      </c>
      <c r="N687">
        <v>3.8</v>
      </c>
      <c r="O687">
        <v>1.1000000000000001</v>
      </c>
      <c r="P687" t="s">
        <v>1615</v>
      </c>
      <c r="Q687" t="s">
        <v>679</v>
      </c>
      <c r="R687" t="s">
        <v>2737</v>
      </c>
      <c r="S687" t="s">
        <v>680</v>
      </c>
      <c r="T687">
        <v>8250</v>
      </c>
      <c r="U687">
        <v>14.8</v>
      </c>
      <c r="V687">
        <v>1765</v>
      </c>
      <c r="W687">
        <v>12.3</v>
      </c>
      <c r="X687">
        <v>1374</v>
      </c>
      <c r="Y687">
        <v>71.099999999999994</v>
      </c>
      <c r="Z687">
        <v>533</v>
      </c>
      <c r="AA687">
        <v>15.7</v>
      </c>
      <c r="AB687">
        <v>1894</v>
      </c>
      <c r="AC687">
        <v>42.2</v>
      </c>
      <c r="AD687">
        <v>1044</v>
      </c>
      <c r="AE687" t="s">
        <v>57</v>
      </c>
      <c r="AF687">
        <v>0</v>
      </c>
      <c r="AG687" t="s">
        <v>2738</v>
      </c>
      <c r="AH687">
        <v>587673</v>
      </c>
      <c r="AI687" t="s">
        <v>1653</v>
      </c>
      <c r="AJ687" s="1">
        <v>13027</v>
      </c>
      <c r="AK687">
        <v>16.899999999999999</v>
      </c>
      <c r="AL687" s="2">
        <v>0.01</v>
      </c>
      <c r="AM687" s="3">
        <v>1.83125</v>
      </c>
      <c r="AN687" t="s">
        <v>2737</v>
      </c>
      <c r="AO687" t="s">
        <v>2739</v>
      </c>
      <c r="AP687" t="b">
        <v>0</v>
      </c>
      <c r="AQ687" t="b">
        <v>0</v>
      </c>
      <c r="AR687" t="b">
        <v>0</v>
      </c>
    </row>
    <row r="688" spans="1:45" x14ac:dyDescent="0.3">
      <c r="A688" t="s">
        <v>2369</v>
      </c>
      <c r="B688" t="s">
        <v>2369</v>
      </c>
      <c r="C688" t="s">
        <v>2740</v>
      </c>
      <c r="D688" t="s">
        <v>54</v>
      </c>
      <c r="E688" t="s">
        <v>55</v>
      </c>
      <c r="F688" t="s">
        <v>56</v>
      </c>
      <c r="G688">
        <v>5.0999999999999996</v>
      </c>
      <c r="H688">
        <v>2.2000000000000002</v>
      </c>
      <c r="I688">
        <v>4.7</v>
      </c>
      <c r="J688">
        <v>3.7</v>
      </c>
      <c r="K688">
        <v>34.5</v>
      </c>
      <c r="L688">
        <v>87.6</v>
      </c>
      <c r="M688">
        <v>17.7</v>
      </c>
      <c r="N688">
        <v>1.3</v>
      </c>
      <c r="O688">
        <v>1</v>
      </c>
      <c r="P688" t="s">
        <v>1615</v>
      </c>
      <c r="Q688" t="s">
        <v>733</v>
      </c>
      <c r="R688" t="s">
        <v>2740</v>
      </c>
      <c r="S688" t="s">
        <v>735</v>
      </c>
      <c r="T688">
        <v>10290</v>
      </c>
      <c r="U688">
        <v>20.7</v>
      </c>
      <c r="V688">
        <v>1318</v>
      </c>
      <c r="W688">
        <v>13.8</v>
      </c>
      <c r="X688">
        <v>1221</v>
      </c>
      <c r="Y688">
        <v>44.6</v>
      </c>
      <c r="Z688">
        <v>1130</v>
      </c>
      <c r="AA688">
        <v>18</v>
      </c>
      <c r="AB688">
        <v>1663</v>
      </c>
      <c r="AC688">
        <v>59.6</v>
      </c>
      <c r="AD688">
        <v>592</v>
      </c>
      <c r="AE688" t="s">
        <v>57</v>
      </c>
      <c r="AF688">
        <v>0</v>
      </c>
      <c r="AG688" t="s">
        <v>2741</v>
      </c>
      <c r="AH688">
        <v>131578</v>
      </c>
      <c r="AI688" t="s">
        <v>55</v>
      </c>
      <c r="AJ688" s="1">
        <v>11155</v>
      </c>
      <c r="AK688">
        <v>20.100000000000001</v>
      </c>
      <c r="AL688" s="2">
        <v>0.15</v>
      </c>
      <c r="AM688" s="3">
        <v>2.8555555555555556</v>
      </c>
      <c r="AN688" t="s">
        <v>2740</v>
      </c>
      <c r="AO688" t="s">
        <v>2742</v>
      </c>
      <c r="AP688" t="b">
        <v>0</v>
      </c>
      <c r="AQ688" t="b">
        <v>0</v>
      </c>
      <c r="AR688" t="b">
        <v>0</v>
      </c>
      <c r="AS688" t="s">
        <v>2743</v>
      </c>
    </row>
    <row r="689" spans="1:45" x14ac:dyDescent="0.3">
      <c r="A689" t="s">
        <v>2369</v>
      </c>
      <c r="B689" t="s">
        <v>2369</v>
      </c>
      <c r="C689" t="s">
        <v>2744</v>
      </c>
      <c r="D689" t="s">
        <v>297</v>
      </c>
      <c r="E689" t="s">
        <v>298</v>
      </c>
      <c r="F689" t="s">
        <v>56</v>
      </c>
      <c r="G689">
        <v>6.3</v>
      </c>
      <c r="H689">
        <v>5.3</v>
      </c>
      <c r="I689">
        <v>4.3</v>
      </c>
      <c r="J689">
        <v>15.6</v>
      </c>
      <c r="K689">
        <v>3.9</v>
      </c>
      <c r="L689">
        <v>6.7</v>
      </c>
      <c r="M689">
        <v>15.1</v>
      </c>
      <c r="N689">
        <v>22.4</v>
      </c>
      <c r="O689">
        <v>7.9</v>
      </c>
      <c r="P689" t="s">
        <v>1615</v>
      </c>
      <c r="Q689" t="s">
        <v>733</v>
      </c>
      <c r="R689" t="s">
        <v>2744</v>
      </c>
      <c r="S689" t="s">
        <v>735</v>
      </c>
      <c r="T689">
        <v>10340</v>
      </c>
      <c r="U689">
        <v>18.100000000000001</v>
      </c>
      <c r="V689">
        <v>1539</v>
      </c>
      <c r="W689">
        <v>24.4</v>
      </c>
      <c r="X689">
        <v>632</v>
      </c>
      <c r="Y689">
        <v>39</v>
      </c>
      <c r="Z689">
        <v>1239</v>
      </c>
      <c r="AA689">
        <v>62.6</v>
      </c>
      <c r="AB689">
        <v>601</v>
      </c>
      <c r="AC689">
        <v>41.2</v>
      </c>
      <c r="AD689">
        <v>1073</v>
      </c>
      <c r="AE689" t="s">
        <v>57</v>
      </c>
      <c r="AF689">
        <v>0</v>
      </c>
      <c r="AG689" t="s">
        <v>2745</v>
      </c>
      <c r="AH689">
        <v>935</v>
      </c>
      <c r="AI689" t="s">
        <v>298</v>
      </c>
      <c r="AJ689" s="1">
        <v>15939</v>
      </c>
      <c r="AK689">
        <v>33.5</v>
      </c>
      <c r="AL689" s="2">
        <v>7.0000000000000007E-2</v>
      </c>
      <c r="AM689" s="3">
        <v>1.9541666666666666</v>
      </c>
      <c r="AN689" t="s">
        <v>2744</v>
      </c>
      <c r="AO689" t="s">
        <v>2746</v>
      </c>
      <c r="AP689" t="b">
        <v>0</v>
      </c>
      <c r="AQ689" t="b">
        <v>0</v>
      </c>
      <c r="AR689" t="b">
        <v>0</v>
      </c>
    </row>
    <row r="690" spans="1:45" x14ac:dyDescent="0.3">
      <c r="A690" t="s">
        <v>2369</v>
      </c>
      <c r="B690" t="s">
        <v>2369</v>
      </c>
      <c r="C690" t="s">
        <v>2747</v>
      </c>
      <c r="D690" t="s">
        <v>166</v>
      </c>
      <c r="E690" t="s">
        <v>167</v>
      </c>
      <c r="F690" t="s">
        <v>47</v>
      </c>
      <c r="G690">
        <v>3.8</v>
      </c>
      <c r="H690">
        <v>2.7</v>
      </c>
      <c r="I690">
        <v>34.1</v>
      </c>
      <c r="J690">
        <v>10.3</v>
      </c>
      <c r="K690">
        <v>10.5</v>
      </c>
      <c r="L690">
        <v>7.7</v>
      </c>
      <c r="M690">
        <v>27.4</v>
      </c>
      <c r="N690">
        <v>1.7</v>
      </c>
      <c r="O690">
        <v>15.4</v>
      </c>
      <c r="P690" t="s">
        <v>1615</v>
      </c>
      <c r="Q690" t="s">
        <v>621</v>
      </c>
      <c r="R690" t="s">
        <v>2747</v>
      </c>
      <c r="S690" t="s">
        <v>622</v>
      </c>
      <c r="T690">
        <v>12460</v>
      </c>
      <c r="U690">
        <v>26.5</v>
      </c>
      <c r="V690">
        <v>908</v>
      </c>
      <c r="W690">
        <v>21.2</v>
      </c>
      <c r="X690">
        <v>759</v>
      </c>
      <c r="Y690">
        <v>29.9</v>
      </c>
      <c r="Z690">
        <v>1444</v>
      </c>
      <c r="AA690">
        <v>50.6</v>
      </c>
      <c r="AB690">
        <v>799</v>
      </c>
      <c r="AC690">
        <v>29.6</v>
      </c>
      <c r="AD690">
        <v>1511</v>
      </c>
      <c r="AE690" t="s">
        <v>57</v>
      </c>
      <c r="AF690">
        <v>6</v>
      </c>
      <c r="AG690" t="s">
        <v>2748</v>
      </c>
      <c r="AH690">
        <v>623469</v>
      </c>
      <c r="AI690" t="s">
        <v>167</v>
      </c>
      <c r="AJ690" s="1">
        <v>17075</v>
      </c>
      <c r="AK690">
        <v>14</v>
      </c>
      <c r="AL690" s="2">
        <v>0.05</v>
      </c>
      <c r="AM690" s="3">
        <v>1.8722222222222222</v>
      </c>
      <c r="AN690" t="s">
        <v>2749</v>
      </c>
      <c r="AO690" t="s">
        <v>2750</v>
      </c>
      <c r="AP690" t="b">
        <v>0</v>
      </c>
      <c r="AQ690" t="b">
        <v>0</v>
      </c>
      <c r="AR690" t="b">
        <v>0</v>
      </c>
    </row>
    <row r="691" spans="1:45" x14ac:dyDescent="0.3">
      <c r="A691" t="s">
        <v>2369</v>
      </c>
      <c r="B691" t="s">
        <v>2369</v>
      </c>
      <c r="C691" t="s">
        <v>2751</v>
      </c>
      <c r="D691" t="s">
        <v>962</v>
      </c>
      <c r="E691" t="s">
        <v>963</v>
      </c>
      <c r="F691" t="s">
        <v>56</v>
      </c>
      <c r="G691">
        <v>10</v>
      </c>
      <c r="H691">
        <v>13.6</v>
      </c>
      <c r="I691">
        <v>15.8</v>
      </c>
      <c r="J691">
        <v>3.2</v>
      </c>
      <c r="K691">
        <v>1.3</v>
      </c>
      <c r="L691">
        <v>7.8</v>
      </c>
      <c r="M691">
        <v>68.599999999999994</v>
      </c>
      <c r="N691">
        <v>2.1</v>
      </c>
      <c r="O691">
        <v>1.4</v>
      </c>
      <c r="P691" t="s">
        <v>1615</v>
      </c>
      <c r="Q691" t="s">
        <v>621</v>
      </c>
      <c r="R691" t="s">
        <v>2752</v>
      </c>
      <c r="S691" t="s">
        <v>622</v>
      </c>
      <c r="T691">
        <v>12590</v>
      </c>
      <c r="U691">
        <v>32.700000000000003</v>
      </c>
      <c r="V691">
        <v>558</v>
      </c>
      <c r="W691">
        <v>16.7</v>
      </c>
      <c r="X691">
        <v>990</v>
      </c>
      <c r="Y691">
        <v>30.4</v>
      </c>
      <c r="Z691">
        <v>1431</v>
      </c>
      <c r="AA691">
        <v>63.4</v>
      </c>
      <c r="AB691">
        <v>579</v>
      </c>
      <c r="AC691">
        <v>25.7</v>
      </c>
      <c r="AD691">
        <v>1673</v>
      </c>
      <c r="AE691" t="s">
        <v>57</v>
      </c>
      <c r="AF691">
        <v>0</v>
      </c>
      <c r="AG691" t="s">
        <v>2753</v>
      </c>
      <c r="AH691">
        <v>623316</v>
      </c>
      <c r="AI691" t="s">
        <v>963</v>
      </c>
      <c r="AJ691" s="1">
        <v>31178</v>
      </c>
      <c r="AK691">
        <v>20.3</v>
      </c>
      <c r="AL691" s="2">
        <v>0.04</v>
      </c>
      <c r="AM691" s="3">
        <v>2.2819444444444446</v>
      </c>
      <c r="AN691" t="s">
        <v>2752</v>
      </c>
      <c r="AO691" t="s">
        <v>2754</v>
      </c>
      <c r="AP691" t="b">
        <v>0</v>
      </c>
      <c r="AQ691" t="b">
        <v>0</v>
      </c>
      <c r="AR691" t="b">
        <v>0</v>
      </c>
    </row>
    <row r="692" spans="1:45" x14ac:dyDescent="0.3">
      <c r="A692" t="s">
        <v>2369</v>
      </c>
      <c r="B692" t="s">
        <v>2369</v>
      </c>
      <c r="C692" t="s">
        <v>2755</v>
      </c>
      <c r="D692" t="s">
        <v>2319</v>
      </c>
      <c r="E692" t="s">
        <v>1196</v>
      </c>
      <c r="F692" t="s">
        <v>47</v>
      </c>
      <c r="G692">
        <v>14.3</v>
      </c>
      <c r="H692">
        <v>8.4</v>
      </c>
      <c r="I692">
        <v>22.4</v>
      </c>
      <c r="J692">
        <v>2.6</v>
      </c>
      <c r="K692">
        <v>12</v>
      </c>
      <c r="L692">
        <v>1.6</v>
      </c>
      <c r="M692">
        <v>27.5</v>
      </c>
      <c r="N692">
        <v>8.6</v>
      </c>
      <c r="O692">
        <v>22.7</v>
      </c>
      <c r="P692" t="s">
        <v>1615</v>
      </c>
      <c r="Q692" t="s">
        <v>621</v>
      </c>
      <c r="R692" t="s">
        <v>2756</v>
      </c>
      <c r="S692" t="s">
        <v>622</v>
      </c>
      <c r="T692">
        <v>12630</v>
      </c>
      <c r="U692">
        <v>20.399999999999999</v>
      </c>
      <c r="V692">
        <v>1342</v>
      </c>
      <c r="W692">
        <v>9.5</v>
      </c>
      <c r="X692">
        <v>1710</v>
      </c>
      <c r="Y692">
        <v>32.299999999999997</v>
      </c>
      <c r="Z692">
        <v>1392</v>
      </c>
      <c r="AA692">
        <v>18.3</v>
      </c>
      <c r="AB692">
        <v>1641</v>
      </c>
      <c r="AC692">
        <v>56.4</v>
      </c>
      <c r="AD692">
        <v>655</v>
      </c>
      <c r="AE692" t="s">
        <v>57</v>
      </c>
      <c r="AF692">
        <v>0</v>
      </c>
      <c r="AG692" t="s">
        <v>2757</v>
      </c>
      <c r="AH692">
        <v>624540</v>
      </c>
      <c r="AI692" t="s">
        <v>1196</v>
      </c>
      <c r="AJ692" s="1">
        <v>10271</v>
      </c>
      <c r="AK692">
        <v>10.4</v>
      </c>
      <c r="AL692" s="2">
        <v>0.01</v>
      </c>
      <c r="AM692" t="s">
        <v>455</v>
      </c>
      <c r="AN692" t="s">
        <v>2756</v>
      </c>
      <c r="AO692" t="s">
        <v>2758</v>
      </c>
      <c r="AP692" t="b">
        <v>0</v>
      </c>
      <c r="AQ692" t="b">
        <v>0</v>
      </c>
      <c r="AR692" t="b">
        <v>0</v>
      </c>
    </row>
    <row r="693" spans="1:45" x14ac:dyDescent="0.3">
      <c r="A693" t="s">
        <v>2369</v>
      </c>
      <c r="B693" t="s">
        <v>2266</v>
      </c>
      <c r="C693" t="s">
        <v>2759</v>
      </c>
      <c r="D693" t="s">
        <v>45</v>
      </c>
      <c r="E693" t="s">
        <v>46</v>
      </c>
      <c r="F693" t="s">
        <v>77</v>
      </c>
      <c r="G693">
        <v>8.8000000000000007</v>
      </c>
      <c r="H693">
        <v>4.8</v>
      </c>
      <c r="I693">
        <v>12.4</v>
      </c>
      <c r="J693">
        <v>9.1999999999999993</v>
      </c>
      <c r="K693">
        <v>10</v>
      </c>
      <c r="L693">
        <v>15.3</v>
      </c>
      <c r="M693">
        <v>60.9</v>
      </c>
      <c r="N693">
        <v>11.9</v>
      </c>
      <c r="O693">
        <v>22.5</v>
      </c>
      <c r="P693" t="s">
        <v>1615</v>
      </c>
      <c r="Q693" t="s">
        <v>372</v>
      </c>
      <c r="R693" t="s">
        <v>2759</v>
      </c>
      <c r="S693" t="s">
        <v>374</v>
      </c>
      <c r="T693">
        <v>4310</v>
      </c>
      <c r="U693">
        <v>29.7</v>
      </c>
      <c r="V693">
        <v>704</v>
      </c>
      <c r="W693">
        <v>27.5</v>
      </c>
      <c r="X693">
        <v>527</v>
      </c>
      <c r="Y693">
        <v>82.7</v>
      </c>
      <c r="Z693">
        <v>265</v>
      </c>
      <c r="AA693">
        <v>62</v>
      </c>
      <c r="AB693">
        <v>613</v>
      </c>
      <c r="AC693">
        <v>59.9</v>
      </c>
      <c r="AD693">
        <v>585</v>
      </c>
      <c r="AE693" t="s">
        <v>208</v>
      </c>
      <c r="AF693">
        <v>0</v>
      </c>
      <c r="AG693" t="s">
        <v>2760</v>
      </c>
      <c r="AH693">
        <v>778</v>
      </c>
      <c r="AI693" t="s">
        <v>46</v>
      </c>
      <c r="AJ693" s="1">
        <v>32959</v>
      </c>
      <c r="AK693">
        <v>18.3</v>
      </c>
      <c r="AL693" s="2">
        <v>0.11</v>
      </c>
      <c r="AM693" s="3">
        <v>2.2409722222222221</v>
      </c>
      <c r="AN693" t="s">
        <v>2759</v>
      </c>
      <c r="AO693" t="s">
        <v>2761</v>
      </c>
      <c r="AP693" t="b">
        <v>0</v>
      </c>
      <c r="AQ693" t="b">
        <v>0</v>
      </c>
      <c r="AR693" t="b">
        <v>0</v>
      </c>
      <c r="AS693" t="s">
        <v>2762</v>
      </c>
    </row>
    <row r="694" spans="1:45" x14ac:dyDescent="0.3">
      <c r="A694" t="s">
        <v>2369</v>
      </c>
      <c r="B694" t="s">
        <v>2266</v>
      </c>
      <c r="C694" t="s">
        <v>2763</v>
      </c>
      <c r="D694" t="s">
        <v>175</v>
      </c>
      <c r="E694" t="s">
        <v>176</v>
      </c>
      <c r="F694" t="s">
        <v>47</v>
      </c>
      <c r="G694">
        <v>6.6</v>
      </c>
      <c r="H694">
        <v>2.2999999999999998</v>
      </c>
      <c r="I694">
        <v>57.9</v>
      </c>
      <c r="J694">
        <v>7.6</v>
      </c>
      <c r="K694">
        <v>4.3</v>
      </c>
      <c r="L694">
        <v>3.3</v>
      </c>
      <c r="M694">
        <v>20.6</v>
      </c>
      <c r="N694">
        <v>1.8</v>
      </c>
      <c r="O694">
        <v>3.1</v>
      </c>
      <c r="P694" t="s">
        <v>1615</v>
      </c>
      <c r="Q694" t="s">
        <v>733</v>
      </c>
      <c r="R694" t="s">
        <v>2763</v>
      </c>
      <c r="S694" t="s">
        <v>735</v>
      </c>
      <c r="T694">
        <v>10640</v>
      </c>
      <c r="U694">
        <v>30.6</v>
      </c>
      <c r="V694">
        <v>658</v>
      </c>
      <c r="W694">
        <v>23.2</v>
      </c>
      <c r="X694">
        <v>677</v>
      </c>
      <c r="Y694">
        <v>29.5</v>
      </c>
      <c r="Z694">
        <v>1456</v>
      </c>
      <c r="AA694">
        <v>65.900000000000006</v>
      </c>
      <c r="AB694">
        <v>531</v>
      </c>
      <c r="AC694">
        <v>29.5</v>
      </c>
      <c r="AD694">
        <v>1517</v>
      </c>
      <c r="AE694" t="s">
        <v>57</v>
      </c>
      <c r="AF694">
        <v>0</v>
      </c>
      <c r="AG694" t="s">
        <v>2764</v>
      </c>
      <c r="AH694">
        <v>131324</v>
      </c>
      <c r="AI694" t="s">
        <v>176</v>
      </c>
      <c r="AJ694" s="1">
        <v>7134</v>
      </c>
      <c r="AK694">
        <v>14.6</v>
      </c>
      <c r="AL694" s="2">
        <v>0.04</v>
      </c>
      <c r="AM694" t="s">
        <v>1244</v>
      </c>
      <c r="AN694" t="s">
        <v>2763</v>
      </c>
      <c r="AO694" t="s">
        <v>2765</v>
      </c>
      <c r="AP694" t="b">
        <v>0</v>
      </c>
      <c r="AQ694" t="b">
        <v>0</v>
      </c>
      <c r="AR694" t="b">
        <v>0</v>
      </c>
    </row>
    <row r="695" spans="1:45" x14ac:dyDescent="0.3">
      <c r="A695" t="s">
        <v>2369</v>
      </c>
      <c r="B695" t="s">
        <v>2369</v>
      </c>
      <c r="C695" t="s">
        <v>2766</v>
      </c>
      <c r="D695" t="s">
        <v>54</v>
      </c>
      <c r="E695" t="s">
        <v>55</v>
      </c>
      <c r="F695" t="s">
        <v>56</v>
      </c>
      <c r="G695">
        <v>5.2</v>
      </c>
      <c r="H695">
        <v>5.4</v>
      </c>
      <c r="I695">
        <v>4.3</v>
      </c>
      <c r="J695">
        <v>6.3</v>
      </c>
      <c r="K695">
        <v>30.1</v>
      </c>
      <c r="L695">
        <v>34.9</v>
      </c>
      <c r="M695">
        <v>37.200000000000003</v>
      </c>
      <c r="N695">
        <v>6.8</v>
      </c>
      <c r="O695">
        <v>23.5</v>
      </c>
      <c r="P695" t="s">
        <v>1615</v>
      </c>
      <c r="Q695" t="s">
        <v>696</v>
      </c>
      <c r="R695" t="s">
        <v>2766</v>
      </c>
      <c r="S695" t="s">
        <v>697</v>
      </c>
      <c r="T695">
        <v>6580</v>
      </c>
      <c r="U695">
        <v>20.7</v>
      </c>
      <c r="V695">
        <v>1319</v>
      </c>
      <c r="W695">
        <v>13.9</v>
      </c>
      <c r="X695">
        <v>1209</v>
      </c>
      <c r="Y695">
        <v>66.7</v>
      </c>
      <c r="Z695">
        <v>630</v>
      </c>
      <c r="AA695">
        <v>46.1</v>
      </c>
      <c r="AB695">
        <v>877</v>
      </c>
      <c r="AC695">
        <v>75.599999999999994</v>
      </c>
      <c r="AD695">
        <v>318</v>
      </c>
      <c r="AE695" t="s">
        <v>57</v>
      </c>
      <c r="AF695">
        <v>0</v>
      </c>
      <c r="AG695" t="s">
        <v>2767</v>
      </c>
      <c r="AH695">
        <v>131275</v>
      </c>
      <c r="AI695" t="s">
        <v>55</v>
      </c>
      <c r="AJ695" s="1">
        <v>14840</v>
      </c>
      <c r="AK695">
        <v>24.1</v>
      </c>
      <c r="AL695" s="2">
        <v>0.18</v>
      </c>
      <c r="AM695" s="3">
        <v>2.4458333333333333</v>
      </c>
      <c r="AN695" t="s">
        <v>2766</v>
      </c>
      <c r="AO695" t="s">
        <v>2768</v>
      </c>
      <c r="AP695" t="b">
        <v>0</v>
      </c>
      <c r="AQ695" t="b">
        <v>0</v>
      </c>
      <c r="AR695" t="b">
        <v>0</v>
      </c>
      <c r="AS695" t="s">
        <v>2769</v>
      </c>
    </row>
    <row r="696" spans="1:45" x14ac:dyDescent="0.3">
      <c r="A696" t="s">
        <v>2369</v>
      </c>
      <c r="B696" t="s">
        <v>2266</v>
      </c>
      <c r="C696" t="s">
        <v>2770</v>
      </c>
      <c r="D696" t="s">
        <v>175</v>
      </c>
      <c r="E696" t="s">
        <v>176</v>
      </c>
      <c r="F696" t="s">
        <v>47</v>
      </c>
      <c r="G696">
        <v>3.5</v>
      </c>
      <c r="H696">
        <v>1.9</v>
      </c>
      <c r="I696">
        <v>85.8</v>
      </c>
      <c r="J696">
        <v>4.7</v>
      </c>
      <c r="K696">
        <v>4</v>
      </c>
      <c r="L696">
        <v>3.2</v>
      </c>
      <c r="M696">
        <v>8.6999999999999993</v>
      </c>
      <c r="N696">
        <v>1.9</v>
      </c>
      <c r="O696">
        <v>1</v>
      </c>
      <c r="P696" t="s">
        <v>1615</v>
      </c>
      <c r="Q696" t="s">
        <v>621</v>
      </c>
      <c r="R696" t="s">
        <v>2770</v>
      </c>
      <c r="S696" t="s">
        <v>622</v>
      </c>
      <c r="T696">
        <v>12910</v>
      </c>
      <c r="U696">
        <v>28.6</v>
      </c>
      <c r="V696">
        <v>766</v>
      </c>
      <c r="W696">
        <v>14.2</v>
      </c>
      <c r="X696">
        <v>1187</v>
      </c>
      <c r="Y696">
        <v>20.7</v>
      </c>
      <c r="Z696">
        <v>1664</v>
      </c>
      <c r="AA696">
        <v>57.4</v>
      </c>
      <c r="AB696">
        <v>695</v>
      </c>
      <c r="AC696">
        <v>26.7</v>
      </c>
      <c r="AD696">
        <v>1630</v>
      </c>
      <c r="AE696" t="s">
        <v>57</v>
      </c>
      <c r="AF696">
        <v>0</v>
      </c>
      <c r="AG696" t="s">
        <v>2771</v>
      </c>
      <c r="AH696">
        <v>589373</v>
      </c>
      <c r="AI696" t="s">
        <v>176</v>
      </c>
      <c r="AJ696" s="1">
        <v>6248</v>
      </c>
      <c r="AK696">
        <v>7.6</v>
      </c>
      <c r="AL696" s="2">
        <v>0.04</v>
      </c>
      <c r="AM696" t="s">
        <v>153</v>
      </c>
      <c r="AN696" t="s">
        <v>2770</v>
      </c>
      <c r="AO696" t="s">
        <v>2772</v>
      </c>
      <c r="AP696" t="b">
        <v>0</v>
      </c>
      <c r="AQ696" t="b">
        <v>0</v>
      </c>
      <c r="AR696" t="b">
        <v>0</v>
      </c>
    </row>
    <row r="697" spans="1:45" x14ac:dyDescent="0.3">
      <c r="A697" t="s">
        <v>2369</v>
      </c>
      <c r="B697" t="s">
        <v>2369</v>
      </c>
      <c r="C697" t="s">
        <v>2773</v>
      </c>
      <c r="D697" t="s">
        <v>95</v>
      </c>
      <c r="E697" t="s">
        <v>96</v>
      </c>
      <c r="F697" t="s">
        <v>77</v>
      </c>
      <c r="G697">
        <v>5</v>
      </c>
      <c r="H697">
        <v>1.8</v>
      </c>
      <c r="I697">
        <v>15.8</v>
      </c>
      <c r="J697">
        <v>26.8</v>
      </c>
      <c r="L697">
        <v>4.2</v>
      </c>
      <c r="M697">
        <v>53.3</v>
      </c>
      <c r="N697">
        <v>4.4000000000000004</v>
      </c>
      <c r="O697">
        <v>2.9</v>
      </c>
      <c r="P697" t="s">
        <v>1615</v>
      </c>
      <c r="Q697" t="s">
        <v>679</v>
      </c>
      <c r="R697" t="s">
        <v>2773</v>
      </c>
      <c r="S697" t="s">
        <v>680</v>
      </c>
      <c r="T697">
        <v>9300</v>
      </c>
      <c r="U697">
        <v>25.1</v>
      </c>
      <c r="V697">
        <v>992</v>
      </c>
      <c r="W697">
        <v>15.1</v>
      </c>
      <c r="X697">
        <v>1114</v>
      </c>
      <c r="Y697">
        <v>66.5</v>
      </c>
      <c r="Z697">
        <v>636</v>
      </c>
      <c r="AA697">
        <v>50.7</v>
      </c>
      <c r="AB697">
        <v>798</v>
      </c>
      <c r="AC697">
        <v>29.8</v>
      </c>
      <c r="AD697">
        <v>1502</v>
      </c>
      <c r="AE697" t="s">
        <v>57</v>
      </c>
      <c r="AF697">
        <v>0</v>
      </c>
      <c r="AG697" t="s">
        <v>2774</v>
      </c>
      <c r="AH697">
        <v>587616</v>
      </c>
      <c r="AI697" t="s">
        <v>98</v>
      </c>
      <c r="AJ697" s="1">
        <v>32700</v>
      </c>
      <c r="AK697">
        <v>13.5</v>
      </c>
      <c r="AL697" s="2">
        <v>0.02</v>
      </c>
      <c r="AM697" s="3">
        <v>2.8965277777777776</v>
      </c>
      <c r="AN697" t="s">
        <v>2773</v>
      </c>
      <c r="AO697" t="s">
        <v>2775</v>
      </c>
      <c r="AP697" t="b">
        <v>0</v>
      </c>
      <c r="AQ697" t="b">
        <v>0</v>
      </c>
      <c r="AR697" t="b">
        <v>0</v>
      </c>
    </row>
    <row r="698" spans="1:45" x14ac:dyDescent="0.3">
      <c r="A698" t="s">
        <v>2369</v>
      </c>
      <c r="B698" t="s">
        <v>2369</v>
      </c>
      <c r="C698" t="s">
        <v>2776</v>
      </c>
      <c r="D698" t="s">
        <v>45</v>
      </c>
      <c r="E698" t="s">
        <v>46</v>
      </c>
      <c r="F698" t="s">
        <v>47</v>
      </c>
      <c r="G698">
        <v>7</v>
      </c>
      <c r="H698">
        <v>9.1999999999999993</v>
      </c>
      <c r="I698">
        <v>38.9</v>
      </c>
      <c r="J698">
        <v>3</v>
      </c>
      <c r="K698">
        <v>1.1000000000000001</v>
      </c>
      <c r="L698">
        <v>4.0999999999999996</v>
      </c>
      <c r="M698">
        <v>31.9</v>
      </c>
      <c r="N698">
        <v>18.8</v>
      </c>
      <c r="O698">
        <v>1.1000000000000001</v>
      </c>
      <c r="P698" t="s">
        <v>1615</v>
      </c>
      <c r="Q698" t="s">
        <v>679</v>
      </c>
      <c r="R698" t="s">
        <v>2776</v>
      </c>
      <c r="S698" t="s">
        <v>680</v>
      </c>
      <c r="T698">
        <v>8730</v>
      </c>
      <c r="U698">
        <v>48</v>
      </c>
      <c r="V698">
        <v>160</v>
      </c>
      <c r="W698">
        <v>18.8</v>
      </c>
      <c r="X698">
        <v>874</v>
      </c>
      <c r="Y698">
        <v>41.6</v>
      </c>
      <c r="Z698">
        <v>1192</v>
      </c>
      <c r="AA698">
        <v>39.799999999999997</v>
      </c>
      <c r="AB698">
        <v>982</v>
      </c>
      <c r="AC698">
        <v>39.299999999999997</v>
      </c>
      <c r="AD698">
        <v>1140</v>
      </c>
      <c r="AE698" t="s">
        <v>49</v>
      </c>
      <c r="AF698">
        <v>0</v>
      </c>
      <c r="AG698" t="s">
        <v>2777</v>
      </c>
      <c r="AH698">
        <v>131587</v>
      </c>
      <c r="AI698" t="s">
        <v>46</v>
      </c>
      <c r="AJ698" s="1">
        <v>10199</v>
      </c>
      <c r="AK698">
        <v>9.6999999999999993</v>
      </c>
      <c r="AL698" s="2">
        <v>0.05</v>
      </c>
      <c r="AM698" s="3">
        <v>2.9784722222222224</v>
      </c>
      <c r="AN698" t="s">
        <v>2776</v>
      </c>
      <c r="AO698" t="s">
        <v>2778</v>
      </c>
      <c r="AP698" t="b">
        <v>0</v>
      </c>
      <c r="AQ698" t="b">
        <v>0</v>
      </c>
      <c r="AR698" t="b">
        <v>0</v>
      </c>
      <c r="AS698" t="s">
        <v>2779</v>
      </c>
    </row>
    <row r="699" spans="1:45" x14ac:dyDescent="0.3">
      <c r="A699" t="s">
        <v>2369</v>
      </c>
      <c r="B699" t="s">
        <v>2369</v>
      </c>
      <c r="C699" t="s">
        <v>2780</v>
      </c>
      <c r="D699" t="s">
        <v>1678</v>
      </c>
      <c r="E699" t="s">
        <v>1679</v>
      </c>
      <c r="F699" t="s">
        <v>47</v>
      </c>
      <c r="G699">
        <v>6</v>
      </c>
      <c r="H699">
        <v>4.9000000000000004</v>
      </c>
      <c r="I699">
        <v>30.4</v>
      </c>
      <c r="J699">
        <v>3.2</v>
      </c>
      <c r="K699">
        <v>2.2000000000000002</v>
      </c>
      <c r="L699">
        <v>29.2</v>
      </c>
      <c r="M699">
        <v>53.5</v>
      </c>
      <c r="N699">
        <v>3.6</v>
      </c>
      <c r="O699">
        <v>1.3</v>
      </c>
      <c r="P699" t="s">
        <v>1615</v>
      </c>
      <c r="Q699" t="s">
        <v>621</v>
      </c>
      <c r="R699" t="s">
        <v>2780</v>
      </c>
      <c r="S699" t="s">
        <v>622</v>
      </c>
      <c r="T699">
        <v>13020</v>
      </c>
      <c r="U699">
        <v>25.8</v>
      </c>
      <c r="V699">
        <v>950</v>
      </c>
      <c r="W699">
        <v>11.6</v>
      </c>
      <c r="X699">
        <v>1453</v>
      </c>
      <c r="Y699">
        <v>32.5</v>
      </c>
      <c r="Z699">
        <v>1390</v>
      </c>
      <c r="AA699">
        <v>23</v>
      </c>
      <c r="AB699">
        <v>1401</v>
      </c>
      <c r="AC699">
        <v>62.3</v>
      </c>
      <c r="AD699">
        <v>536</v>
      </c>
      <c r="AE699" t="s">
        <v>57</v>
      </c>
      <c r="AF699">
        <v>0</v>
      </c>
      <c r="AG699" t="s">
        <v>2781</v>
      </c>
      <c r="AH699">
        <v>715198</v>
      </c>
      <c r="AI699" t="s">
        <v>1679</v>
      </c>
      <c r="AJ699" s="1">
        <v>10252</v>
      </c>
      <c r="AK699">
        <v>11.6</v>
      </c>
      <c r="AL699" s="2">
        <v>0.16</v>
      </c>
      <c r="AM699" s="3">
        <v>2.2409722222222221</v>
      </c>
      <c r="AN699" t="s">
        <v>2780</v>
      </c>
      <c r="AO699" t="s">
        <v>2782</v>
      </c>
      <c r="AP699" t="b">
        <v>0</v>
      </c>
      <c r="AQ699" t="b">
        <v>0</v>
      </c>
      <c r="AR699" t="b">
        <v>0</v>
      </c>
    </row>
    <row r="700" spans="1:45" x14ac:dyDescent="0.3">
      <c r="A700" t="s">
        <v>2369</v>
      </c>
      <c r="B700" t="s">
        <v>2369</v>
      </c>
      <c r="C700" t="s">
        <v>2783</v>
      </c>
      <c r="D700" t="s">
        <v>175</v>
      </c>
      <c r="E700" t="s">
        <v>176</v>
      </c>
      <c r="F700" t="s">
        <v>388</v>
      </c>
      <c r="G700">
        <v>5.2</v>
      </c>
      <c r="H700">
        <v>11.5</v>
      </c>
      <c r="I700">
        <v>19.399999999999999</v>
      </c>
      <c r="J700">
        <v>1.5</v>
      </c>
      <c r="K700">
        <v>76.3</v>
      </c>
      <c r="L700">
        <v>4.5</v>
      </c>
      <c r="M700">
        <v>10.1</v>
      </c>
      <c r="N700">
        <v>12</v>
      </c>
      <c r="P700" t="s">
        <v>1615</v>
      </c>
      <c r="Q700" t="s">
        <v>1475</v>
      </c>
      <c r="R700" t="s">
        <v>2783</v>
      </c>
      <c r="T700">
        <v>1000327</v>
      </c>
      <c r="V700">
        <v>0</v>
      </c>
      <c r="X700">
        <v>0</v>
      </c>
      <c r="Z700">
        <v>0</v>
      </c>
      <c r="AB700">
        <v>0</v>
      </c>
      <c r="AD700">
        <v>0</v>
      </c>
      <c r="AE700" t="s">
        <v>57</v>
      </c>
      <c r="AF700">
        <v>0</v>
      </c>
      <c r="AG700" t="s">
        <v>2784</v>
      </c>
      <c r="AH700">
        <v>589214</v>
      </c>
      <c r="AI700" t="s">
        <v>176</v>
      </c>
      <c r="AJ700" s="1">
        <v>2823</v>
      </c>
      <c r="AK700">
        <v>12.1</v>
      </c>
      <c r="AL700" s="2">
        <v>0.13</v>
      </c>
      <c r="AN700" t="s">
        <v>2783</v>
      </c>
      <c r="AO700" t="s">
        <v>2785</v>
      </c>
      <c r="AP700" t="b">
        <v>0</v>
      </c>
      <c r="AQ700" t="b">
        <v>0</v>
      </c>
      <c r="AR700" t="b">
        <v>0</v>
      </c>
    </row>
    <row r="701" spans="1:45" x14ac:dyDescent="0.3">
      <c r="A701" t="s">
        <v>2369</v>
      </c>
      <c r="B701" t="s">
        <v>1621</v>
      </c>
      <c r="C701" t="s">
        <v>2786</v>
      </c>
      <c r="D701" t="s">
        <v>1047</v>
      </c>
      <c r="E701" t="s">
        <v>737</v>
      </c>
      <c r="F701" t="s">
        <v>56</v>
      </c>
      <c r="G701">
        <v>7</v>
      </c>
      <c r="H701">
        <v>10.7</v>
      </c>
      <c r="I701">
        <v>3.5</v>
      </c>
      <c r="J701">
        <v>8</v>
      </c>
      <c r="K701">
        <v>4.2</v>
      </c>
      <c r="L701">
        <v>6.1</v>
      </c>
      <c r="M701">
        <v>50.3</v>
      </c>
      <c r="N701">
        <v>4.3</v>
      </c>
      <c r="O701">
        <v>1.1000000000000001</v>
      </c>
      <c r="P701" t="s">
        <v>1615</v>
      </c>
      <c r="Q701" t="s">
        <v>679</v>
      </c>
      <c r="R701" t="s">
        <v>2787</v>
      </c>
      <c r="S701" t="s">
        <v>680</v>
      </c>
      <c r="T701">
        <v>8820</v>
      </c>
      <c r="U701">
        <v>17.3</v>
      </c>
      <c r="V701">
        <v>1608</v>
      </c>
      <c r="W701">
        <v>11.2</v>
      </c>
      <c r="X701">
        <v>1500</v>
      </c>
      <c r="Y701">
        <v>72.7</v>
      </c>
      <c r="Z701">
        <v>490</v>
      </c>
      <c r="AA701">
        <v>17.600000000000001</v>
      </c>
      <c r="AB701">
        <v>1692</v>
      </c>
      <c r="AC701">
        <v>60</v>
      </c>
      <c r="AD701">
        <v>583</v>
      </c>
      <c r="AE701" t="s">
        <v>57</v>
      </c>
      <c r="AF701">
        <v>0</v>
      </c>
      <c r="AG701" t="s">
        <v>2788</v>
      </c>
      <c r="AH701">
        <v>625050</v>
      </c>
      <c r="AI701" t="s">
        <v>737</v>
      </c>
      <c r="AJ701" s="1">
        <v>23650</v>
      </c>
      <c r="AK701">
        <v>21.8</v>
      </c>
      <c r="AL701" s="2">
        <v>7.0000000000000007E-2</v>
      </c>
      <c r="AM701" s="3">
        <v>2.2819444444444446</v>
      </c>
      <c r="AN701" t="s">
        <v>2787</v>
      </c>
      <c r="AO701" t="s">
        <v>2789</v>
      </c>
      <c r="AP701" t="b">
        <v>0</v>
      </c>
      <c r="AQ701" t="b">
        <v>0</v>
      </c>
      <c r="AR701" t="b">
        <v>0</v>
      </c>
    </row>
    <row r="702" spans="1:45" x14ac:dyDescent="0.3">
      <c r="A702" t="s">
        <v>2369</v>
      </c>
      <c r="B702" t="s">
        <v>2266</v>
      </c>
      <c r="C702" t="s">
        <v>2790</v>
      </c>
      <c r="D702" t="s">
        <v>402</v>
      </c>
      <c r="E702" t="s">
        <v>403</v>
      </c>
      <c r="F702" t="s">
        <v>56</v>
      </c>
      <c r="G702">
        <v>5.5</v>
      </c>
      <c r="H702">
        <v>1.9</v>
      </c>
      <c r="I702">
        <v>6.6</v>
      </c>
      <c r="J702">
        <v>1.5</v>
      </c>
      <c r="K702">
        <v>36.299999999999997</v>
      </c>
      <c r="L702">
        <v>100</v>
      </c>
      <c r="M702">
        <v>10.3</v>
      </c>
      <c r="N702">
        <v>2.1</v>
      </c>
      <c r="O702">
        <v>1</v>
      </c>
      <c r="P702" t="s">
        <v>1615</v>
      </c>
      <c r="Q702" t="s">
        <v>1475</v>
      </c>
      <c r="R702" t="s">
        <v>2790</v>
      </c>
      <c r="T702">
        <v>1000339</v>
      </c>
      <c r="V702">
        <v>0</v>
      </c>
      <c r="X702">
        <v>0</v>
      </c>
      <c r="Z702">
        <v>0</v>
      </c>
      <c r="AB702">
        <v>0</v>
      </c>
      <c r="AD702">
        <v>0</v>
      </c>
      <c r="AE702" t="s">
        <v>57</v>
      </c>
      <c r="AF702">
        <v>0</v>
      </c>
      <c r="AG702" t="s">
        <v>2791</v>
      </c>
      <c r="AH702">
        <v>718628</v>
      </c>
      <c r="AI702" t="s">
        <v>403</v>
      </c>
      <c r="AJ702" s="1">
        <v>10104</v>
      </c>
      <c r="AK702">
        <v>8.4</v>
      </c>
      <c r="AL702" s="2">
        <v>0.7</v>
      </c>
      <c r="AM702">
        <v>0.19236111111111112</v>
      </c>
      <c r="AN702" t="s">
        <v>2790</v>
      </c>
      <c r="AO702" t="s">
        <v>2792</v>
      </c>
      <c r="AP702" t="b">
        <v>0</v>
      </c>
      <c r="AQ702" t="b">
        <v>0</v>
      </c>
      <c r="AR702" t="b">
        <v>0</v>
      </c>
    </row>
    <row r="703" spans="1:45" x14ac:dyDescent="0.3">
      <c r="A703" t="s">
        <v>2369</v>
      </c>
      <c r="B703" t="s">
        <v>2369</v>
      </c>
      <c r="C703" t="s">
        <v>2793</v>
      </c>
      <c r="D703" t="s">
        <v>95</v>
      </c>
      <c r="E703" t="s">
        <v>96</v>
      </c>
      <c r="F703" t="s">
        <v>56</v>
      </c>
      <c r="G703">
        <v>4.4000000000000004</v>
      </c>
      <c r="H703">
        <v>3.3</v>
      </c>
      <c r="I703">
        <v>20</v>
      </c>
      <c r="J703">
        <v>26.7</v>
      </c>
      <c r="M703">
        <v>44.4</v>
      </c>
      <c r="N703">
        <v>1.4</v>
      </c>
      <c r="O703">
        <v>1.2</v>
      </c>
      <c r="P703" t="s">
        <v>1615</v>
      </c>
      <c r="Q703" t="s">
        <v>679</v>
      </c>
      <c r="R703" t="s">
        <v>2793</v>
      </c>
      <c r="S703" t="s">
        <v>680</v>
      </c>
      <c r="T703">
        <v>8920</v>
      </c>
      <c r="U703">
        <v>24.7</v>
      </c>
      <c r="V703">
        <v>1027</v>
      </c>
      <c r="W703">
        <v>22.4</v>
      </c>
      <c r="X703">
        <v>716</v>
      </c>
      <c r="Y703">
        <v>60.2</v>
      </c>
      <c r="Z703">
        <v>771</v>
      </c>
      <c r="AA703">
        <v>76.599999999999994</v>
      </c>
      <c r="AB703">
        <v>308</v>
      </c>
      <c r="AC703">
        <v>24</v>
      </c>
      <c r="AD703">
        <v>1742</v>
      </c>
      <c r="AE703" t="s">
        <v>57</v>
      </c>
      <c r="AF703">
        <v>11</v>
      </c>
      <c r="AG703" t="s">
        <v>2794</v>
      </c>
      <c r="AH703">
        <v>624168</v>
      </c>
      <c r="AI703" t="s">
        <v>98</v>
      </c>
      <c r="AJ703" s="1">
        <v>31018</v>
      </c>
      <c r="AK703">
        <v>12.9</v>
      </c>
      <c r="AL703" s="2">
        <v>0.01</v>
      </c>
      <c r="AN703" t="s">
        <v>2795</v>
      </c>
      <c r="AO703" t="s">
        <v>2796</v>
      </c>
      <c r="AP703" t="b">
        <v>0</v>
      </c>
      <c r="AQ703" t="b">
        <v>0</v>
      </c>
      <c r="AR703" t="b">
        <v>0</v>
      </c>
    </row>
    <row r="704" spans="1:45" x14ac:dyDescent="0.3">
      <c r="A704" t="s">
        <v>2369</v>
      </c>
      <c r="B704" t="s">
        <v>2369</v>
      </c>
      <c r="C704" t="s">
        <v>2797</v>
      </c>
      <c r="D704" t="s">
        <v>175</v>
      </c>
      <c r="E704" t="s">
        <v>176</v>
      </c>
      <c r="F704" t="s">
        <v>47</v>
      </c>
      <c r="G704">
        <v>6.1</v>
      </c>
      <c r="H704">
        <v>2.9</v>
      </c>
      <c r="I704">
        <v>63.6</v>
      </c>
      <c r="J704">
        <v>3.5</v>
      </c>
      <c r="K704">
        <v>3.8</v>
      </c>
      <c r="L704">
        <v>2.8</v>
      </c>
      <c r="M704">
        <v>26.6</v>
      </c>
      <c r="N704">
        <v>1.7</v>
      </c>
      <c r="O704">
        <v>1</v>
      </c>
      <c r="P704" t="s">
        <v>1615</v>
      </c>
      <c r="Q704" t="s">
        <v>621</v>
      </c>
      <c r="R704" t="s">
        <v>2797</v>
      </c>
      <c r="S704" t="s">
        <v>622</v>
      </c>
      <c r="T704">
        <v>13220</v>
      </c>
      <c r="U704">
        <v>25.7</v>
      </c>
      <c r="V704">
        <v>958</v>
      </c>
      <c r="W704">
        <v>13.5</v>
      </c>
      <c r="X704">
        <v>1252</v>
      </c>
      <c r="Y704">
        <v>24</v>
      </c>
      <c r="Z704">
        <v>1584</v>
      </c>
      <c r="AA704">
        <v>55.2</v>
      </c>
      <c r="AB704">
        <v>721</v>
      </c>
      <c r="AC704">
        <v>27.7</v>
      </c>
      <c r="AD704">
        <v>1590</v>
      </c>
      <c r="AE704" t="s">
        <v>57</v>
      </c>
      <c r="AF704">
        <v>0</v>
      </c>
      <c r="AG704" t="s">
        <v>2798</v>
      </c>
      <c r="AH704">
        <v>609282</v>
      </c>
      <c r="AI704" t="s">
        <v>176</v>
      </c>
      <c r="AJ704" s="1">
        <v>10257</v>
      </c>
      <c r="AK704">
        <v>10.1</v>
      </c>
      <c r="AL704" s="2">
        <v>0.03</v>
      </c>
      <c r="AM704" t="s">
        <v>1244</v>
      </c>
      <c r="AN704" t="s">
        <v>2797</v>
      </c>
      <c r="AO704" t="s">
        <v>2799</v>
      </c>
      <c r="AP704" t="b">
        <v>0</v>
      </c>
      <c r="AQ704" t="b">
        <v>0</v>
      </c>
      <c r="AR704" t="b">
        <v>0</v>
      </c>
    </row>
    <row r="705" spans="1:45" x14ac:dyDescent="0.3">
      <c r="A705" t="s">
        <v>2369</v>
      </c>
      <c r="B705" t="s">
        <v>2369</v>
      </c>
      <c r="C705" t="s">
        <v>2800</v>
      </c>
      <c r="D705" t="s">
        <v>166</v>
      </c>
      <c r="E705" t="s">
        <v>167</v>
      </c>
      <c r="F705" t="s">
        <v>56</v>
      </c>
      <c r="G705">
        <v>4.8</v>
      </c>
      <c r="H705">
        <v>4.7</v>
      </c>
      <c r="I705">
        <v>22.2</v>
      </c>
      <c r="J705">
        <v>8.1999999999999993</v>
      </c>
      <c r="K705">
        <v>4.7</v>
      </c>
      <c r="L705">
        <v>2.6</v>
      </c>
      <c r="M705">
        <v>27.6</v>
      </c>
      <c r="N705">
        <v>2.8</v>
      </c>
      <c r="O705">
        <v>34.5</v>
      </c>
      <c r="P705" t="s">
        <v>1615</v>
      </c>
      <c r="Q705" t="s">
        <v>621</v>
      </c>
      <c r="R705" t="s">
        <v>2801</v>
      </c>
      <c r="S705" t="s">
        <v>622</v>
      </c>
      <c r="T705">
        <v>13230</v>
      </c>
      <c r="U705">
        <v>22</v>
      </c>
      <c r="V705">
        <v>1227</v>
      </c>
      <c r="W705">
        <v>21.9</v>
      </c>
      <c r="X705">
        <v>735</v>
      </c>
      <c r="Y705">
        <v>32.4</v>
      </c>
      <c r="Z705">
        <v>1391</v>
      </c>
      <c r="AA705">
        <v>47.4</v>
      </c>
      <c r="AB705">
        <v>855</v>
      </c>
      <c r="AC705">
        <v>24.1</v>
      </c>
      <c r="AD705">
        <v>1735</v>
      </c>
      <c r="AE705" t="s">
        <v>57</v>
      </c>
      <c r="AF705">
        <v>11</v>
      </c>
      <c r="AG705" t="s">
        <v>2802</v>
      </c>
      <c r="AH705">
        <v>623622</v>
      </c>
      <c r="AI705" t="s">
        <v>167</v>
      </c>
      <c r="AJ705" s="1">
        <v>21920</v>
      </c>
      <c r="AK705">
        <v>21.6</v>
      </c>
      <c r="AL705" s="2">
        <v>0.03</v>
      </c>
      <c r="AM705" s="3">
        <v>1.7493055555555554</v>
      </c>
      <c r="AN705" t="s">
        <v>2803</v>
      </c>
      <c r="AO705" t="s">
        <v>2804</v>
      </c>
      <c r="AP705" t="b">
        <v>0</v>
      </c>
      <c r="AQ705" t="b">
        <v>0</v>
      </c>
      <c r="AR705" t="b">
        <v>0</v>
      </c>
    </row>
    <row r="706" spans="1:45" x14ac:dyDescent="0.3">
      <c r="A706" t="s">
        <v>2369</v>
      </c>
      <c r="B706" t="s">
        <v>2369</v>
      </c>
      <c r="C706" t="s">
        <v>2805</v>
      </c>
      <c r="D706" t="s">
        <v>619</v>
      </c>
      <c r="E706" t="s">
        <v>620</v>
      </c>
      <c r="F706" t="s">
        <v>47</v>
      </c>
      <c r="G706">
        <v>14.4</v>
      </c>
      <c r="H706">
        <v>28.2</v>
      </c>
      <c r="I706">
        <v>16.100000000000001</v>
      </c>
      <c r="J706">
        <v>1.5</v>
      </c>
      <c r="K706">
        <v>6</v>
      </c>
      <c r="L706">
        <v>2.5</v>
      </c>
      <c r="M706">
        <v>13.8</v>
      </c>
      <c r="N706">
        <v>3.4</v>
      </c>
      <c r="O706">
        <v>1.2</v>
      </c>
      <c r="P706" t="s">
        <v>1615</v>
      </c>
      <c r="Q706" t="s">
        <v>1475</v>
      </c>
      <c r="R706" t="s">
        <v>2805</v>
      </c>
      <c r="T706">
        <v>1000368</v>
      </c>
      <c r="V706">
        <v>0</v>
      </c>
      <c r="X706">
        <v>0</v>
      </c>
      <c r="Z706">
        <v>0</v>
      </c>
      <c r="AB706">
        <v>0</v>
      </c>
      <c r="AD706">
        <v>0</v>
      </c>
      <c r="AE706" t="s">
        <v>57</v>
      </c>
      <c r="AF706">
        <v>6</v>
      </c>
      <c r="AG706" t="s">
        <v>2806</v>
      </c>
      <c r="AH706">
        <v>131661</v>
      </c>
      <c r="AI706" t="s">
        <v>620</v>
      </c>
      <c r="AJ706" s="1">
        <v>5178</v>
      </c>
      <c r="AK706">
        <v>27.6</v>
      </c>
      <c r="AL706" s="2">
        <v>0.02</v>
      </c>
      <c r="AM706" t="s">
        <v>699</v>
      </c>
      <c r="AN706" t="s">
        <v>2805</v>
      </c>
      <c r="AO706" t="s">
        <v>2807</v>
      </c>
      <c r="AP706" t="b">
        <v>0</v>
      </c>
      <c r="AQ706" t="b">
        <v>0</v>
      </c>
      <c r="AR706" t="b">
        <v>0</v>
      </c>
    </row>
    <row r="707" spans="1:45" x14ac:dyDescent="0.3">
      <c r="A707" t="s">
        <v>2369</v>
      </c>
      <c r="B707" t="s">
        <v>2369</v>
      </c>
      <c r="C707" t="s">
        <v>2808</v>
      </c>
      <c r="D707" t="s">
        <v>54</v>
      </c>
      <c r="E707" t="s">
        <v>55</v>
      </c>
      <c r="F707" t="s">
        <v>56</v>
      </c>
      <c r="G707">
        <v>4.5</v>
      </c>
      <c r="H707">
        <v>5.9</v>
      </c>
      <c r="I707">
        <v>3.8</v>
      </c>
      <c r="J707">
        <v>7.5</v>
      </c>
      <c r="K707">
        <v>39.1</v>
      </c>
      <c r="L707">
        <v>27.4</v>
      </c>
      <c r="M707">
        <v>24.8</v>
      </c>
      <c r="N707">
        <v>8.5</v>
      </c>
      <c r="O707">
        <v>1.5</v>
      </c>
      <c r="P707" t="s">
        <v>1615</v>
      </c>
      <c r="Q707" t="s">
        <v>679</v>
      </c>
      <c r="R707" t="s">
        <v>2808</v>
      </c>
      <c r="S707" t="s">
        <v>680</v>
      </c>
      <c r="T707">
        <v>9110</v>
      </c>
      <c r="U707">
        <v>17.7</v>
      </c>
      <c r="V707">
        <v>1581</v>
      </c>
      <c r="W707">
        <v>16.2</v>
      </c>
      <c r="X707">
        <v>1033</v>
      </c>
      <c r="Y707">
        <v>65</v>
      </c>
      <c r="Z707">
        <v>673</v>
      </c>
      <c r="AA707">
        <v>49.9</v>
      </c>
      <c r="AB707">
        <v>809</v>
      </c>
      <c r="AC707">
        <v>67.3</v>
      </c>
      <c r="AD707">
        <v>440</v>
      </c>
      <c r="AE707" t="s">
        <v>57</v>
      </c>
      <c r="AF707">
        <v>0</v>
      </c>
      <c r="AG707" t="s">
        <v>2809</v>
      </c>
      <c r="AH707">
        <v>131802</v>
      </c>
      <c r="AI707" t="s">
        <v>55</v>
      </c>
      <c r="AJ707" s="1">
        <v>20360</v>
      </c>
      <c r="AK707">
        <v>21.9</v>
      </c>
      <c r="AL707" s="2">
        <v>0.15</v>
      </c>
      <c r="AM707" s="3">
        <v>2.2819444444444446</v>
      </c>
      <c r="AN707" t="s">
        <v>2810</v>
      </c>
      <c r="AO707" t="s">
        <v>2811</v>
      </c>
      <c r="AP707" t="b">
        <v>0</v>
      </c>
      <c r="AQ707" t="b">
        <v>0</v>
      </c>
      <c r="AR707" t="b">
        <v>0</v>
      </c>
      <c r="AS707" t="s">
        <v>2812</v>
      </c>
    </row>
    <row r="708" spans="1:45" x14ac:dyDescent="0.3">
      <c r="A708" t="s">
        <v>2369</v>
      </c>
      <c r="B708" t="s">
        <v>2369</v>
      </c>
      <c r="C708" t="s">
        <v>2813</v>
      </c>
      <c r="D708" t="s">
        <v>887</v>
      </c>
      <c r="E708" t="s">
        <v>888</v>
      </c>
      <c r="F708" t="s">
        <v>47</v>
      </c>
      <c r="G708">
        <v>5</v>
      </c>
      <c r="H708">
        <v>3.4</v>
      </c>
      <c r="I708">
        <v>46.2</v>
      </c>
      <c r="J708">
        <v>8.9</v>
      </c>
      <c r="K708">
        <v>3.3</v>
      </c>
      <c r="L708">
        <v>4</v>
      </c>
      <c r="M708">
        <v>50.7</v>
      </c>
      <c r="N708">
        <v>3.2</v>
      </c>
      <c r="O708">
        <v>4</v>
      </c>
      <c r="P708" t="s">
        <v>1615</v>
      </c>
      <c r="Q708" t="s">
        <v>621</v>
      </c>
      <c r="R708" t="s">
        <v>2813</v>
      </c>
      <c r="S708" t="s">
        <v>622</v>
      </c>
      <c r="T708">
        <v>13370</v>
      </c>
      <c r="U708">
        <v>21.2</v>
      </c>
      <c r="V708">
        <v>1287</v>
      </c>
      <c r="W708">
        <v>15.7</v>
      </c>
      <c r="X708">
        <v>1072</v>
      </c>
      <c r="Y708">
        <v>34.4</v>
      </c>
      <c r="Z708">
        <v>1340</v>
      </c>
      <c r="AA708">
        <v>66.900000000000006</v>
      </c>
      <c r="AB708">
        <v>504</v>
      </c>
      <c r="AC708">
        <v>29.8</v>
      </c>
      <c r="AD708">
        <v>1501</v>
      </c>
      <c r="AE708" t="s">
        <v>57</v>
      </c>
      <c r="AF708">
        <v>0</v>
      </c>
      <c r="AG708" t="s">
        <v>2814</v>
      </c>
      <c r="AH708">
        <v>612135</v>
      </c>
      <c r="AI708" t="s">
        <v>888</v>
      </c>
      <c r="AJ708" s="1">
        <v>11706</v>
      </c>
      <c r="AK708">
        <v>13.1</v>
      </c>
      <c r="AL708" s="2">
        <v>0.05</v>
      </c>
      <c r="AM708" t="s">
        <v>455</v>
      </c>
      <c r="AN708" t="s">
        <v>2813</v>
      </c>
      <c r="AO708" t="s">
        <v>2815</v>
      </c>
      <c r="AP708" t="b">
        <v>0</v>
      </c>
      <c r="AQ708" t="b">
        <v>0</v>
      </c>
      <c r="AR708" t="b">
        <v>0</v>
      </c>
    </row>
    <row r="709" spans="1:45" x14ac:dyDescent="0.3">
      <c r="A709" t="s">
        <v>2369</v>
      </c>
      <c r="B709" t="s">
        <v>2200</v>
      </c>
      <c r="C709" t="s">
        <v>2816</v>
      </c>
      <c r="D709" t="s">
        <v>54</v>
      </c>
      <c r="E709" t="s">
        <v>55</v>
      </c>
      <c r="F709" t="s">
        <v>47</v>
      </c>
      <c r="G709">
        <v>5</v>
      </c>
      <c r="H709">
        <v>3</v>
      </c>
      <c r="I709">
        <v>3.8</v>
      </c>
      <c r="J709">
        <v>3.3</v>
      </c>
      <c r="K709">
        <v>59.5</v>
      </c>
      <c r="L709">
        <v>100</v>
      </c>
      <c r="M709">
        <v>16.100000000000001</v>
      </c>
      <c r="N709">
        <v>13.5</v>
      </c>
      <c r="O709">
        <v>1</v>
      </c>
      <c r="P709" t="s">
        <v>1615</v>
      </c>
      <c r="Q709" t="s">
        <v>1475</v>
      </c>
      <c r="R709" t="s">
        <v>2816</v>
      </c>
      <c r="T709">
        <v>1000431</v>
      </c>
      <c r="V709">
        <v>0</v>
      </c>
      <c r="X709">
        <v>0</v>
      </c>
      <c r="Z709">
        <v>0</v>
      </c>
      <c r="AB709">
        <v>0</v>
      </c>
      <c r="AD709">
        <v>0</v>
      </c>
      <c r="AE709" t="s">
        <v>57</v>
      </c>
      <c r="AF709">
        <v>0</v>
      </c>
      <c r="AG709" t="s">
        <v>2817</v>
      </c>
      <c r="AH709">
        <v>131611</v>
      </c>
      <c r="AI709" t="s">
        <v>55</v>
      </c>
      <c r="AJ709" s="1">
        <v>10065</v>
      </c>
      <c r="AK709">
        <v>25.5</v>
      </c>
      <c r="AL709" s="2">
        <v>0.5</v>
      </c>
      <c r="AM709" s="3">
        <v>2.7326388888888888</v>
      </c>
      <c r="AN709" t="s">
        <v>2816</v>
      </c>
      <c r="AO709" t="s">
        <v>2818</v>
      </c>
      <c r="AP709" t="b">
        <v>0</v>
      </c>
      <c r="AQ709" t="b">
        <v>0</v>
      </c>
      <c r="AR709" t="b">
        <v>0</v>
      </c>
      <c r="AS709" t="s">
        <v>2819</v>
      </c>
    </row>
    <row r="710" spans="1:45" x14ac:dyDescent="0.3">
      <c r="A710" t="s">
        <v>2369</v>
      </c>
      <c r="B710" t="s">
        <v>2266</v>
      </c>
      <c r="C710" t="s">
        <v>2820</v>
      </c>
      <c r="D710" t="s">
        <v>2028</v>
      </c>
      <c r="E710" t="s">
        <v>2029</v>
      </c>
      <c r="F710" t="s">
        <v>56</v>
      </c>
      <c r="G710">
        <v>8.4</v>
      </c>
      <c r="H710">
        <v>13.5</v>
      </c>
      <c r="I710">
        <v>28.4</v>
      </c>
      <c r="J710">
        <v>1.9</v>
      </c>
      <c r="K710">
        <v>1.4</v>
      </c>
      <c r="L710">
        <v>1.2</v>
      </c>
      <c r="M710">
        <v>18.899999999999999</v>
      </c>
      <c r="N710">
        <v>15.2</v>
      </c>
      <c r="O710">
        <v>11.5</v>
      </c>
      <c r="P710" t="s">
        <v>1615</v>
      </c>
      <c r="Q710" t="s">
        <v>696</v>
      </c>
      <c r="R710" t="s">
        <v>2820</v>
      </c>
      <c r="S710" t="s">
        <v>697</v>
      </c>
      <c r="T710">
        <v>7010</v>
      </c>
      <c r="U710">
        <v>22.9</v>
      </c>
      <c r="V710">
        <v>1157</v>
      </c>
      <c r="W710">
        <v>11.3</v>
      </c>
      <c r="X710">
        <v>1489</v>
      </c>
      <c r="Y710">
        <v>34.200000000000003</v>
      </c>
      <c r="Z710">
        <v>1345</v>
      </c>
      <c r="AA710">
        <v>18.8</v>
      </c>
      <c r="AB710">
        <v>1603</v>
      </c>
      <c r="AC710">
        <v>27.1</v>
      </c>
      <c r="AD710">
        <v>1610</v>
      </c>
      <c r="AE710" t="s">
        <v>57</v>
      </c>
      <c r="AF710">
        <v>0</v>
      </c>
      <c r="AG710" t="s">
        <v>2821</v>
      </c>
      <c r="AH710">
        <v>131716</v>
      </c>
      <c r="AI710" t="s">
        <v>2029</v>
      </c>
      <c r="AJ710" s="1">
        <v>22580</v>
      </c>
      <c r="AK710">
        <v>11.9</v>
      </c>
      <c r="AL710" s="2">
        <v>0.01</v>
      </c>
      <c r="AM710" s="3">
        <v>1.7493055555555554</v>
      </c>
      <c r="AN710" t="s">
        <v>2820</v>
      </c>
      <c r="AO710" t="s">
        <v>2822</v>
      </c>
      <c r="AP710" t="b">
        <v>0</v>
      </c>
      <c r="AQ710" t="b">
        <v>0</v>
      </c>
      <c r="AR710" t="b">
        <v>0</v>
      </c>
    </row>
    <row r="711" spans="1:45" x14ac:dyDescent="0.3">
      <c r="A711" t="s">
        <v>2369</v>
      </c>
      <c r="B711" t="s">
        <v>1621</v>
      </c>
      <c r="C711" t="s">
        <v>2823</v>
      </c>
      <c r="D711" t="s">
        <v>962</v>
      </c>
      <c r="E711" t="s">
        <v>963</v>
      </c>
      <c r="F711" t="s">
        <v>77</v>
      </c>
      <c r="G711">
        <v>8.1</v>
      </c>
      <c r="H711">
        <v>11.4</v>
      </c>
      <c r="I711">
        <v>4.4000000000000004</v>
      </c>
      <c r="J711">
        <v>2.4</v>
      </c>
      <c r="K711">
        <v>2.9</v>
      </c>
      <c r="L711">
        <v>4.2</v>
      </c>
      <c r="M711">
        <v>45.3</v>
      </c>
      <c r="N711">
        <v>23.9</v>
      </c>
      <c r="O711">
        <v>2.7</v>
      </c>
      <c r="P711" t="s">
        <v>1615</v>
      </c>
      <c r="Q711" t="s">
        <v>1068</v>
      </c>
      <c r="R711" t="s">
        <v>2823</v>
      </c>
      <c r="S711" t="s">
        <v>1070</v>
      </c>
      <c r="T711">
        <v>17160</v>
      </c>
      <c r="U711">
        <v>17</v>
      </c>
      <c r="V711">
        <v>1625</v>
      </c>
      <c r="W711">
        <v>11.7</v>
      </c>
      <c r="X711">
        <v>1440</v>
      </c>
      <c r="Y711">
        <v>31.9</v>
      </c>
      <c r="Z711">
        <v>1402</v>
      </c>
      <c r="AA711">
        <v>26.9</v>
      </c>
      <c r="AB711">
        <v>1262</v>
      </c>
      <c r="AC711">
        <v>30.7</v>
      </c>
      <c r="AD711">
        <v>1472</v>
      </c>
      <c r="AE711" t="s">
        <v>57</v>
      </c>
      <c r="AF711">
        <v>0</v>
      </c>
      <c r="AG711" t="s">
        <v>2824</v>
      </c>
      <c r="AH711">
        <v>589181</v>
      </c>
      <c r="AI711" t="s">
        <v>963</v>
      </c>
      <c r="AJ711" s="1">
        <v>62991</v>
      </c>
      <c r="AK711">
        <v>30.6</v>
      </c>
      <c r="AL711" s="2">
        <v>0.05</v>
      </c>
      <c r="AM711" s="3">
        <v>2.1590277777777778</v>
      </c>
      <c r="AN711" t="s">
        <v>2823</v>
      </c>
      <c r="AO711" t="s">
        <v>2825</v>
      </c>
      <c r="AP711" t="b">
        <v>0</v>
      </c>
      <c r="AQ711" t="b">
        <v>0</v>
      </c>
      <c r="AR711" t="b">
        <v>0</v>
      </c>
    </row>
    <row r="712" spans="1:45" x14ac:dyDescent="0.3">
      <c r="A712" t="s">
        <v>2369</v>
      </c>
      <c r="B712" t="s">
        <v>2369</v>
      </c>
      <c r="C712" t="s">
        <v>2826</v>
      </c>
      <c r="D712" t="s">
        <v>45</v>
      </c>
      <c r="E712" t="s">
        <v>46</v>
      </c>
      <c r="F712" t="s">
        <v>56</v>
      </c>
      <c r="G712">
        <v>6.2</v>
      </c>
      <c r="H712">
        <v>3.6</v>
      </c>
      <c r="I712">
        <v>7.4</v>
      </c>
      <c r="J712">
        <v>17.399999999999999</v>
      </c>
      <c r="K712">
        <v>8.9</v>
      </c>
      <c r="L712">
        <v>3.1</v>
      </c>
      <c r="M712">
        <v>50.6</v>
      </c>
      <c r="N712">
        <v>7.1</v>
      </c>
      <c r="O712">
        <v>4.5</v>
      </c>
      <c r="P712" t="s">
        <v>1615</v>
      </c>
      <c r="Q712" t="s">
        <v>696</v>
      </c>
      <c r="R712" t="s">
        <v>2826</v>
      </c>
      <c r="S712" t="s">
        <v>697</v>
      </c>
      <c r="T712">
        <v>7120</v>
      </c>
      <c r="U712">
        <v>27.3</v>
      </c>
      <c r="V712">
        <v>861</v>
      </c>
      <c r="W712">
        <v>20</v>
      </c>
      <c r="X712">
        <v>813</v>
      </c>
      <c r="Y712">
        <v>58.8</v>
      </c>
      <c r="Z712">
        <v>804</v>
      </c>
      <c r="AA712">
        <v>66.2</v>
      </c>
      <c r="AB712">
        <v>522</v>
      </c>
      <c r="AC712">
        <v>50.7</v>
      </c>
      <c r="AD712">
        <v>781</v>
      </c>
      <c r="AE712" t="s">
        <v>208</v>
      </c>
      <c r="AF712">
        <v>0</v>
      </c>
      <c r="AG712" t="s">
        <v>2827</v>
      </c>
      <c r="AH712">
        <v>593198</v>
      </c>
      <c r="AI712" t="s">
        <v>46</v>
      </c>
      <c r="AJ712" s="1">
        <v>21181</v>
      </c>
      <c r="AK712">
        <v>14.6</v>
      </c>
      <c r="AL712" s="2">
        <v>0.04</v>
      </c>
      <c r="AM712" s="3">
        <v>2.2409722222222221</v>
      </c>
      <c r="AN712" t="s">
        <v>2826</v>
      </c>
      <c r="AO712" t="s">
        <v>2828</v>
      </c>
      <c r="AP712" t="b">
        <v>0</v>
      </c>
      <c r="AQ712" t="b">
        <v>0</v>
      </c>
      <c r="AR712" t="b">
        <v>0</v>
      </c>
      <c r="AS712" t="s">
        <v>2829</v>
      </c>
    </row>
    <row r="713" spans="1:45" x14ac:dyDescent="0.3">
      <c r="A713" t="s">
        <v>2369</v>
      </c>
      <c r="B713" t="s">
        <v>2369</v>
      </c>
      <c r="C713" t="s">
        <v>2830</v>
      </c>
      <c r="D713" t="s">
        <v>2339</v>
      </c>
      <c r="E713" t="s">
        <v>2340</v>
      </c>
      <c r="F713" t="s">
        <v>77</v>
      </c>
      <c r="G713">
        <v>5</v>
      </c>
      <c r="H713">
        <v>8.4</v>
      </c>
      <c r="I713">
        <v>51.2</v>
      </c>
      <c r="J713">
        <v>1.3</v>
      </c>
      <c r="K713">
        <v>35.700000000000003</v>
      </c>
      <c r="L713">
        <v>3.6</v>
      </c>
      <c r="M713">
        <v>14</v>
      </c>
      <c r="N713">
        <v>4.2</v>
      </c>
      <c r="O713">
        <v>1.1000000000000001</v>
      </c>
      <c r="P713" t="s">
        <v>1615</v>
      </c>
      <c r="Q713" t="s">
        <v>1068</v>
      </c>
      <c r="R713" t="s">
        <v>2830</v>
      </c>
      <c r="S713" t="s">
        <v>1070</v>
      </c>
      <c r="T713">
        <v>17380</v>
      </c>
      <c r="U713">
        <v>25.3</v>
      </c>
      <c r="V713">
        <v>981</v>
      </c>
      <c r="W713">
        <v>8.4</v>
      </c>
      <c r="X713">
        <v>1857</v>
      </c>
      <c r="Y713">
        <v>16</v>
      </c>
      <c r="Z713">
        <v>1744</v>
      </c>
      <c r="AA713">
        <v>19.100000000000001</v>
      </c>
      <c r="AB713">
        <v>1582</v>
      </c>
      <c r="AC713">
        <v>32.5</v>
      </c>
      <c r="AD713">
        <v>1403</v>
      </c>
      <c r="AE713" t="s">
        <v>57</v>
      </c>
      <c r="AF713">
        <v>0</v>
      </c>
      <c r="AG713" t="s">
        <v>2831</v>
      </c>
      <c r="AH713">
        <v>634671</v>
      </c>
      <c r="AI713" t="s">
        <v>2340</v>
      </c>
      <c r="AJ713" s="1">
        <v>30964</v>
      </c>
      <c r="AK713">
        <v>6.5</v>
      </c>
      <c r="AL713" s="2">
        <v>0.01</v>
      </c>
      <c r="AM713" s="3">
        <v>2.2000000000000002</v>
      </c>
      <c r="AN713" t="s">
        <v>2830</v>
      </c>
      <c r="AO713" t="s">
        <v>2832</v>
      </c>
      <c r="AP713" t="b">
        <v>0</v>
      </c>
      <c r="AQ713" t="b">
        <v>0</v>
      </c>
      <c r="AR713" t="b">
        <v>0</v>
      </c>
    </row>
    <row r="714" spans="1:45" x14ac:dyDescent="0.3">
      <c r="A714" t="s">
        <v>2369</v>
      </c>
      <c r="B714" t="s">
        <v>2369</v>
      </c>
      <c r="C714" t="s">
        <v>2833</v>
      </c>
      <c r="D714" t="s">
        <v>1214</v>
      </c>
      <c r="E714" t="s">
        <v>1215</v>
      </c>
      <c r="F714" t="s">
        <v>47</v>
      </c>
      <c r="G714">
        <v>9.1</v>
      </c>
      <c r="H714">
        <v>11</v>
      </c>
      <c r="I714">
        <v>11</v>
      </c>
      <c r="J714">
        <v>1.8</v>
      </c>
      <c r="K714">
        <v>10.1</v>
      </c>
      <c r="L714">
        <v>32.5</v>
      </c>
      <c r="M714">
        <v>25.7</v>
      </c>
      <c r="N714">
        <v>7.3</v>
      </c>
      <c r="O714">
        <v>1.6</v>
      </c>
      <c r="P714" t="s">
        <v>1615</v>
      </c>
      <c r="Q714" t="s">
        <v>621</v>
      </c>
      <c r="R714" t="s">
        <v>2833</v>
      </c>
      <c r="S714" t="s">
        <v>622</v>
      </c>
      <c r="T714">
        <v>13600</v>
      </c>
      <c r="U714">
        <v>29.7</v>
      </c>
      <c r="V714">
        <v>705</v>
      </c>
      <c r="W714">
        <v>11.5</v>
      </c>
      <c r="X714">
        <v>1467</v>
      </c>
      <c r="Y714">
        <v>27.6</v>
      </c>
      <c r="Z714">
        <v>1503</v>
      </c>
      <c r="AA714">
        <v>20.9</v>
      </c>
      <c r="AB714">
        <v>1486</v>
      </c>
      <c r="AC714">
        <v>61.2</v>
      </c>
      <c r="AD714">
        <v>557</v>
      </c>
      <c r="AE714" t="s">
        <v>57</v>
      </c>
      <c r="AF714">
        <v>0</v>
      </c>
      <c r="AG714" t="s">
        <v>2834</v>
      </c>
      <c r="AH714">
        <v>661172</v>
      </c>
      <c r="AI714" t="s">
        <v>1215</v>
      </c>
      <c r="AJ714" s="1">
        <v>11348</v>
      </c>
      <c r="AK714">
        <v>15.5</v>
      </c>
      <c r="AL714" s="2">
        <v>0.18</v>
      </c>
      <c r="AM714" s="3">
        <v>1.8722222222222222</v>
      </c>
      <c r="AN714" t="s">
        <v>2833</v>
      </c>
      <c r="AO714" t="s">
        <v>2835</v>
      </c>
      <c r="AP714" t="b">
        <v>0</v>
      </c>
      <c r="AQ714" t="b">
        <v>0</v>
      </c>
      <c r="AR714" t="b">
        <v>0</v>
      </c>
    </row>
    <row r="715" spans="1:45" x14ac:dyDescent="0.3">
      <c r="A715" t="s">
        <v>2369</v>
      </c>
      <c r="B715" t="s">
        <v>1621</v>
      </c>
      <c r="C715" t="s">
        <v>2836</v>
      </c>
      <c r="D715" t="s">
        <v>619</v>
      </c>
      <c r="E715" t="s">
        <v>620</v>
      </c>
      <c r="F715" t="s">
        <v>47</v>
      </c>
      <c r="G715">
        <v>9.6</v>
      </c>
      <c r="H715">
        <v>7.5</v>
      </c>
      <c r="I715">
        <v>12.9</v>
      </c>
      <c r="J715">
        <v>1.3</v>
      </c>
      <c r="K715">
        <v>14.9</v>
      </c>
      <c r="L715">
        <v>6.2</v>
      </c>
      <c r="M715">
        <v>1</v>
      </c>
      <c r="N715">
        <v>60.3</v>
      </c>
      <c r="O715">
        <v>1.4</v>
      </c>
      <c r="P715" t="s">
        <v>1615</v>
      </c>
      <c r="Q715" t="s">
        <v>1475</v>
      </c>
      <c r="R715" t="s">
        <v>2836</v>
      </c>
      <c r="T715">
        <v>1000487</v>
      </c>
      <c r="V715">
        <v>0</v>
      </c>
      <c r="X715">
        <v>0</v>
      </c>
      <c r="Z715">
        <v>0</v>
      </c>
      <c r="AB715">
        <v>0</v>
      </c>
      <c r="AD715">
        <v>0</v>
      </c>
      <c r="AE715" t="s">
        <v>57</v>
      </c>
      <c r="AF715">
        <v>0</v>
      </c>
      <c r="AG715" t="s">
        <v>2837</v>
      </c>
      <c r="AH715">
        <v>622500</v>
      </c>
      <c r="AI715" t="s">
        <v>620</v>
      </c>
      <c r="AJ715" s="1">
        <v>3187</v>
      </c>
      <c r="AK715">
        <v>13</v>
      </c>
      <c r="AL715" s="2">
        <v>0.02</v>
      </c>
      <c r="AM715" s="3">
        <v>2.4868055555555557</v>
      </c>
      <c r="AN715" t="s">
        <v>2836</v>
      </c>
      <c r="AO715" t="s">
        <v>2838</v>
      </c>
      <c r="AP715" t="b">
        <v>0</v>
      </c>
      <c r="AQ715" t="b">
        <v>0</v>
      </c>
      <c r="AR715" t="b">
        <v>0</v>
      </c>
    </row>
    <row r="716" spans="1:45" x14ac:dyDescent="0.3">
      <c r="A716" t="s">
        <v>2369</v>
      </c>
      <c r="B716" t="s">
        <v>2200</v>
      </c>
      <c r="C716" t="s">
        <v>2839</v>
      </c>
      <c r="D716" t="s">
        <v>297</v>
      </c>
      <c r="E716" t="s">
        <v>298</v>
      </c>
      <c r="F716" t="s">
        <v>47</v>
      </c>
      <c r="G716">
        <v>12.5</v>
      </c>
      <c r="H716">
        <v>24.9</v>
      </c>
      <c r="I716">
        <v>14.5</v>
      </c>
      <c r="J716">
        <v>4.9000000000000004</v>
      </c>
      <c r="K716">
        <v>4.7</v>
      </c>
      <c r="L716">
        <v>3.5</v>
      </c>
      <c r="M716">
        <v>21.4</v>
      </c>
      <c r="N716">
        <v>2.7</v>
      </c>
      <c r="O716">
        <v>9.9</v>
      </c>
      <c r="P716" t="s">
        <v>1615</v>
      </c>
      <c r="Q716" t="s">
        <v>621</v>
      </c>
      <c r="R716" t="s">
        <v>2839</v>
      </c>
      <c r="S716" t="s">
        <v>622</v>
      </c>
      <c r="T716">
        <v>13680</v>
      </c>
      <c r="U716">
        <v>23.5</v>
      </c>
      <c r="V716">
        <v>1112</v>
      </c>
      <c r="W716">
        <v>22.2</v>
      </c>
      <c r="X716">
        <v>720</v>
      </c>
      <c r="Y716">
        <v>25</v>
      </c>
      <c r="Z716">
        <v>1562</v>
      </c>
      <c r="AA716">
        <v>72.900000000000006</v>
      </c>
      <c r="AB716">
        <v>371</v>
      </c>
      <c r="AC716">
        <v>26.5</v>
      </c>
      <c r="AD716">
        <v>1639</v>
      </c>
      <c r="AE716" t="s">
        <v>57</v>
      </c>
      <c r="AF716">
        <v>0</v>
      </c>
      <c r="AG716" t="s">
        <v>2840</v>
      </c>
      <c r="AH716">
        <v>943</v>
      </c>
      <c r="AI716" t="s">
        <v>298</v>
      </c>
      <c r="AJ716" s="1">
        <v>8748</v>
      </c>
      <c r="AK716">
        <v>15.6</v>
      </c>
      <c r="AL716" s="2">
        <v>0.04</v>
      </c>
      <c r="AM716" s="3">
        <v>1.8722222222222222</v>
      </c>
      <c r="AN716" t="s">
        <v>2839</v>
      </c>
      <c r="AO716" t="s">
        <v>2841</v>
      </c>
      <c r="AP716" t="b">
        <v>0</v>
      </c>
      <c r="AQ716" t="b">
        <v>0</v>
      </c>
      <c r="AR716" t="b">
        <v>0</v>
      </c>
    </row>
    <row r="717" spans="1:45" x14ac:dyDescent="0.3">
      <c r="A717" t="s">
        <v>2369</v>
      </c>
      <c r="B717" t="s">
        <v>2200</v>
      </c>
      <c r="C717" t="s">
        <v>2842</v>
      </c>
      <c r="D717" t="s">
        <v>2028</v>
      </c>
      <c r="E717" t="s">
        <v>2029</v>
      </c>
      <c r="F717" t="s">
        <v>47</v>
      </c>
      <c r="G717">
        <v>6.5</v>
      </c>
      <c r="H717">
        <v>10.6</v>
      </c>
      <c r="I717">
        <v>54.3</v>
      </c>
      <c r="J717">
        <v>1.3</v>
      </c>
      <c r="K717">
        <v>1.7</v>
      </c>
      <c r="L717">
        <v>20.100000000000001</v>
      </c>
      <c r="M717">
        <v>11.4</v>
      </c>
      <c r="N717">
        <v>4</v>
      </c>
      <c r="O717">
        <v>1.6</v>
      </c>
      <c r="P717" t="s">
        <v>1615</v>
      </c>
      <c r="Q717" t="s">
        <v>621</v>
      </c>
      <c r="R717" t="s">
        <v>2843</v>
      </c>
      <c r="S717" t="s">
        <v>622</v>
      </c>
      <c r="T717">
        <v>13760</v>
      </c>
      <c r="U717">
        <v>24.8</v>
      </c>
      <c r="V717">
        <v>1019</v>
      </c>
      <c r="W717">
        <v>9</v>
      </c>
      <c r="X717">
        <v>1797</v>
      </c>
      <c r="Y717">
        <v>14.9</v>
      </c>
      <c r="Z717">
        <v>1768</v>
      </c>
      <c r="AA717">
        <v>17.5</v>
      </c>
      <c r="AB717">
        <v>1701</v>
      </c>
      <c r="AC717">
        <v>33.6</v>
      </c>
      <c r="AD717">
        <v>1367</v>
      </c>
      <c r="AE717" t="s">
        <v>57</v>
      </c>
      <c r="AF717">
        <v>0</v>
      </c>
      <c r="AG717" t="s">
        <v>2844</v>
      </c>
      <c r="AH717">
        <v>131649</v>
      </c>
      <c r="AI717" t="s">
        <v>2029</v>
      </c>
      <c r="AJ717" s="1">
        <v>11055</v>
      </c>
      <c r="AK717">
        <v>7.9</v>
      </c>
      <c r="AL717" s="2">
        <v>0.14000000000000001</v>
      </c>
      <c r="AM717" t="s">
        <v>234</v>
      </c>
      <c r="AN717" t="s">
        <v>2843</v>
      </c>
      <c r="AO717" t="s">
        <v>2845</v>
      </c>
      <c r="AP717" t="b">
        <v>0</v>
      </c>
      <c r="AQ717" t="b">
        <v>0</v>
      </c>
      <c r="AR717" t="b">
        <v>0</v>
      </c>
    </row>
    <row r="718" spans="1:45" x14ac:dyDescent="0.3">
      <c r="A718" t="s">
        <v>2369</v>
      </c>
      <c r="B718" t="s">
        <v>2266</v>
      </c>
      <c r="C718" t="s">
        <v>2846</v>
      </c>
      <c r="D718" t="s">
        <v>758</v>
      </c>
      <c r="E718" t="s">
        <v>759</v>
      </c>
      <c r="F718" t="s">
        <v>47</v>
      </c>
      <c r="G718">
        <v>8.8000000000000007</v>
      </c>
      <c r="H718">
        <v>10</v>
      </c>
      <c r="I718">
        <v>53.8</v>
      </c>
      <c r="J718">
        <v>1.6</v>
      </c>
      <c r="K718">
        <v>18</v>
      </c>
      <c r="L718">
        <v>1.2</v>
      </c>
      <c r="M718">
        <v>8.4</v>
      </c>
      <c r="N718">
        <v>3.2</v>
      </c>
      <c r="O718">
        <v>2.2999999999999998</v>
      </c>
      <c r="P718" t="s">
        <v>1615</v>
      </c>
      <c r="Q718" t="s">
        <v>1475</v>
      </c>
      <c r="R718" t="s">
        <v>2846</v>
      </c>
      <c r="T718">
        <v>1000530</v>
      </c>
      <c r="V718">
        <v>0</v>
      </c>
      <c r="X718">
        <v>0</v>
      </c>
      <c r="Z718">
        <v>0</v>
      </c>
      <c r="AB718">
        <v>0</v>
      </c>
      <c r="AD718">
        <v>0</v>
      </c>
      <c r="AE718" t="s">
        <v>57</v>
      </c>
      <c r="AF718">
        <v>0</v>
      </c>
      <c r="AG718" t="s">
        <v>2847</v>
      </c>
      <c r="AH718">
        <v>624957</v>
      </c>
      <c r="AI718" t="s">
        <v>759</v>
      </c>
      <c r="AJ718" s="1">
        <v>7583</v>
      </c>
      <c r="AK718">
        <v>9.1</v>
      </c>
      <c r="AL718" s="2">
        <v>0</v>
      </c>
      <c r="AM718" s="3">
        <v>2.036111111111111</v>
      </c>
      <c r="AN718" t="s">
        <v>2846</v>
      </c>
      <c r="AO718" t="s">
        <v>2848</v>
      </c>
      <c r="AP718" t="b">
        <v>0</v>
      </c>
      <c r="AQ718" t="b">
        <v>0</v>
      </c>
      <c r="AR718" t="b">
        <v>0</v>
      </c>
    </row>
    <row r="719" spans="1:45" x14ac:dyDescent="0.3">
      <c r="A719" t="s">
        <v>2369</v>
      </c>
      <c r="B719" t="s">
        <v>2369</v>
      </c>
      <c r="C719" t="s">
        <v>2849</v>
      </c>
      <c r="D719" t="s">
        <v>758</v>
      </c>
      <c r="E719" t="s">
        <v>759</v>
      </c>
      <c r="F719" t="s">
        <v>56</v>
      </c>
      <c r="G719">
        <v>7.8</v>
      </c>
      <c r="H719">
        <v>7.3</v>
      </c>
      <c r="I719">
        <v>6.2</v>
      </c>
      <c r="J719">
        <v>24.1</v>
      </c>
      <c r="L719">
        <v>1.7</v>
      </c>
      <c r="M719">
        <v>30.9</v>
      </c>
      <c r="N719">
        <v>31.8</v>
      </c>
      <c r="O719">
        <v>2.4</v>
      </c>
      <c r="P719" t="s">
        <v>1615</v>
      </c>
      <c r="Q719" t="s">
        <v>696</v>
      </c>
      <c r="R719" t="s">
        <v>2849</v>
      </c>
      <c r="S719" t="s">
        <v>697</v>
      </c>
      <c r="T719">
        <v>7440</v>
      </c>
      <c r="U719">
        <v>32.6</v>
      </c>
      <c r="V719">
        <v>566</v>
      </c>
      <c r="W719">
        <v>16.2</v>
      </c>
      <c r="X719">
        <v>1036</v>
      </c>
      <c r="Y719">
        <v>67.900000000000006</v>
      </c>
      <c r="Z719">
        <v>605</v>
      </c>
      <c r="AA719">
        <v>39.200000000000003</v>
      </c>
      <c r="AB719">
        <v>1001</v>
      </c>
      <c r="AC719">
        <v>23.5</v>
      </c>
      <c r="AD719">
        <v>1758</v>
      </c>
      <c r="AE719" t="s">
        <v>57</v>
      </c>
      <c r="AF719">
        <v>0</v>
      </c>
      <c r="AG719" t="s">
        <v>2850</v>
      </c>
      <c r="AH719">
        <v>960</v>
      </c>
      <c r="AI719" t="s">
        <v>759</v>
      </c>
      <c r="AJ719" s="1">
        <v>19695</v>
      </c>
      <c r="AK719">
        <v>18.600000000000001</v>
      </c>
      <c r="AL719" s="2">
        <v>0.01</v>
      </c>
      <c r="AM719" s="3">
        <v>2.1590277777777778</v>
      </c>
      <c r="AN719" t="s">
        <v>2849</v>
      </c>
      <c r="AO719" t="s">
        <v>2851</v>
      </c>
      <c r="AP719" t="b">
        <v>0</v>
      </c>
      <c r="AQ719" t="b">
        <v>0</v>
      </c>
      <c r="AR719" t="b">
        <v>0</v>
      </c>
    </row>
    <row r="720" spans="1:45" x14ac:dyDescent="0.3">
      <c r="A720" t="s">
        <v>2369</v>
      </c>
      <c r="B720" t="s">
        <v>2369</v>
      </c>
      <c r="C720" t="s">
        <v>2852</v>
      </c>
      <c r="D720" t="s">
        <v>887</v>
      </c>
      <c r="E720" t="s">
        <v>888</v>
      </c>
      <c r="F720" t="s">
        <v>56</v>
      </c>
      <c r="G720">
        <v>7.8</v>
      </c>
      <c r="H720">
        <v>6.8</v>
      </c>
      <c r="I720">
        <v>31.6</v>
      </c>
      <c r="J720">
        <v>6.3</v>
      </c>
      <c r="K720">
        <v>2.2999999999999998</v>
      </c>
      <c r="L720">
        <v>5.7</v>
      </c>
      <c r="M720">
        <v>44.9</v>
      </c>
      <c r="N720">
        <v>5.2</v>
      </c>
      <c r="O720">
        <v>1.4</v>
      </c>
      <c r="P720" t="s">
        <v>1615</v>
      </c>
      <c r="Q720" t="s">
        <v>621</v>
      </c>
      <c r="R720" t="s">
        <v>2853</v>
      </c>
      <c r="S720" t="s">
        <v>622</v>
      </c>
      <c r="T720">
        <v>13980</v>
      </c>
      <c r="U720">
        <v>22.6</v>
      </c>
      <c r="V720">
        <v>1181</v>
      </c>
      <c r="W720">
        <v>13</v>
      </c>
      <c r="X720">
        <v>1307</v>
      </c>
      <c r="Y720">
        <v>35.9</v>
      </c>
      <c r="Z720">
        <v>1303</v>
      </c>
      <c r="AA720">
        <v>41.8</v>
      </c>
      <c r="AB720">
        <v>942</v>
      </c>
      <c r="AC720">
        <v>26.9</v>
      </c>
      <c r="AD720">
        <v>1619</v>
      </c>
      <c r="AE720" t="s">
        <v>57</v>
      </c>
      <c r="AF720">
        <v>0</v>
      </c>
      <c r="AG720" t="s">
        <v>2854</v>
      </c>
      <c r="AH720">
        <v>622890</v>
      </c>
      <c r="AI720" t="s">
        <v>888</v>
      </c>
      <c r="AJ720" s="1">
        <v>14304</v>
      </c>
      <c r="AK720">
        <v>11.4</v>
      </c>
      <c r="AL720" s="2">
        <v>0.06</v>
      </c>
      <c r="AM720" t="s">
        <v>357</v>
      </c>
      <c r="AN720" t="s">
        <v>2853</v>
      </c>
      <c r="AO720" t="s">
        <v>2855</v>
      </c>
      <c r="AP720" t="b">
        <v>0</v>
      </c>
      <c r="AQ720" t="b">
        <v>0</v>
      </c>
      <c r="AR720" t="b">
        <v>0</v>
      </c>
    </row>
    <row r="721" spans="1:45" x14ac:dyDescent="0.3">
      <c r="A721" t="s">
        <v>2369</v>
      </c>
      <c r="B721" t="s">
        <v>2369</v>
      </c>
      <c r="C721" t="s">
        <v>2856</v>
      </c>
      <c r="D721" t="s">
        <v>45</v>
      </c>
      <c r="E721" t="s">
        <v>46</v>
      </c>
      <c r="F721" t="s">
        <v>56</v>
      </c>
      <c r="G721">
        <v>7.2</v>
      </c>
      <c r="H721">
        <v>10.7</v>
      </c>
      <c r="I721">
        <v>19.2</v>
      </c>
      <c r="J721">
        <v>6.3</v>
      </c>
      <c r="K721">
        <v>4.7</v>
      </c>
      <c r="L721">
        <v>16.100000000000001</v>
      </c>
      <c r="M721">
        <v>36.799999999999997</v>
      </c>
      <c r="N721">
        <v>9</v>
      </c>
      <c r="O721">
        <v>34.5</v>
      </c>
      <c r="P721" t="s">
        <v>1615</v>
      </c>
      <c r="Q721" t="s">
        <v>679</v>
      </c>
      <c r="R721" t="s">
        <v>2857</v>
      </c>
      <c r="S721" t="s">
        <v>680</v>
      </c>
      <c r="T721">
        <v>9590</v>
      </c>
      <c r="U721">
        <v>22.9</v>
      </c>
      <c r="V721">
        <v>1159</v>
      </c>
      <c r="W721">
        <v>20.2</v>
      </c>
      <c r="X721">
        <v>801</v>
      </c>
      <c r="Y721">
        <v>58.4</v>
      </c>
      <c r="Z721">
        <v>814</v>
      </c>
      <c r="AA721">
        <v>60.7</v>
      </c>
      <c r="AB721">
        <v>629</v>
      </c>
      <c r="AC721">
        <v>46.3</v>
      </c>
      <c r="AD721">
        <v>920</v>
      </c>
      <c r="AE721" t="s">
        <v>49</v>
      </c>
      <c r="AF721">
        <v>0</v>
      </c>
      <c r="AG721" t="s">
        <v>2858</v>
      </c>
      <c r="AH721">
        <v>131644</v>
      </c>
      <c r="AI721" t="s">
        <v>46</v>
      </c>
      <c r="AJ721" s="1">
        <v>14249</v>
      </c>
      <c r="AK721">
        <v>16</v>
      </c>
      <c r="AL721" s="2">
        <v>0.13</v>
      </c>
      <c r="AM721" t="s">
        <v>153</v>
      </c>
      <c r="AN721" t="s">
        <v>2857</v>
      </c>
      <c r="AO721" t="s">
        <v>2859</v>
      </c>
      <c r="AP721" t="b">
        <v>0</v>
      </c>
      <c r="AQ721" t="b">
        <v>0</v>
      </c>
      <c r="AR721" t="b">
        <v>0</v>
      </c>
      <c r="AS721" t="s">
        <v>2860</v>
      </c>
    </row>
    <row r="722" spans="1:45" x14ac:dyDescent="0.3">
      <c r="A722" t="s">
        <v>2369</v>
      </c>
      <c r="B722" t="s">
        <v>2369</v>
      </c>
      <c r="C722" t="s">
        <v>2861</v>
      </c>
      <c r="D722" t="s">
        <v>378</v>
      </c>
      <c r="E722" t="s">
        <v>379</v>
      </c>
      <c r="F722" t="s">
        <v>77</v>
      </c>
      <c r="G722">
        <v>4.9000000000000004</v>
      </c>
      <c r="H722">
        <v>7.6</v>
      </c>
      <c r="I722">
        <v>47.8</v>
      </c>
      <c r="J722">
        <v>1.1000000000000001</v>
      </c>
      <c r="K722">
        <v>1.8</v>
      </c>
      <c r="L722">
        <v>2.8</v>
      </c>
      <c r="M722">
        <v>17.7</v>
      </c>
      <c r="N722">
        <v>41.8</v>
      </c>
      <c r="O722">
        <v>1</v>
      </c>
      <c r="P722" t="s">
        <v>1615</v>
      </c>
      <c r="Q722" t="s">
        <v>1068</v>
      </c>
      <c r="R722" t="s">
        <v>2861</v>
      </c>
      <c r="S722" t="s">
        <v>1070</v>
      </c>
      <c r="T722">
        <v>18160</v>
      </c>
      <c r="U722">
        <v>26.8</v>
      </c>
      <c r="V722">
        <v>884</v>
      </c>
      <c r="W722">
        <v>17.100000000000001</v>
      </c>
      <c r="X722">
        <v>965</v>
      </c>
      <c r="Y722">
        <v>18.100000000000001</v>
      </c>
      <c r="Z722">
        <v>1712</v>
      </c>
      <c r="AA722">
        <v>19.399999999999999</v>
      </c>
      <c r="AB722">
        <v>1568</v>
      </c>
      <c r="AC722">
        <v>23.2</v>
      </c>
      <c r="AD722">
        <v>1771</v>
      </c>
      <c r="AE722" t="s">
        <v>57</v>
      </c>
      <c r="AF722">
        <v>0</v>
      </c>
      <c r="AG722" t="s">
        <v>2862</v>
      </c>
      <c r="AH722">
        <v>131707</v>
      </c>
      <c r="AI722" t="s">
        <v>381</v>
      </c>
      <c r="AJ722" s="1">
        <v>18646</v>
      </c>
      <c r="AK722">
        <v>10.4</v>
      </c>
      <c r="AL722" s="2">
        <v>0.04</v>
      </c>
      <c r="AM722" s="3">
        <v>2.6506944444444445</v>
      </c>
      <c r="AN722" t="s">
        <v>2861</v>
      </c>
      <c r="AO722" t="s">
        <v>2863</v>
      </c>
      <c r="AP722" t="b">
        <v>0</v>
      </c>
      <c r="AQ722" t="b">
        <v>0</v>
      </c>
      <c r="AR722" t="b">
        <v>1</v>
      </c>
    </row>
    <row r="723" spans="1:45" x14ac:dyDescent="0.3">
      <c r="A723" t="s">
        <v>2369</v>
      </c>
      <c r="B723" t="s">
        <v>2266</v>
      </c>
      <c r="C723" t="s">
        <v>2864</v>
      </c>
      <c r="D723" t="s">
        <v>378</v>
      </c>
      <c r="E723" t="s">
        <v>379</v>
      </c>
      <c r="F723" t="s">
        <v>47</v>
      </c>
      <c r="G723">
        <v>5.4</v>
      </c>
      <c r="H723">
        <v>3.6</v>
      </c>
      <c r="I723">
        <v>46.4</v>
      </c>
      <c r="J723">
        <v>1.8</v>
      </c>
      <c r="K723">
        <v>4.2</v>
      </c>
      <c r="L723">
        <v>46.3</v>
      </c>
      <c r="M723">
        <v>14.6</v>
      </c>
      <c r="N723">
        <v>5.6</v>
      </c>
      <c r="O723">
        <v>1.1000000000000001</v>
      </c>
      <c r="P723" t="s">
        <v>1615</v>
      </c>
      <c r="Q723" t="s">
        <v>621</v>
      </c>
      <c r="R723" t="s">
        <v>2865</v>
      </c>
      <c r="S723" t="s">
        <v>622</v>
      </c>
      <c r="T723">
        <v>14420</v>
      </c>
      <c r="U723">
        <v>22.6</v>
      </c>
      <c r="V723">
        <v>1184</v>
      </c>
      <c r="W723">
        <v>16.399999999999999</v>
      </c>
      <c r="X723">
        <v>1021</v>
      </c>
      <c r="Y723">
        <v>22.8</v>
      </c>
      <c r="Z723">
        <v>1619</v>
      </c>
      <c r="AA723">
        <v>37.6</v>
      </c>
      <c r="AB723">
        <v>1027</v>
      </c>
      <c r="AC723">
        <v>41.7</v>
      </c>
      <c r="AD723">
        <v>1063</v>
      </c>
      <c r="AE723" t="s">
        <v>57</v>
      </c>
      <c r="AF723">
        <v>0</v>
      </c>
      <c r="AG723" t="s">
        <v>2866</v>
      </c>
      <c r="AH723">
        <v>131677</v>
      </c>
      <c r="AI723" t="s">
        <v>381</v>
      </c>
      <c r="AJ723" s="1">
        <v>8712</v>
      </c>
      <c r="AK723">
        <v>13.6</v>
      </c>
      <c r="AL723" s="2">
        <v>0.2</v>
      </c>
      <c r="AM723" t="s">
        <v>234</v>
      </c>
      <c r="AN723" t="s">
        <v>2865</v>
      </c>
      <c r="AO723" t="s">
        <v>2867</v>
      </c>
      <c r="AP723" t="b">
        <v>0</v>
      </c>
      <c r="AQ723" t="b">
        <v>0</v>
      </c>
      <c r="AR723" t="b">
        <v>1</v>
      </c>
    </row>
    <row r="724" spans="1:45" x14ac:dyDescent="0.3">
      <c r="A724" t="s">
        <v>2369</v>
      </c>
      <c r="B724" t="s">
        <v>2369</v>
      </c>
      <c r="C724" t="s">
        <v>2868</v>
      </c>
      <c r="D724" t="s">
        <v>378</v>
      </c>
      <c r="E724" t="s">
        <v>379</v>
      </c>
      <c r="F724" t="s">
        <v>47</v>
      </c>
      <c r="G724">
        <v>3.6</v>
      </c>
      <c r="H724">
        <v>3.2</v>
      </c>
      <c r="I724">
        <v>64.099999999999994</v>
      </c>
      <c r="J724">
        <v>2.1</v>
      </c>
      <c r="K724">
        <v>21.1</v>
      </c>
      <c r="L724">
        <v>29.3</v>
      </c>
      <c r="M724">
        <v>6.5</v>
      </c>
      <c r="N724">
        <v>8</v>
      </c>
      <c r="O724">
        <v>1.1000000000000001</v>
      </c>
      <c r="P724" t="s">
        <v>1615</v>
      </c>
      <c r="Q724" t="s">
        <v>696</v>
      </c>
      <c r="R724" t="s">
        <v>2868</v>
      </c>
      <c r="S724" t="s">
        <v>697</v>
      </c>
      <c r="T724">
        <v>7600</v>
      </c>
      <c r="U724">
        <v>29.7</v>
      </c>
      <c r="V724">
        <v>709</v>
      </c>
      <c r="W724">
        <v>16.899999999999999</v>
      </c>
      <c r="X724">
        <v>979</v>
      </c>
      <c r="Y724">
        <v>69.3</v>
      </c>
      <c r="Z724">
        <v>572</v>
      </c>
      <c r="AA724">
        <v>50.4</v>
      </c>
      <c r="AB724">
        <v>801</v>
      </c>
      <c r="AC724">
        <v>43.1</v>
      </c>
      <c r="AD724">
        <v>1017</v>
      </c>
      <c r="AE724" t="s">
        <v>57</v>
      </c>
      <c r="AF724">
        <v>0</v>
      </c>
      <c r="AG724" t="s">
        <v>2869</v>
      </c>
      <c r="AH724">
        <v>131618</v>
      </c>
      <c r="AI724" t="s">
        <v>381</v>
      </c>
      <c r="AJ724" s="1">
        <v>8345</v>
      </c>
      <c r="AK724">
        <v>13.4</v>
      </c>
      <c r="AL724" s="2">
        <v>0.12</v>
      </c>
      <c r="AM724" s="3">
        <v>1.7493055555555554</v>
      </c>
      <c r="AN724" t="s">
        <v>2868</v>
      </c>
      <c r="AO724" t="s">
        <v>2870</v>
      </c>
      <c r="AP724" t="b">
        <v>0</v>
      </c>
      <c r="AQ724" t="b">
        <v>0</v>
      </c>
      <c r="AR724" t="b">
        <v>1</v>
      </c>
    </row>
    <row r="725" spans="1:45" x14ac:dyDescent="0.3">
      <c r="A725" t="s">
        <v>2369</v>
      </c>
      <c r="B725" t="s">
        <v>2200</v>
      </c>
      <c r="C725" t="s">
        <v>2871</v>
      </c>
      <c r="D725" t="s">
        <v>378</v>
      </c>
      <c r="E725" t="s">
        <v>379</v>
      </c>
      <c r="F725" t="s">
        <v>47</v>
      </c>
      <c r="G725">
        <v>4.0999999999999996</v>
      </c>
      <c r="H725">
        <v>2.2000000000000002</v>
      </c>
      <c r="I725">
        <v>75.400000000000006</v>
      </c>
      <c r="J725">
        <v>2.1</v>
      </c>
      <c r="K725">
        <v>2.2000000000000002</v>
      </c>
      <c r="L725">
        <v>12.3</v>
      </c>
      <c r="M725">
        <v>17</v>
      </c>
      <c r="N725">
        <v>9.1</v>
      </c>
      <c r="O725">
        <v>1.2</v>
      </c>
      <c r="P725" t="s">
        <v>1615</v>
      </c>
      <c r="Q725" t="s">
        <v>621</v>
      </c>
      <c r="R725" t="s">
        <v>2871</v>
      </c>
      <c r="S725" t="s">
        <v>622</v>
      </c>
      <c r="T725">
        <v>14090</v>
      </c>
      <c r="U725">
        <v>27.5</v>
      </c>
      <c r="V725">
        <v>846</v>
      </c>
      <c r="W725">
        <v>14.8</v>
      </c>
      <c r="X725">
        <v>1140</v>
      </c>
      <c r="Y725">
        <v>21.8</v>
      </c>
      <c r="Z725">
        <v>1641</v>
      </c>
      <c r="AA725">
        <v>26.6</v>
      </c>
      <c r="AB725">
        <v>1279</v>
      </c>
      <c r="AC725">
        <v>37.1</v>
      </c>
      <c r="AD725">
        <v>1236</v>
      </c>
      <c r="AE725" t="s">
        <v>57</v>
      </c>
      <c r="AF725">
        <v>0</v>
      </c>
      <c r="AG725" t="s">
        <v>2872</v>
      </c>
      <c r="AH725">
        <v>621822</v>
      </c>
      <c r="AI725" t="s">
        <v>381</v>
      </c>
      <c r="AJ725" s="1">
        <v>9198</v>
      </c>
      <c r="AK725">
        <v>10.7</v>
      </c>
      <c r="AL725" s="2">
        <v>0.14000000000000001</v>
      </c>
      <c r="AM725" s="3">
        <v>2.036111111111111</v>
      </c>
      <c r="AN725" t="s">
        <v>2871</v>
      </c>
      <c r="AO725" t="s">
        <v>2873</v>
      </c>
      <c r="AP725" t="b">
        <v>0</v>
      </c>
      <c r="AQ725" t="b">
        <v>0</v>
      </c>
      <c r="AR725" t="b">
        <v>1</v>
      </c>
    </row>
    <row r="726" spans="1:45" x14ac:dyDescent="0.3">
      <c r="A726" t="s">
        <v>2369</v>
      </c>
      <c r="B726" t="s">
        <v>2369</v>
      </c>
      <c r="C726" t="s">
        <v>2874</v>
      </c>
      <c r="D726" t="s">
        <v>45</v>
      </c>
      <c r="E726" t="s">
        <v>46</v>
      </c>
      <c r="F726" t="s">
        <v>77</v>
      </c>
      <c r="G726">
        <v>5.4</v>
      </c>
      <c r="H726">
        <v>3</v>
      </c>
      <c r="I726">
        <v>3.3</v>
      </c>
      <c r="J726">
        <v>14.3</v>
      </c>
      <c r="K726">
        <v>5.2</v>
      </c>
      <c r="L726">
        <v>3.5</v>
      </c>
      <c r="M726">
        <v>68.7</v>
      </c>
      <c r="N726">
        <v>15.8</v>
      </c>
      <c r="O726">
        <v>9.4</v>
      </c>
      <c r="P726" t="s">
        <v>1615</v>
      </c>
      <c r="Q726" t="s">
        <v>679</v>
      </c>
      <c r="R726" t="s">
        <v>2874</v>
      </c>
      <c r="S726" t="s">
        <v>680</v>
      </c>
      <c r="T726">
        <v>9630</v>
      </c>
      <c r="U726">
        <v>21.5</v>
      </c>
      <c r="V726">
        <v>1272</v>
      </c>
      <c r="W726">
        <v>11.9</v>
      </c>
      <c r="X726">
        <v>1417</v>
      </c>
      <c r="Y726">
        <v>71.099999999999994</v>
      </c>
      <c r="Z726">
        <v>535</v>
      </c>
      <c r="AA726">
        <v>58.3</v>
      </c>
      <c r="AB726">
        <v>672</v>
      </c>
      <c r="AC726">
        <v>37</v>
      </c>
      <c r="AD726">
        <v>1240</v>
      </c>
      <c r="AE726" t="s">
        <v>208</v>
      </c>
      <c r="AF726">
        <v>0</v>
      </c>
      <c r="AG726" t="s">
        <v>2875</v>
      </c>
      <c r="AH726">
        <v>969</v>
      </c>
      <c r="AI726" t="s">
        <v>46</v>
      </c>
      <c r="AJ726" s="1">
        <v>32069</v>
      </c>
      <c r="AK726">
        <v>28.1</v>
      </c>
      <c r="AL726" s="2">
        <v>0.05</v>
      </c>
      <c r="AM726" s="3">
        <v>2.4458333333333333</v>
      </c>
      <c r="AN726" t="s">
        <v>2874</v>
      </c>
      <c r="AO726" t="s">
        <v>2876</v>
      </c>
      <c r="AP726" t="b">
        <v>0</v>
      </c>
      <c r="AQ726" t="b">
        <v>0</v>
      </c>
      <c r="AR726" t="b">
        <v>0</v>
      </c>
      <c r="AS726" t="s">
        <v>2877</v>
      </c>
    </row>
    <row r="727" spans="1:45" x14ac:dyDescent="0.3">
      <c r="A727" t="s">
        <v>2369</v>
      </c>
      <c r="B727" t="s">
        <v>2369</v>
      </c>
      <c r="C727" t="s">
        <v>2878</v>
      </c>
      <c r="D727" t="s">
        <v>54</v>
      </c>
      <c r="E727" t="s">
        <v>55</v>
      </c>
      <c r="F727" t="s">
        <v>56</v>
      </c>
      <c r="G727">
        <v>6.7</v>
      </c>
      <c r="H727">
        <v>8.6</v>
      </c>
      <c r="I727">
        <v>9.5</v>
      </c>
      <c r="J727">
        <v>4.5</v>
      </c>
      <c r="K727">
        <v>33.6</v>
      </c>
      <c r="L727">
        <v>33.1</v>
      </c>
      <c r="M727">
        <v>50.4</v>
      </c>
      <c r="N727">
        <v>8.6</v>
      </c>
      <c r="O727">
        <v>2.2000000000000002</v>
      </c>
      <c r="P727" t="s">
        <v>1615</v>
      </c>
      <c r="Q727" t="s">
        <v>679</v>
      </c>
      <c r="R727" t="s">
        <v>2878</v>
      </c>
      <c r="S727" t="s">
        <v>680</v>
      </c>
      <c r="T727">
        <v>9700</v>
      </c>
      <c r="U727">
        <v>19.399999999999999</v>
      </c>
      <c r="V727">
        <v>1437</v>
      </c>
      <c r="W727">
        <v>14.4</v>
      </c>
      <c r="X727">
        <v>1170</v>
      </c>
      <c r="Y727">
        <v>66.7</v>
      </c>
      <c r="Z727">
        <v>632</v>
      </c>
      <c r="AA727">
        <v>33.1</v>
      </c>
      <c r="AB727">
        <v>1126</v>
      </c>
      <c r="AC727">
        <v>64</v>
      </c>
      <c r="AD727">
        <v>503</v>
      </c>
      <c r="AE727" t="s">
        <v>57</v>
      </c>
      <c r="AF727">
        <v>0</v>
      </c>
      <c r="AG727" t="s">
        <v>2879</v>
      </c>
      <c r="AH727">
        <v>131621</v>
      </c>
      <c r="AI727" t="s">
        <v>55</v>
      </c>
      <c r="AJ727" s="1">
        <v>26580</v>
      </c>
      <c r="AK727">
        <v>17.7</v>
      </c>
      <c r="AL727" s="2">
        <v>0.12</v>
      </c>
      <c r="AM727" s="3">
        <v>2.3229166666666665</v>
      </c>
      <c r="AN727" t="s">
        <v>2878</v>
      </c>
      <c r="AO727" t="s">
        <v>2880</v>
      </c>
      <c r="AP727" t="b">
        <v>0</v>
      </c>
      <c r="AQ727" t="b">
        <v>0</v>
      </c>
      <c r="AR727" t="b">
        <v>0</v>
      </c>
      <c r="AS727" t="s">
        <v>2881</v>
      </c>
    </row>
    <row r="728" spans="1:45" x14ac:dyDescent="0.3">
      <c r="A728" t="s">
        <v>2369</v>
      </c>
      <c r="B728" t="s">
        <v>2369</v>
      </c>
      <c r="C728" t="s">
        <v>2882</v>
      </c>
      <c r="D728" t="s">
        <v>175</v>
      </c>
      <c r="E728" t="s">
        <v>176</v>
      </c>
      <c r="F728" t="s">
        <v>47</v>
      </c>
      <c r="G728">
        <v>3.6</v>
      </c>
      <c r="H728">
        <v>3.2</v>
      </c>
      <c r="I728">
        <v>34.9</v>
      </c>
      <c r="J728">
        <v>11.2</v>
      </c>
      <c r="K728">
        <v>5.5</v>
      </c>
      <c r="L728">
        <v>2.6</v>
      </c>
      <c r="M728">
        <v>24.1</v>
      </c>
      <c r="N728">
        <v>1.8</v>
      </c>
      <c r="O728">
        <v>1.1000000000000001</v>
      </c>
      <c r="P728" t="s">
        <v>1615</v>
      </c>
      <c r="Q728" t="s">
        <v>733</v>
      </c>
      <c r="R728" t="s">
        <v>2883</v>
      </c>
      <c r="S728" t="s">
        <v>735</v>
      </c>
      <c r="T728">
        <v>11590</v>
      </c>
      <c r="U728">
        <v>26.8</v>
      </c>
      <c r="V728">
        <v>885</v>
      </c>
      <c r="W728">
        <v>18</v>
      </c>
      <c r="X728">
        <v>919</v>
      </c>
      <c r="Y728">
        <v>34.6</v>
      </c>
      <c r="Z728">
        <v>1333</v>
      </c>
      <c r="AA728">
        <v>63.1</v>
      </c>
      <c r="AB728">
        <v>586</v>
      </c>
      <c r="AC728">
        <v>32.6</v>
      </c>
      <c r="AD728">
        <v>1399</v>
      </c>
      <c r="AE728" t="s">
        <v>57</v>
      </c>
      <c r="AF728">
        <v>0</v>
      </c>
      <c r="AG728" t="s">
        <v>2884</v>
      </c>
      <c r="AH728">
        <v>131444</v>
      </c>
      <c r="AI728" t="s">
        <v>176</v>
      </c>
      <c r="AJ728" s="1">
        <v>10602</v>
      </c>
      <c r="AK728">
        <v>10.4</v>
      </c>
      <c r="AL728" s="2">
        <v>0.03</v>
      </c>
      <c r="AM728" t="s">
        <v>357</v>
      </c>
      <c r="AN728" t="s">
        <v>2885</v>
      </c>
      <c r="AO728" t="s">
        <v>2886</v>
      </c>
      <c r="AP728" t="b">
        <v>0</v>
      </c>
      <c r="AQ728" t="b">
        <v>0</v>
      </c>
      <c r="AR728" t="b">
        <v>0</v>
      </c>
    </row>
    <row r="729" spans="1:45" x14ac:dyDescent="0.3">
      <c r="A729" t="s">
        <v>2369</v>
      </c>
      <c r="B729" t="s">
        <v>2369</v>
      </c>
      <c r="C729" t="s">
        <v>2887</v>
      </c>
      <c r="D729" t="s">
        <v>887</v>
      </c>
      <c r="E729" t="s">
        <v>888</v>
      </c>
      <c r="F729" t="s">
        <v>56</v>
      </c>
      <c r="G729">
        <v>6.8</v>
      </c>
      <c r="H729">
        <v>3.8</v>
      </c>
      <c r="I729">
        <v>30.3</v>
      </c>
      <c r="J729">
        <v>7</v>
      </c>
      <c r="K729">
        <v>2.9</v>
      </c>
      <c r="L729">
        <v>3.3</v>
      </c>
      <c r="M729">
        <v>63.4</v>
      </c>
      <c r="N729">
        <v>9.5</v>
      </c>
      <c r="O729">
        <v>1.4</v>
      </c>
      <c r="P729" t="s">
        <v>1615</v>
      </c>
      <c r="Q729" t="s">
        <v>621</v>
      </c>
      <c r="R729" t="s">
        <v>2887</v>
      </c>
      <c r="S729" t="s">
        <v>622</v>
      </c>
      <c r="T729">
        <v>14250</v>
      </c>
      <c r="U729">
        <v>21.8</v>
      </c>
      <c r="V729">
        <v>1248</v>
      </c>
      <c r="W729">
        <v>15.6</v>
      </c>
      <c r="X729">
        <v>1079</v>
      </c>
      <c r="Y729">
        <v>39.4</v>
      </c>
      <c r="Z729">
        <v>1227</v>
      </c>
      <c r="AA729">
        <v>31.5</v>
      </c>
      <c r="AB729">
        <v>1149</v>
      </c>
      <c r="AC729">
        <v>26.6</v>
      </c>
      <c r="AD729">
        <v>1635</v>
      </c>
      <c r="AE729" t="s">
        <v>57</v>
      </c>
      <c r="AF729">
        <v>0</v>
      </c>
      <c r="AG729" t="s">
        <v>2888</v>
      </c>
      <c r="AH729">
        <v>660953</v>
      </c>
      <c r="AI729" t="s">
        <v>888</v>
      </c>
      <c r="AJ729" s="1">
        <v>17424</v>
      </c>
      <c r="AK729">
        <v>12</v>
      </c>
      <c r="AL729" s="2">
        <v>0.04</v>
      </c>
      <c r="AM729" t="s">
        <v>357</v>
      </c>
      <c r="AN729" t="s">
        <v>2887</v>
      </c>
      <c r="AO729" t="s">
        <v>2889</v>
      </c>
      <c r="AP729" t="b">
        <v>0</v>
      </c>
      <c r="AQ729" t="b">
        <v>0</v>
      </c>
      <c r="AR729" t="b">
        <v>0</v>
      </c>
    </row>
    <row r="730" spans="1:45" x14ac:dyDescent="0.3">
      <c r="A730" t="s">
        <v>2369</v>
      </c>
      <c r="C730" t="s">
        <v>2890</v>
      </c>
      <c r="D730" t="s">
        <v>1939</v>
      </c>
      <c r="E730" t="s">
        <v>1940</v>
      </c>
      <c r="F730" t="s">
        <v>388</v>
      </c>
      <c r="G730">
        <v>8.5</v>
      </c>
      <c r="H730">
        <v>9</v>
      </c>
      <c r="I730">
        <v>25.8</v>
      </c>
      <c r="J730">
        <v>7.2</v>
      </c>
      <c r="K730">
        <v>7.1</v>
      </c>
      <c r="L730">
        <v>4.4000000000000004</v>
      </c>
      <c r="M730">
        <v>29</v>
      </c>
      <c r="N730">
        <v>4.9000000000000004</v>
      </c>
      <c r="O730">
        <v>1</v>
      </c>
      <c r="P730" t="s">
        <v>1615</v>
      </c>
      <c r="Q730" t="s">
        <v>621</v>
      </c>
      <c r="R730" t="s">
        <v>2890</v>
      </c>
      <c r="S730" t="s">
        <v>622</v>
      </c>
      <c r="T730">
        <v>14270</v>
      </c>
      <c r="U730">
        <v>23.6</v>
      </c>
      <c r="V730">
        <v>1107</v>
      </c>
      <c r="W730">
        <v>12.2</v>
      </c>
      <c r="X730">
        <v>1392</v>
      </c>
      <c r="Y730">
        <v>27.4</v>
      </c>
      <c r="Z730">
        <v>1511</v>
      </c>
      <c r="AA730">
        <v>18.899999999999999</v>
      </c>
      <c r="AB730">
        <v>1600</v>
      </c>
      <c r="AC730">
        <v>48.5</v>
      </c>
      <c r="AD730">
        <v>853</v>
      </c>
      <c r="AE730" t="s">
        <v>57</v>
      </c>
      <c r="AF730">
        <v>0</v>
      </c>
      <c r="AG730" t="s">
        <v>2891</v>
      </c>
      <c r="AH730">
        <v>660686</v>
      </c>
      <c r="AI730" t="s">
        <v>1940</v>
      </c>
      <c r="AJ730" s="1">
        <v>4550</v>
      </c>
      <c r="AK730">
        <v>11.9</v>
      </c>
      <c r="AL730" s="2">
        <v>0.05</v>
      </c>
      <c r="AM730" s="3">
        <v>2.2819444444444446</v>
      </c>
      <c r="AN730" t="s">
        <v>2890</v>
      </c>
      <c r="AO730" t="s">
        <v>2892</v>
      </c>
      <c r="AP730" t="b">
        <v>0</v>
      </c>
      <c r="AQ730" t="b">
        <v>0</v>
      </c>
      <c r="AR730" t="b">
        <v>0</v>
      </c>
    </row>
    <row r="731" spans="1:45" x14ac:dyDescent="0.3">
      <c r="A731" t="s">
        <v>2369</v>
      </c>
      <c r="B731" t="s">
        <v>2369</v>
      </c>
      <c r="C731" t="s">
        <v>2893</v>
      </c>
      <c r="D731" t="s">
        <v>1939</v>
      </c>
      <c r="E731" t="s">
        <v>1940</v>
      </c>
      <c r="F731" t="s">
        <v>47</v>
      </c>
      <c r="G731">
        <v>9.1</v>
      </c>
      <c r="H731">
        <v>9</v>
      </c>
      <c r="I731">
        <v>38.799999999999997</v>
      </c>
      <c r="J731">
        <v>3.8</v>
      </c>
      <c r="K731">
        <v>2.4</v>
      </c>
      <c r="L731">
        <v>6.5</v>
      </c>
      <c r="M731">
        <v>48.3</v>
      </c>
      <c r="N731">
        <v>15</v>
      </c>
      <c r="O731">
        <v>1</v>
      </c>
      <c r="P731" t="s">
        <v>1615</v>
      </c>
      <c r="Q731" t="s">
        <v>1068</v>
      </c>
      <c r="R731" t="s">
        <v>2893</v>
      </c>
      <c r="S731" t="s">
        <v>1070</v>
      </c>
      <c r="T731">
        <v>18460</v>
      </c>
      <c r="U731">
        <v>27.6</v>
      </c>
      <c r="V731">
        <v>837</v>
      </c>
      <c r="W731">
        <v>12</v>
      </c>
      <c r="X731">
        <v>1410</v>
      </c>
      <c r="Y731">
        <v>22.3</v>
      </c>
      <c r="Z731">
        <v>1629</v>
      </c>
      <c r="AA731">
        <v>28.7</v>
      </c>
      <c r="AB731">
        <v>1215</v>
      </c>
      <c r="AC731">
        <v>32.799999999999997</v>
      </c>
      <c r="AD731">
        <v>1394</v>
      </c>
      <c r="AE731" t="s">
        <v>57</v>
      </c>
      <c r="AF731">
        <v>0</v>
      </c>
      <c r="AG731" t="s">
        <v>2894</v>
      </c>
      <c r="AH731">
        <v>131818</v>
      </c>
      <c r="AI731" t="s">
        <v>1940</v>
      </c>
      <c r="AJ731" s="1">
        <v>10678</v>
      </c>
      <c r="AK731">
        <v>8.5</v>
      </c>
      <c r="AL731" s="2">
        <v>7.0000000000000007E-2</v>
      </c>
      <c r="AM731" t="s">
        <v>234</v>
      </c>
      <c r="AN731" t="s">
        <v>2893</v>
      </c>
      <c r="AO731" t="s">
        <v>2895</v>
      </c>
      <c r="AP731" t="b">
        <v>0</v>
      </c>
      <c r="AQ731" t="b">
        <v>0</v>
      </c>
      <c r="AR731" t="b">
        <v>0</v>
      </c>
    </row>
    <row r="732" spans="1:45" x14ac:dyDescent="0.3">
      <c r="A732" t="s">
        <v>2369</v>
      </c>
      <c r="C732" t="s">
        <v>2896</v>
      </c>
      <c r="D732" t="s">
        <v>1202</v>
      </c>
      <c r="E732" t="s">
        <v>1203</v>
      </c>
      <c r="F732" t="s">
        <v>388</v>
      </c>
      <c r="G732">
        <v>4.4000000000000004</v>
      </c>
      <c r="H732">
        <v>5</v>
      </c>
      <c r="I732">
        <v>2.2000000000000002</v>
      </c>
      <c r="J732">
        <v>9</v>
      </c>
      <c r="K732">
        <v>100</v>
      </c>
      <c r="L732">
        <v>1.7</v>
      </c>
      <c r="M732">
        <v>9</v>
      </c>
      <c r="N732">
        <v>53.7</v>
      </c>
      <c r="O732">
        <v>1</v>
      </c>
      <c r="P732" t="s">
        <v>1615</v>
      </c>
      <c r="Q732" t="s">
        <v>1475</v>
      </c>
      <c r="R732" t="s">
        <v>2896</v>
      </c>
      <c r="T732">
        <v>1000631</v>
      </c>
      <c r="V732">
        <v>0</v>
      </c>
      <c r="X732">
        <v>0</v>
      </c>
      <c r="Z732">
        <v>0</v>
      </c>
      <c r="AB732">
        <v>0</v>
      </c>
      <c r="AD732">
        <v>0</v>
      </c>
      <c r="AE732" t="s">
        <v>57</v>
      </c>
      <c r="AF732">
        <v>0</v>
      </c>
      <c r="AG732" t="s">
        <v>2897</v>
      </c>
      <c r="AH732">
        <v>587844</v>
      </c>
      <c r="AI732" t="s">
        <v>1203</v>
      </c>
      <c r="AJ732" s="1">
        <v>3842</v>
      </c>
      <c r="AK732">
        <v>28.5</v>
      </c>
      <c r="AL732" s="2">
        <v>0.02</v>
      </c>
      <c r="AM732" s="3">
        <v>3.3472222222222223</v>
      </c>
      <c r="AN732" t="s">
        <v>2896</v>
      </c>
      <c r="AO732" t="s">
        <v>2898</v>
      </c>
      <c r="AP732" t="b">
        <v>0</v>
      </c>
      <c r="AQ732" t="b">
        <v>0</v>
      </c>
      <c r="AR732" t="b">
        <v>0</v>
      </c>
    </row>
    <row r="733" spans="1:45" x14ac:dyDescent="0.3">
      <c r="A733" t="s">
        <v>2369</v>
      </c>
      <c r="B733" t="s">
        <v>2369</v>
      </c>
      <c r="C733" t="s">
        <v>2899</v>
      </c>
      <c r="D733" t="s">
        <v>166</v>
      </c>
      <c r="E733" t="s">
        <v>167</v>
      </c>
      <c r="F733" t="s">
        <v>47</v>
      </c>
      <c r="G733">
        <v>5.6</v>
      </c>
      <c r="H733">
        <v>4.7</v>
      </c>
      <c r="I733">
        <v>55.2</v>
      </c>
      <c r="J733">
        <v>5.7</v>
      </c>
      <c r="K733">
        <v>5.5</v>
      </c>
      <c r="L733">
        <v>3.9</v>
      </c>
      <c r="M733">
        <v>11.7</v>
      </c>
      <c r="N733">
        <v>1.8</v>
      </c>
      <c r="O733">
        <v>6.4</v>
      </c>
      <c r="P733" t="s">
        <v>1615</v>
      </c>
      <c r="Q733" t="s">
        <v>621</v>
      </c>
      <c r="R733" t="s">
        <v>2899</v>
      </c>
      <c r="S733" t="s">
        <v>622</v>
      </c>
      <c r="T733">
        <v>14290</v>
      </c>
      <c r="U733">
        <v>19.8</v>
      </c>
      <c r="V733">
        <v>1394</v>
      </c>
      <c r="W733">
        <v>25.4</v>
      </c>
      <c r="X733">
        <v>592</v>
      </c>
      <c r="Y733">
        <v>33</v>
      </c>
      <c r="Z733">
        <v>1376</v>
      </c>
      <c r="AA733">
        <v>48.2</v>
      </c>
      <c r="AB733">
        <v>835</v>
      </c>
      <c r="AC733">
        <v>35</v>
      </c>
      <c r="AD733">
        <v>1320</v>
      </c>
      <c r="AE733" t="s">
        <v>57</v>
      </c>
      <c r="AF733">
        <v>0</v>
      </c>
      <c r="AG733" t="s">
        <v>2900</v>
      </c>
      <c r="AH733">
        <v>622974</v>
      </c>
      <c r="AI733" t="s">
        <v>167</v>
      </c>
      <c r="AJ733" s="1">
        <v>10329</v>
      </c>
      <c r="AK733">
        <v>21.4</v>
      </c>
      <c r="AL733" s="2">
        <v>0.06</v>
      </c>
      <c r="AM733" s="3">
        <v>2.1590277777777778</v>
      </c>
      <c r="AN733" t="s">
        <v>2899</v>
      </c>
      <c r="AO733" t="s">
        <v>2901</v>
      </c>
      <c r="AP733" t="b">
        <v>0</v>
      </c>
      <c r="AQ733" t="b">
        <v>0</v>
      </c>
      <c r="AR733" t="b">
        <v>0</v>
      </c>
    </row>
    <row r="734" spans="1:45" x14ac:dyDescent="0.3">
      <c r="A734" t="s">
        <v>2369</v>
      </c>
      <c r="B734" t="s">
        <v>1621</v>
      </c>
      <c r="C734" t="s">
        <v>2902</v>
      </c>
      <c r="D734" t="s">
        <v>758</v>
      </c>
      <c r="E734" t="s">
        <v>759</v>
      </c>
      <c r="F734" t="s">
        <v>77</v>
      </c>
      <c r="G734">
        <v>8.6</v>
      </c>
      <c r="H734">
        <v>16</v>
      </c>
      <c r="I734">
        <v>13.4</v>
      </c>
      <c r="J734">
        <v>4</v>
      </c>
      <c r="K734">
        <v>1.5</v>
      </c>
      <c r="L734">
        <v>1.6</v>
      </c>
      <c r="M734">
        <v>56.2</v>
      </c>
      <c r="N734">
        <v>1.8</v>
      </c>
      <c r="O734">
        <v>12.7</v>
      </c>
      <c r="P734" t="s">
        <v>1615</v>
      </c>
      <c r="Q734" t="s">
        <v>621</v>
      </c>
      <c r="R734" t="s">
        <v>2903</v>
      </c>
      <c r="S734" t="s">
        <v>622</v>
      </c>
      <c r="T734">
        <v>14390</v>
      </c>
      <c r="U734">
        <v>21.6</v>
      </c>
      <c r="V734">
        <v>1260</v>
      </c>
      <c r="W734">
        <v>11.5</v>
      </c>
      <c r="X734">
        <v>1471</v>
      </c>
      <c r="Y734">
        <v>51.6</v>
      </c>
      <c r="Z734">
        <v>976</v>
      </c>
      <c r="AA734">
        <v>21.9</v>
      </c>
      <c r="AB734">
        <v>1445</v>
      </c>
      <c r="AC734">
        <v>26.8</v>
      </c>
      <c r="AD734">
        <v>1626</v>
      </c>
      <c r="AE734" t="s">
        <v>57</v>
      </c>
      <c r="AF734">
        <v>0</v>
      </c>
      <c r="AG734" t="s">
        <v>2904</v>
      </c>
      <c r="AH734">
        <v>131575</v>
      </c>
      <c r="AI734" t="s">
        <v>759</v>
      </c>
      <c r="AJ734" s="1">
        <v>49683</v>
      </c>
      <c r="AK734">
        <v>15.5</v>
      </c>
      <c r="AL734" s="2">
        <v>0.02</v>
      </c>
      <c r="AM734" t="s">
        <v>587</v>
      </c>
      <c r="AN734" t="s">
        <v>2905</v>
      </c>
      <c r="AO734" t="s">
        <v>2906</v>
      </c>
      <c r="AP734" t="b">
        <v>0</v>
      </c>
      <c r="AQ734" t="b">
        <v>0</v>
      </c>
      <c r="AR734" t="b">
        <v>0</v>
      </c>
    </row>
    <row r="735" spans="1:45" x14ac:dyDescent="0.3">
      <c r="A735" t="s">
        <v>2369</v>
      </c>
      <c r="B735" t="s">
        <v>2266</v>
      </c>
      <c r="C735" t="s">
        <v>2907</v>
      </c>
      <c r="D735" t="s">
        <v>2028</v>
      </c>
      <c r="E735" t="s">
        <v>2029</v>
      </c>
      <c r="F735" t="s">
        <v>47</v>
      </c>
      <c r="G735">
        <v>5.8</v>
      </c>
      <c r="H735">
        <v>5.3</v>
      </c>
      <c r="I735">
        <v>35.1</v>
      </c>
      <c r="J735">
        <v>2.5</v>
      </c>
      <c r="K735">
        <v>3.1</v>
      </c>
      <c r="L735">
        <v>40.5</v>
      </c>
      <c r="M735">
        <v>28.9</v>
      </c>
      <c r="N735">
        <v>3.8</v>
      </c>
      <c r="O735">
        <v>7.5</v>
      </c>
      <c r="P735" t="s">
        <v>1615</v>
      </c>
      <c r="Q735" t="s">
        <v>372</v>
      </c>
      <c r="R735" t="s">
        <v>2907</v>
      </c>
      <c r="S735" t="s">
        <v>374</v>
      </c>
      <c r="T735">
        <v>4840</v>
      </c>
      <c r="U735">
        <v>24.3</v>
      </c>
      <c r="V735">
        <v>1059</v>
      </c>
      <c r="W735">
        <v>13.5</v>
      </c>
      <c r="X735">
        <v>1258</v>
      </c>
      <c r="Y735">
        <v>68.900000000000006</v>
      </c>
      <c r="Z735">
        <v>583</v>
      </c>
      <c r="AA735">
        <v>20</v>
      </c>
      <c r="AB735">
        <v>1533</v>
      </c>
      <c r="AC735">
        <v>63.2</v>
      </c>
      <c r="AD735">
        <v>513</v>
      </c>
      <c r="AE735" t="s">
        <v>57</v>
      </c>
      <c r="AF735">
        <v>0</v>
      </c>
      <c r="AG735" t="s">
        <v>2908</v>
      </c>
      <c r="AH735">
        <v>131425</v>
      </c>
      <c r="AI735" t="s">
        <v>2029</v>
      </c>
      <c r="AJ735" s="1">
        <v>8449</v>
      </c>
      <c r="AK735">
        <v>12</v>
      </c>
      <c r="AL735" s="2">
        <v>0.24</v>
      </c>
      <c r="AM735" s="3">
        <v>1.9131944444444444</v>
      </c>
      <c r="AN735" t="s">
        <v>2907</v>
      </c>
      <c r="AO735" t="s">
        <v>2909</v>
      </c>
      <c r="AP735" t="b">
        <v>0</v>
      </c>
      <c r="AQ735" t="b">
        <v>0</v>
      </c>
      <c r="AR735" t="b">
        <v>0</v>
      </c>
    </row>
    <row r="736" spans="1:45" x14ac:dyDescent="0.3">
      <c r="A736" t="s">
        <v>2369</v>
      </c>
      <c r="B736" t="s">
        <v>2369</v>
      </c>
      <c r="C736" t="s">
        <v>2910</v>
      </c>
      <c r="D736" t="s">
        <v>1678</v>
      </c>
      <c r="E736" t="s">
        <v>1679</v>
      </c>
      <c r="F736" t="s">
        <v>47</v>
      </c>
      <c r="G736">
        <v>9.1999999999999993</v>
      </c>
      <c r="H736">
        <v>31.2</v>
      </c>
      <c r="I736">
        <v>25</v>
      </c>
      <c r="J736">
        <v>1.6</v>
      </c>
      <c r="K736">
        <v>3.4</v>
      </c>
      <c r="L736">
        <v>6.7</v>
      </c>
      <c r="M736">
        <v>7.4</v>
      </c>
      <c r="N736">
        <v>3.9</v>
      </c>
      <c r="O736">
        <v>3.5</v>
      </c>
      <c r="P736" t="s">
        <v>1615</v>
      </c>
      <c r="Q736" t="s">
        <v>1068</v>
      </c>
      <c r="R736" t="s">
        <v>2910</v>
      </c>
      <c r="S736" t="s">
        <v>1070</v>
      </c>
      <c r="T736">
        <v>18620</v>
      </c>
      <c r="U736">
        <v>19.100000000000001</v>
      </c>
      <c r="V736">
        <v>1460</v>
      </c>
      <c r="W736">
        <v>11.7</v>
      </c>
      <c r="X736">
        <v>1446</v>
      </c>
      <c r="Y736">
        <v>23.2</v>
      </c>
      <c r="Z736">
        <v>1605</v>
      </c>
      <c r="AA736">
        <v>17.399999999999999</v>
      </c>
      <c r="AB736">
        <v>1717</v>
      </c>
      <c r="AC736">
        <v>29.6</v>
      </c>
      <c r="AD736">
        <v>1514</v>
      </c>
      <c r="AE736" t="s">
        <v>57</v>
      </c>
      <c r="AF736">
        <v>0</v>
      </c>
      <c r="AG736" t="s">
        <v>2911</v>
      </c>
      <c r="AH736">
        <v>662104</v>
      </c>
      <c r="AI736" t="s">
        <v>1679</v>
      </c>
      <c r="AJ736" s="1">
        <v>9573</v>
      </c>
      <c r="AK736">
        <v>14.8</v>
      </c>
      <c r="AL736" s="2">
        <v>0.05</v>
      </c>
      <c r="AM736" s="3">
        <v>1.9131944444444444</v>
      </c>
      <c r="AN736" t="s">
        <v>2910</v>
      </c>
      <c r="AO736" t="s">
        <v>2912</v>
      </c>
      <c r="AP736" t="b">
        <v>0</v>
      </c>
      <c r="AQ736" t="b">
        <v>0</v>
      </c>
      <c r="AR736" t="b">
        <v>0</v>
      </c>
    </row>
    <row r="737" spans="1:45" x14ac:dyDescent="0.3">
      <c r="A737" t="s">
        <v>2369</v>
      </c>
      <c r="B737" t="s">
        <v>2369</v>
      </c>
      <c r="C737" t="s">
        <v>2913</v>
      </c>
      <c r="D737" t="s">
        <v>402</v>
      </c>
      <c r="E737" t="s">
        <v>403</v>
      </c>
      <c r="F737" t="s">
        <v>77</v>
      </c>
      <c r="G737">
        <v>6.1</v>
      </c>
      <c r="H737">
        <v>2.1</v>
      </c>
      <c r="I737">
        <v>4.5</v>
      </c>
      <c r="J737">
        <v>3.6</v>
      </c>
      <c r="K737">
        <v>94.4</v>
      </c>
      <c r="L737">
        <v>2</v>
      </c>
      <c r="M737">
        <v>38.6</v>
      </c>
      <c r="N737">
        <v>2</v>
      </c>
      <c r="O737">
        <v>1.1000000000000001</v>
      </c>
      <c r="P737" t="s">
        <v>1615</v>
      </c>
      <c r="Q737" t="s">
        <v>733</v>
      </c>
      <c r="R737" t="s">
        <v>2913</v>
      </c>
      <c r="S737" t="s">
        <v>735</v>
      </c>
      <c r="T737">
        <v>11740</v>
      </c>
      <c r="U737">
        <v>14.4</v>
      </c>
      <c r="V737">
        <v>1783</v>
      </c>
      <c r="W737">
        <v>10.199999999999999</v>
      </c>
      <c r="X737">
        <v>1628</v>
      </c>
      <c r="Y737">
        <v>54.2</v>
      </c>
      <c r="Z737">
        <v>910</v>
      </c>
      <c r="AA737">
        <v>18.5</v>
      </c>
      <c r="AB737">
        <v>1628</v>
      </c>
      <c r="AC737">
        <v>76</v>
      </c>
      <c r="AD737">
        <v>314</v>
      </c>
      <c r="AE737" t="s">
        <v>57</v>
      </c>
      <c r="AF737">
        <v>0</v>
      </c>
      <c r="AG737" t="s">
        <v>2914</v>
      </c>
      <c r="AH737">
        <v>625053</v>
      </c>
      <c r="AI737" t="s">
        <v>403</v>
      </c>
      <c r="AJ737" s="1">
        <v>61471</v>
      </c>
      <c r="AK737">
        <v>24.4</v>
      </c>
      <c r="AL737" s="2">
        <v>0.02</v>
      </c>
      <c r="AM737" s="3">
        <v>2.5687500000000001</v>
      </c>
      <c r="AN737" t="s">
        <v>2913</v>
      </c>
      <c r="AO737" t="s">
        <v>2915</v>
      </c>
      <c r="AP737" t="b">
        <v>0</v>
      </c>
      <c r="AQ737" t="b">
        <v>0</v>
      </c>
      <c r="AR737" t="b">
        <v>0</v>
      </c>
    </row>
    <row r="738" spans="1:45" x14ac:dyDescent="0.3">
      <c r="A738" t="s">
        <v>2369</v>
      </c>
      <c r="B738" t="s">
        <v>2369</v>
      </c>
      <c r="C738" t="s">
        <v>2916</v>
      </c>
      <c r="D738" t="s">
        <v>1184</v>
      </c>
      <c r="E738" t="s">
        <v>1185</v>
      </c>
      <c r="F738" t="s">
        <v>47</v>
      </c>
      <c r="G738">
        <v>9</v>
      </c>
      <c r="H738">
        <v>4.3</v>
      </c>
      <c r="I738">
        <v>7.9</v>
      </c>
      <c r="J738">
        <v>5.5</v>
      </c>
      <c r="K738">
        <v>43.8</v>
      </c>
      <c r="L738">
        <v>19.399999999999999</v>
      </c>
      <c r="M738">
        <v>49.4</v>
      </c>
      <c r="N738">
        <v>31</v>
      </c>
      <c r="O738">
        <v>1</v>
      </c>
      <c r="P738" t="s">
        <v>1615</v>
      </c>
      <c r="Q738" t="s">
        <v>733</v>
      </c>
      <c r="R738" t="s">
        <v>2917</v>
      </c>
      <c r="S738" t="s">
        <v>735</v>
      </c>
      <c r="T738">
        <v>11750</v>
      </c>
      <c r="U738">
        <v>24.8</v>
      </c>
      <c r="V738">
        <v>1022</v>
      </c>
      <c r="W738">
        <v>23</v>
      </c>
      <c r="X738">
        <v>688</v>
      </c>
      <c r="Y738">
        <v>42.6</v>
      </c>
      <c r="Z738">
        <v>1175</v>
      </c>
      <c r="AA738">
        <v>22.1</v>
      </c>
      <c r="AB738">
        <v>1436</v>
      </c>
      <c r="AC738">
        <v>59.3</v>
      </c>
      <c r="AD738">
        <v>598</v>
      </c>
      <c r="AE738" t="s">
        <v>57</v>
      </c>
      <c r="AF738">
        <v>0</v>
      </c>
      <c r="AG738" t="s">
        <v>2918</v>
      </c>
      <c r="AH738">
        <v>660746</v>
      </c>
      <c r="AI738" t="s">
        <v>1185</v>
      </c>
      <c r="AJ738" s="1">
        <v>4509</v>
      </c>
      <c r="AK738">
        <v>9.9</v>
      </c>
      <c r="AL738" s="2">
        <v>0.14000000000000001</v>
      </c>
      <c r="AM738" s="3">
        <v>2.9784722222222224</v>
      </c>
      <c r="AN738" t="s">
        <v>2917</v>
      </c>
      <c r="AO738" t="s">
        <v>2919</v>
      </c>
      <c r="AP738" t="b">
        <v>0</v>
      </c>
      <c r="AQ738" t="b">
        <v>0</v>
      </c>
      <c r="AR738" t="b">
        <v>0</v>
      </c>
    </row>
    <row r="739" spans="1:45" x14ac:dyDescent="0.3">
      <c r="A739" t="s">
        <v>2369</v>
      </c>
      <c r="B739" t="s">
        <v>2369</v>
      </c>
      <c r="C739" t="s">
        <v>2920</v>
      </c>
      <c r="D739" t="s">
        <v>1939</v>
      </c>
      <c r="E739" t="s">
        <v>1940</v>
      </c>
      <c r="F739" t="s">
        <v>47</v>
      </c>
      <c r="G739">
        <v>7.5</v>
      </c>
      <c r="H739">
        <v>4.4000000000000004</v>
      </c>
      <c r="I739">
        <v>19.8</v>
      </c>
      <c r="J739">
        <v>5.5</v>
      </c>
      <c r="K739">
        <v>1.5</v>
      </c>
      <c r="L739">
        <v>56.2</v>
      </c>
      <c r="M739">
        <v>37.200000000000003</v>
      </c>
      <c r="N739">
        <v>4.5</v>
      </c>
      <c r="O739">
        <v>1</v>
      </c>
      <c r="P739" t="s">
        <v>1615</v>
      </c>
      <c r="Q739" t="s">
        <v>621</v>
      </c>
      <c r="R739" t="s">
        <v>2921</v>
      </c>
      <c r="S739" t="s">
        <v>622</v>
      </c>
      <c r="T739">
        <v>14530</v>
      </c>
      <c r="U739">
        <v>26.5</v>
      </c>
      <c r="V739">
        <v>913</v>
      </c>
      <c r="W739">
        <v>17.100000000000001</v>
      </c>
      <c r="X739">
        <v>967</v>
      </c>
      <c r="Y739">
        <v>30.2</v>
      </c>
      <c r="Z739">
        <v>1439</v>
      </c>
      <c r="AA739">
        <v>30</v>
      </c>
      <c r="AB739">
        <v>1184</v>
      </c>
      <c r="AC739">
        <v>44.8</v>
      </c>
      <c r="AD739">
        <v>965</v>
      </c>
      <c r="AE739" t="s">
        <v>57</v>
      </c>
      <c r="AF739">
        <v>0</v>
      </c>
      <c r="AG739" t="s">
        <v>2922</v>
      </c>
      <c r="AH739">
        <v>623922</v>
      </c>
      <c r="AI739" t="s">
        <v>1940</v>
      </c>
      <c r="AJ739" s="1">
        <v>9573</v>
      </c>
      <c r="AK739">
        <v>13.1</v>
      </c>
      <c r="AL739" s="2">
        <v>0.23</v>
      </c>
      <c r="AM739" t="s">
        <v>761</v>
      </c>
      <c r="AN739" t="s">
        <v>2921</v>
      </c>
      <c r="AO739" t="s">
        <v>2923</v>
      </c>
      <c r="AP739" t="b">
        <v>0</v>
      </c>
      <c r="AQ739" t="b">
        <v>0</v>
      </c>
      <c r="AR739" t="b">
        <v>0</v>
      </c>
    </row>
    <row r="740" spans="1:45" x14ac:dyDescent="0.3">
      <c r="A740" t="s">
        <v>2369</v>
      </c>
      <c r="B740" t="s">
        <v>2266</v>
      </c>
      <c r="C740" t="s">
        <v>2924</v>
      </c>
      <c r="D740" t="s">
        <v>2925</v>
      </c>
      <c r="E740" t="s">
        <v>2926</v>
      </c>
      <c r="F740" t="s">
        <v>47</v>
      </c>
      <c r="G740">
        <v>8.4</v>
      </c>
      <c r="H740">
        <v>21</v>
      </c>
      <c r="I740">
        <v>21.4</v>
      </c>
      <c r="J740">
        <v>1.4</v>
      </c>
      <c r="K740">
        <v>7</v>
      </c>
      <c r="L740">
        <v>1.9</v>
      </c>
      <c r="M740">
        <v>12.4</v>
      </c>
      <c r="N740">
        <v>8.8000000000000007</v>
      </c>
      <c r="O740">
        <v>1</v>
      </c>
      <c r="P740" t="s">
        <v>1615</v>
      </c>
      <c r="Q740" t="s">
        <v>1475</v>
      </c>
      <c r="R740" t="s">
        <v>2927</v>
      </c>
      <c r="T740">
        <v>1000683</v>
      </c>
      <c r="V740">
        <v>0</v>
      </c>
      <c r="X740">
        <v>0</v>
      </c>
      <c r="Z740">
        <v>0</v>
      </c>
      <c r="AB740">
        <v>0</v>
      </c>
      <c r="AD740">
        <v>0</v>
      </c>
      <c r="AE740" t="s">
        <v>57</v>
      </c>
      <c r="AF740">
        <v>0</v>
      </c>
      <c r="AG740" t="s">
        <v>2928</v>
      </c>
      <c r="AH740">
        <v>701258</v>
      </c>
      <c r="AI740" t="s">
        <v>2926</v>
      </c>
      <c r="AJ740" s="1">
        <v>11125</v>
      </c>
      <c r="AK740">
        <v>14.5</v>
      </c>
      <c r="AL740" s="2">
        <v>0.02</v>
      </c>
      <c r="AM740" t="s">
        <v>1244</v>
      </c>
      <c r="AN740" t="s">
        <v>2927</v>
      </c>
      <c r="AO740" t="s">
        <v>2929</v>
      </c>
      <c r="AP740" t="b">
        <v>0</v>
      </c>
      <c r="AQ740" t="b">
        <v>0</v>
      </c>
      <c r="AR740" t="b">
        <v>0</v>
      </c>
    </row>
    <row r="741" spans="1:45" x14ac:dyDescent="0.3">
      <c r="A741" t="s">
        <v>2369</v>
      </c>
      <c r="B741" t="s">
        <v>2369</v>
      </c>
      <c r="C741" t="s">
        <v>2930</v>
      </c>
      <c r="D741" t="s">
        <v>878</v>
      </c>
      <c r="E741" t="s">
        <v>879</v>
      </c>
      <c r="F741" t="s">
        <v>56</v>
      </c>
      <c r="G741">
        <v>8.6999999999999993</v>
      </c>
      <c r="H741">
        <v>12.1</v>
      </c>
      <c r="I741">
        <v>21.3</v>
      </c>
      <c r="J741">
        <v>1.5</v>
      </c>
      <c r="K741">
        <v>35.5</v>
      </c>
      <c r="L741">
        <v>6.5</v>
      </c>
      <c r="M741">
        <v>10</v>
      </c>
      <c r="N741">
        <v>5.7</v>
      </c>
      <c r="O741">
        <v>1.5</v>
      </c>
      <c r="P741" t="s">
        <v>1615</v>
      </c>
      <c r="Q741" t="s">
        <v>1068</v>
      </c>
      <c r="R741" t="s">
        <v>2930</v>
      </c>
      <c r="S741" t="s">
        <v>1070</v>
      </c>
      <c r="T741">
        <v>18710</v>
      </c>
      <c r="U741">
        <v>15</v>
      </c>
      <c r="V741">
        <v>1754</v>
      </c>
      <c r="W741">
        <v>11</v>
      </c>
      <c r="X741">
        <v>1530</v>
      </c>
      <c r="Y741">
        <v>28.5</v>
      </c>
      <c r="Z741">
        <v>1485</v>
      </c>
      <c r="AA741">
        <v>21.3</v>
      </c>
      <c r="AB741">
        <v>1468</v>
      </c>
      <c r="AC741">
        <v>38.1</v>
      </c>
      <c r="AD741">
        <v>1189</v>
      </c>
      <c r="AE741" t="s">
        <v>57</v>
      </c>
      <c r="AF741">
        <v>0</v>
      </c>
      <c r="AG741" t="s">
        <v>2931</v>
      </c>
      <c r="AH741">
        <v>690040</v>
      </c>
      <c r="AI741" t="s">
        <v>879</v>
      </c>
      <c r="AJ741" s="1">
        <v>18956</v>
      </c>
      <c r="AK741">
        <v>16.8</v>
      </c>
      <c r="AL741" s="2">
        <v>0.03</v>
      </c>
      <c r="AM741" s="3">
        <v>1.7902777777777779</v>
      </c>
      <c r="AN741" t="s">
        <v>2930</v>
      </c>
      <c r="AO741" t="s">
        <v>2932</v>
      </c>
      <c r="AP741" t="b">
        <v>0</v>
      </c>
      <c r="AQ741" t="b">
        <v>0</v>
      </c>
      <c r="AR741" t="b">
        <v>0</v>
      </c>
    </row>
    <row r="742" spans="1:45" x14ac:dyDescent="0.3">
      <c r="A742" t="s">
        <v>2369</v>
      </c>
      <c r="B742" t="s">
        <v>1621</v>
      </c>
      <c r="C742" t="s">
        <v>2933</v>
      </c>
      <c r="D742" t="s">
        <v>1214</v>
      </c>
      <c r="E742" t="s">
        <v>1215</v>
      </c>
      <c r="F742" t="s">
        <v>56</v>
      </c>
      <c r="G742">
        <v>9.4</v>
      </c>
      <c r="H742">
        <v>14.6</v>
      </c>
      <c r="I742">
        <v>4.2</v>
      </c>
      <c r="J742">
        <v>3.6</v>
      </c>
      <c r="K742">
        <v>7.2</v>
      </c>
      <c r="L742">
        <v>14.6</v>
      </c>
      <c r="M742">
        <v>39.1</v>
      </c>
      <c r="N742">
        <v>3.6</v>
      </c>
      <c r="O742">
        <v>2.4</v>
      </c>
      <c r="P742" t="s">
        <v>1615</v>
      </c>
      <c r="Q742" t="s">
        <v>621</v>
      </c>
      <c r="R742" t="s">
        <v>2933</v>
      </c>
      <c r="S742" t="s">
        <v>622</v>
      </c>
      <c r="T742">
        <v>12960</v>
      </c>
      <c r="U742">
        <v>13.2</v>
      </c>
      <c r="V742">
        <v>1835</v>
      </c>
      <c r="W742">
        <v>14.2</v>
      </c>
      <c r="X742">
        <v>1188</v>
      </c>
      <c r="Y742">
        <v>40.6</v>
      </c>
      <c r="Z742">
        <v>1212</v>
      </c>
      <c r="AA742">
        <v>25.4</v>
      </c>
      <c r="AB742">
        <v>1320</v>
      </c>
      <c r="AC742">
        <v>53.1</v>
      </c>
      <c r="AD742">
        <v>707</v>
      </c>
      <c r="AE742" t="s">
        <v>57</v>
      </c>
      <c r="AF742">
        <v>11</v>
      </c>
      <c r="AG742" t="s">
        <v>2934</v>
      </c>
      <c r="AH742">
        <v>587787</v>
      </c>
      <c r="AI742" t="s">
        <v>1215</v>
      </c>
      <c r="AJ742" s="1">
        <v>17665</v>
      </c>
      <c r="AK742">
        <v>23</v>
      </c>
      <c r="AL742" s="2">
        <v>7.0000000000000007E-2</v>
      </c>
      <c r="AM742" s="3">
        <v>2.6506944444444445</v>
      </c>
      <c r="AN742" t="s">
        <v>2933</v>
      </c>
      <c r="AO742" t="s">
        <v>2935</v>
      </c>
      <c r="AP742" t="b">
        <v>0</v>
      </c>
      <c r="AQ742" t="b">
        <v>0</v>
      </c>
      <c r="AR742" t="b">
        <v>0</v>
      </c>
    </row>
    <row r="743" spans="1:45" x14ac:dyDescent="0.3">
      <c r="A743" t="s">
        <v>2369</v>
      </c>
      <c r="B743" t="s">
        <v>2369</v>
      </c>
      <c r="C743" t="s">
        <v>2936</v>
      </c>
      <c r="D743" t="s">
        <v>54</v>
      </c>
      <c r="E743" t="s">
        <v>55</v>
      </c>
      <c r="F743" t="s">
        <v>47</v>
      </c>
      <c r="G743">
        <v>3.2</v>
      </c>
      <c r="H743">
        <v>2.7</v>
      </c>
      <c r="I743">
        <v>5.2</v>
      </c>
      <c r="J743">
        <v>2.6</v>
      </c>
      <c r="K743">
        <v>36.299999999999997</v>
      </c>
      <c r="L743">
        <v>96.6</v>
      </c>
      <c r="M743">
        <v>8.4</v>
      </c>
      <c r="N743">
        <v>4.0999999999999996</v>
      </c>
      <c r="O743">
        <v>1</v>
      </c>
      <c r="P743" t="s">
        <v>1615</v>
      </c>
      <c r="Q743" t="s">
        <v>1475</v>
      </c>
      <c r="R743" t="s">
        <v>2937</v>
      </c>
      <c r="T743">
        <v>1000513</v>
      </c>
      <c r="V743">
        <v>0</v>
      </c>
      <c r="X743">
        <v>0</v>
      </c>
      <c r="Z743">
        <v>0</v>
      </c>
      <c r="AB743">
        <v>0</v>
      </c>
      <c r="AD743">
        <v>0</v>
      </c>
      <c r="AE743" t="s">
        <v>57</v>
      </c>
      <c r="AF743">
        <v>0</v>
      </c>
      <c r="AG743" t="s">
        <v>2938</v>
      </c>
      <c r="AH743">
        <v>131824</v>
      </c>
      <c r="AI743" t="s">
        <v>55</v>
      </c>
      <c r="AJ743" s="1">
        <v>10145</v>
      </c>
      <c r="AK743">
        <v>17.600000000000001</v>
      </c>
      <c r="AL743" s="2">
        <v>0.32</v>
      </c>
      <c r="AM743" s="3">
        <v>2.6916666666666669</v>
      </c>
      <c r="AN743" t="s">
        <v>2937</v>
      </c>
      <c r="AO743" t="s">
        <v>2939</v>
      </c>
      <c r="AP743" t="b">
        <v>0</v>
      </c>
      <c r="AQ743" t="b">
        <v>0</v>
      </c>
      <c r="AR743" t="b">
        <v>0</v>
      </c>
      <c r="AS743" t="s">
        <v>2940</v>
      </c>
    </row>
    <row r="744" spans="1:45" x14ac:dyDescent="0.3">
      <c r="A744" t="s">
        <v>2369</v>
      </c>
      <c r="B744" t="s">
        <v>2369</v>
      </c>
      <c r="C744" t="s">
        <v>2941</v>
      </c>
      <c r="D744" t="s">
        <v>45</v>
      </c>
      <c r="E744" t="s">
        <v>46</v>
      </c>
      <c r="F744" t="s">
        <v>77</v>
      </c>
      <c r="G744">
        <v>4.5999999999999996</v>
      </c>
      <c r="H744">
        <v>5.0999999999999996</v>
      </c>
      <c r="I744">
        <v>4.5</v>
      </c>
      <c r="J744">
        <v>9.8000000000000007</v>
      </c>
      <c r="K744">
        <v>1.9</v>
      </c>
      <c r="L744">
        <v>29.6</v>
      </c>
      <c r="M744">
        <v>61.6</v>
      </c>
      <c r="N744">
        <v>8.1</v>
      </c>
      <c r="O744">
        <v>40.4</v>
      </c>
      <c r="P744" t="s">
        <v>1615</v>
      </c>
      <c r="Q744" t="s">
        <v>696</v>
      </c>
      <c r="R744" t="s">
        <v>2942</v>
      </c>
      <c r="S744" t="s">
        <v>697</v>
      </c>
      <c r="T744">
        <v>7780</v>
      </c>
      <c r="U744">
        <v>25.2</v>
      </c>
      <c r="V744">
        <v>989</v>
      </c>
      <c r="W744">
        <v>20.5</v>
      </c>
      <c r="X744">
        <v>791</v>
      </c>
      <c r="Y744">
        <v>65.5</v>
      </c>
      <c r="Z744">
        <v>666</v>
      </c>
      <c r="AA744">
        <v>62.9</v>
      </c>
      <c r="AB744">
        <v>594</v>
      </c>
      <c r="AC744">
        <v>55</v>
      </c>
      <c r="AD744">
        <v>675</v>
      </c>
      <c r="AE744" t="s">
        <v>208</v>
      </c>
      <c r="AF744">
        <v>0</v>
      </c>
      <c r="AG744" t="s">
        <v>2943</v>
      </c>
      <c r="AH744">
        <v>131285</v>
      </c>
      <c r="AI744" t="s">
        <v>46</v>
      </c>
      <c r="AJ744" s="1">
        <v>40412</v>
      </c>
      <c r="AK744">
        <v>31.9</v>
      </c>
      <c r="AL744" s="2">
        <v>0.11</v>
      </c>
      <c r="AM744" s="3">
        <v>2.6506944444444445</v>
      </c>
      <c r="AN744" t="s">
        <v>2942</v>
      </c>
      <c r="AO744" t="s">
        <v>2944</v>
      </c>
      <c r="AP744" t="b">
        <v>0</v>
      </c>
      <c r="AQ744" t="b">
        <v>0</v>
      </c>
      <c r="AR744" t="b">
        <v>0</v>
      </c>
      <c r="AS744" t="s">
        <v>2945</v>
      </c>
    </row>
    <row r="745" spans="1:45" x14ac:dyDescent="0.3">
      <c r="A745" t="s">
        <v>2369</v>
      </c>
      <c r="B745" t="s">
        <v>2369</v>
      </c>
      <c r="C745" t="s">
        <v>2946</v>
      </c>
      <c r="D745" t="s">
        <v>175</v>
      </c>
      <c r="E745" t="s">
        <v>176</v>
      </c>
      <c r="F745" t="s">
        <v>47</v>
      </c>
      <c r="G745">
        <v>4.4000000000000004</v>
      </c>
      <c r="H745">
        <v>1.8</v>
      </c>
      <c r="I745">
        <v>64</v>
      </c>
      <c r="J745">
        <v>5.6</v>
      </c>
      <c r="K745">
        <v>2.5</v>
      </c>
      <c r="L745">
        <v>2.2000000000000002</v>
      </c>
      <c r="M745">
        <v>18.399999999999999</v>
      </c>
      <c r="N745">
        <v>4.0999999999999996</v>
      </c>
      <c r="O745">
        <v>1</v>
      </c>
      <c r="P745" t="s">
        <v>1615</v>
      </c>
      <c r="Q745" t="s">
        <v>621</v>
      </c>
      <c r="R745" t="s">
        <v>2946</v>
      </c>
      <c r="S745" t="s">
        <v>622</v>
      </c>
      <c r="T745">
        <v>14630</v>
      </c>
      <c r="U745">
        <v>29.2</v>
      </c>
      <c r="V745">
        <v>737</v>
      </c>
      <c r="W745">
        <v>24</v>
      </c>
      <c r="X745">
        <v>653</v>
      </c>
      <c r="Y745">
        <v>24.4</v>
      </c>
      <c r="Z745">
        <v>1575</v>
      </c>
      <c r="AA745">
        <v>81.599999999999994</v>
      </c>
      <c r="AB745">
        <v>243</v>
      </c>
      <c r="AC745">
        <v>26.4</v>
      </c>
      <c r="AD745">
        <v>1649</v>
      </c>
      <c r="AE745" t="s">
        <v>57</v>
      </c>
      <c r="AF745">
        <v>0</v>
      </c>
      <c r="AG745" t="s">
        <v>2947</v>
      </c>
      <c r="AH745">
        <v>131742</v>
      </c>
      <c r="AI745" t="s">
        <v>176</v>
      </c>
      <c r="AJ745" s="1">
        <v>7482</v>
      </c>
      <c r="AK745">
        <v>9.6999999999999993</v>
      </c>
      <c r="AL745" s="2">
        <v>0.02</v>
      </c>
      <c r="AM745" t="s">
        <v>445</v>
      </c>
      <c r="AN745" t="s">
        <v>2946</v>
      </c>
      <c r="AO745" t="s">
        <v>2948</v>
      </c>
      <c r="AP745" t="b">
        <v>0</v>
      </c>
      <c r="AQ745" t="b">
        <v>0</v>
      </c>
      <c r="AR745" t="b">
        <v>0</v>
      </c>
    </row>
    <row r="746" spans="1:45" x14ac:dyDescent="0.3">
      <c r="A746" t="s">
        <v>2369</v>
      </c>
      <c r="B746" t="s">
        <v>2266</v>
      </c>
      <c r="C746" t="s">
        <v>2949</v>
      </c>
      <c r="D746" t="s">
        <v>175</v>
      </c>
      <c r="E746" t="s">
        <v>176</v>
      </c>
      <c r="F746" t="s">
        <v>47</v>
      </c>
      <c r="G746">
        <v>12.8</v>
      </c>
      <c r="H746">
        <v>5.5</v>
      </c>
      <c r="I746">
        <v>32</v>
      </c>
      <c r="J746">
        <v>11.4</v>
      </c>
      <c r="K746">
        <v>7.3</v>
      </c>
      <c r="L746">
        <v>4.5</v>
      </c>
      <c r="M746">
        <v>29.5</v>
      </c>
      <c r="N746">
        <v>4</v>
      </c>
      <c r="O746">
        <v>1.1000000000000001</v>
      </c>
      <c r="P746" t="s">
        <v>1615</v>
      </c>
      <c r="Q746" t="s">
        <v>733</v>
      </c>
      <c r="R746" t="s">
        <v>2949</v>
      </c>
      <c r="S746" t="s">
        <v>735</v>
      </c>
      <c r="T746">
        <v>11830</v>
      </c>
      <c r="U746">
        <v>29.8</v>
      </c>
      <c r="V746">
        <v>701</v>
      </c>
      <c r="W746">
        <v>16.2</v>
      </c>
      <c r="X746">
        <v>1037</v>
      </c>
      <c r="Y746">
        <v>39.200000000000003</v>
      </c>
      <c r="Z746">
        <v>1234</v>
      </c>
      <c r="AA746">
        <v>48</v>
      </c>
      <c r="AB746">
        <v>845</v>
      </c>
      <c r="AC746">
        <v>36.5</v>
      </c>
      <c r="AD746">
        <v>1259</v>
      </c>
      <c r="AE746" t="s">
        <v>57</v>
      </c>
      <c r="AF746">
        <v>6</v>
      </c>
      <c r="AG746" t="s">
        <v>2950</v>
      </c>
      <c r="AH746">
        <v>712</v>
      </c>
      <c r="AI746" t="s">
        <v>176</v>
      </c>
      <c r="AJ746" s="1">
        <v>8903</v>
      </c>
      <c r="AK746">
        <v>10.9</v>
      </c>
      <c r="AL746" s="2">
        <v>7.0000000000000007E-2</v>
      </c>
      <c r="AM746" t="s">
        <v>455</v>
      </c>
      <c r="AN746" t="s">
        <v>2949</v>
      </c>
      <c r="AO746" t="s">
        <v>2951</v>
      </c>
      <c r="AP746" t="b">
        <v>0</v>
      </c>
      <c r="AQ746" t="b">
        <v>0</v>
      </c>
      <c r="AR746" t="b">
        <v>0</v>
      </c>
    </row>
    <row r="747" spans="1:45" x14ac:dyDescent="0.3">
      <c r="A747" t="s">
        <v>2369</v>
      </c>
      <c r="B747" t="s">
        <v>2369</v>
      </c>
      <c r="C747" t="s">
        <v>2952</v>
      </c>
      <c r="D747" t="s">
        <v>1994</v>
      </c>
      <c r="E747" t="s">
        <v>1995</v>
      </c>
      <c r="F747" t="s">
        <v>77</v>
      </c>
      <c r="G747">
        <v>14.5</v>
      </c>
      <c r="H747">
        <v>8.5</v>
      </c>
      <c r="I747">
        <v>2.2999999999999998</v>
      </c>
      <c r="J747">
        <v>1.8</v>
      </c>
      <c r="K747">
        <v>2.9</v>
      </c>
      <c r="L747">
        <v>1.1000000000000001</v>
      </c>
      <c r="M747">
        <v>35.9</v>
      </c>
      <c r="N747">
        <v>13.4</v>
      </c>
      <c r="O747">
        <v>10.6</v>
      </c>
      <c r="P747" t="s">
        <v>1615</v>
      </c>
      <c r="Q747" t="s">
        <v>1068</v>
      </c>
      <c r="R747" t="s">
        <v>2953</v>
      </c>
      <c r="S747" t="s">
        <v>1070</v>
      </c>
      <c r="T747">
        <v>15380</v>
      </c>
      <c r="U747">
        <v>13.3</v>
      </c>
      <c r="V747">
        <v>1830</v>
      </c>
      <c r="W747">
        <v>9.1</v>
      </c>
      <c r="X747">
        <v>1774</v>
      </c>
      <c r="Y747">
        <v>17.100000000000001</v>
      </c>
      <c r="Z747">
        <v>1727</v>
      </c>
      <c r="AA747">
        <v>19.8</v>
      </c>
      <c r="AB747">
        <v>1540</v>
      </c>
      <c r="AC747">
        <v>33.4</v>
      </c>
      <c r="AD747">
        <v>1373</v>
      </c>
      <c r="AE747" t="s">
        <v>57</v>
      </c>
      <c r="AF747">
        <v>0</v>
      </c>
      <c r="AG747" t="s">
        <v>2954</v>
      </c>
      <c r="AH747">
        <v>131435</v>
      </c>
      <c r="AI747" t="s">
        <v>1995</v>
      </c>
      <c r="AJ747" s="1">
        <v>132850</v>
      </c>
      <c r="AK747">
        <v>48</v>
      </c>
      <c r="AL747" s="2">
        <v>0</v>
      </c>
      <c r="AM747" s="3">
        <v>1.9951388888888888</v>
      </c>
      <c r="AN747" t="s">
        <v>2953</v>
      </c>
      <c r="AO747" t="s">
        <v>2955</v>
      </c>
      <c r="AP747" t="b">
        <v>0</v>
      </c>
      <c r="AQ747" t="b">
        <v>0</v>
      </c>
      <c r="AR747" t="b">
        <v>0</v>
      </c>
    </row>
    <row r="748" spans="1:45" x14ac:dyDescent="0.3">
      <c r="A748" t="s">
        <v>2369</v>
      </c>
      <c r="B748" t="s">
        <v>2369</v>
      </c>
      <c r="C748" t="s">
        <v>2956</v>
      </c>
      <c r="D748" t="s">
        <v>1994</v>
      </c>
      <c r="E748" t="s">
        <v>1995</v>
      </c>
      <c r="F748" t="s">
        <v>77</v>
      </c>
      <c r="G748">
        <v>19.3</v>
      </c>
      <c r="H748">
        <v>8.1999999999999993</v>
      </c>
      <c r="I748">
        <v>4.5999999999999996</v>
      </c>
      <c r="J748">
        <v>1.5</v>
      </c>
      <c r="K748">
        <v>3</v>
      </c>
      <c r="L748">
        <v>1.3</v>
      </c>
      <c r="M748">
        <v>16</v>
      </c>
      <c r="N748">
        <v>1.8</v>
      </c>
      <c r="O748">
        <v>4.9000000000000004</v>
      </c>
      <c r="P748" t="s">
        <v>1615</v>
      </c>
      <c r="Q748" t="s">
        <v>1068</v>
      </c>
      <c r="R748" t="s">
        <v>2957</v>
      </c>
      <c r="S748" t="s">
        <v>1070</v>
      </c>
      <c r="T748">
        <v>15360</v>
      </c>
      <c r="U748">
        <v>22.2</v>
      </c>
      <c r="V748">
        <v>1206</v>
      </c>
      <c r="W748">
        <v>9.3000000000000007</v>
      </c>
      <c r="X748">
        <v>1741</v>
      </c>
      <c r="Y748">
        <v>7.7</v>
      </c>
      <c r="Z748">
        <v>1882</v>
      </c>
      <c r="AA748">
        <v>17.399999999999999</v>
      </c>
      <c r="AB748">
        <v>1706</v>
      </c>
      <c r="AC748">
        <v>26.9</v>
      </c>
      <c r="AD748">
        <v>1615</v>
      </c>
      <c r="AE748" t="s">
        <v>57</v>
      </c>
      <c r="AF748">
        <v>0</v>
      </c>
      <c r="AG748" t="s">
        <v>2958</v>
      </c>
      <c r="AH748">
        <v>131803</v>
      </c>
      <c r="AI748" t="s">
        <v>1995</v>
      </c>
      <c r="AJ748" s="1">
        <v>66758</v>
      </c>
      <c r="AK748">
        <v>10.6</v>
      </c>
      <c r="AL748" s="2">
        <v>0.01</v>
      </c>
      <c r="AM748" s="3">
        <v>2.4868055555555557</v>
      </c>
      <c r="AN748" t="s">
        <v>2957</v>
      </c>
      <c r="AO748" t="s">
        <v>2959</v>
      </c>
      <c r="AP748" t="b">
        <v>0</v>
      </c>
      <c r="AQ748" t="b">
        <v>0</v>
      </c>
      <c r="AR748" t="b">
        <v>0</v>
      </c>
    </row>
    <row r="749" spans="1:45" x14ac:dyDescent="0.3">
      <c r="A749" t="s">
        <v>2369</v>
      </c>
      <c r="B749" t="s">
        <v>2369</v>
      </c>
      <c r="C749" t="s">
        <v>2960</v>
      </c>
      <c r="D749" t="s">
        <v>1192</v>
      </c>
      <c r="E749" t="s">
        <v>1193</v>
      </c>
      <c r="F749" t="s">
        <v>47</v>
      </c>
      <c r="G749">
        <v>7</v>
      </c>
      <c r="H749">
        <v>28</v>
      </c>
      <c r="I749">
        <v>3</v>
      </c>
      <c r="J749">
        <v>3.1</v>
      </c>
      <c r="K749">
        <v>9.4</v>
      </c>
      <c r="L749">
        <v>2.2000000000000002</v>
      </c>
      <c r="M749">
        <v>5.3</v>
      </c>
      <c r="N749">
        <v>16.600000000000001</v>
      </c>
      <c r="O749">
        <v>1.5</v>
      </c>
      <c r="P749" t="s">
        <v>1615</v>
      </c>
      <c r="Q749" t="s">
        <v>1475</v>
      </c>
      <c r="R749" t="s">
        <v>2960</v>
      </c>
      <c r="T749">
        <v>1000540</v>
      </c>
      <c r="V749">
        <v>0</v>
      </c>
      <c r="X749">
        <v>0</v>
      </c>
      <c r="Z749">
        <v>0</v>
      </c>
      <c r="AB749">
        <v>0</v>
      </c>
      <c r="AD749">
        <v>0</v>
      </c>
      <c r="AE749" t="s">
        <v>57</v>
      </c>
      <c r="AF749">
        <v>0</v>
      </c>
      <c r="AG749" t="s">
        <v>2961</v>
      </c>
      <c r="AH749">
        <v>621453</v>
      </c>
      <c r="AI749" t="s">
        <v>1193</v>
      </c>
      <c r="AJ749" s="1">
        <v>4712</v>
      </c>
      <c r="AK749">
        <v>9.1</v>
      </c>
      <c r="AL749" s="2">
        <v>0.02</v>
      </c>
      <c r="AM749" s="3">
        <v>2.3229166666666665</v>
      </c>
      <c r="AN749" t="s">
        <v>2960</v>
      </c>
      <c r="AO749" t="s">
        <v>2962</v>
      </c>
      <c r="AP749" t="b">
        <v>0</v>
      </c>
      <c r="AQ749" t="b">
        <v>0</v>
      </c>
      <c r="AR749" t="b">
        <v>0</v>
      </c>
    </row>
    <row r="750" spans="1:45" x14ac:dyDescent="0.3">
      <c r="A750" t="s">
        <v>2369</v>
      </c>
      <c r="B750" t="s">
        <v>2369</v>
      </c>
      <c r="C750" t="s">
        <v>2963</v>
      </c>
      <c r="D750" t="s">
        <v>2544</v>
      </c>
      <c r="E750" t="s">
        <v>2545</v>
      </c>
      <c r="F750" t="s">
        <v>77</v>
      </c>
      <c r="G750">
        <v>18.100000000000001</v>
      </c>
      <c r="H750">
        <v>8.1999999999999993</v>
      </c>
      <c r="I750">
        <v>7.7</v>
      </c>
      <c r="J750">
        <v>1.9</v>
      </c>
      <c r="K750">
        <v>2.1</v>
      </c>
      <c r="L750">
        <v>1.3</v>
      </c>
      <c r="M750">
        <v>20.5</v>
      </c>
      <c r="N750">
        <v>21.4</v>
      </c>
      <c r="O750">
        <v>1.7</v>
      </c>
      <c r="P750" t="s">
        <v>1615</v>
      </c>
      <c r="Q750" t="s">
        <v>1068</v>
      </c>
      <c r="R750" t="s">
        <v>2963</v>
      </c>
      <c r="S750" t="s">
        <v>1070</v>
      </c>
      <c r="T750">
        <v>18880</v>
      </c>
      <c r="U750">
        <v>23.2</v>
      </c>
      <c r="V750">
        <v>1143</v>
      </c>
      <c r="W750">
        <v>8.6999999999999993</v>
      </c>
      <c r="X750">
        <v>1836</v>
      </c>
      <c r="Y750">
        <v>12.2</v>
      </c>
      <c r="Z750">
        <v>1817</v>
      </c>
      <c r="AA750">
        <v>17.899999999999999</v>
      </c>
      <c r="AB750">
        <v>1678</v>
      </c>
      <c r="AC750">
        <v>40.6</v>
      </c>
      <c r="AD750">
        <v>1100</v>
      </c>
      <c r="AE750" t="s">
        <v>57</v>
      </c>
      <c r="AF750">
        <v>0</v>
      </c>
      <c r="AG750" t="s">
        <v>2964</v>
      </c>
      <c r="AH750">
        <v>623592</v>
      </c>
      <c r="AI750" t="s">
        <v>2545</v>
      </c>
      <c r="AJ750" s="1">
        <v>33442</v>
      </c>
      <c r="AK750">
        <v>8.9</v>
      </c>
      <c r="AL750" s="2">
        <v>0.01</v>
      </c>
      <c r="AM750" s="3">
        <v>2.1180555555555554</v>
      </c>
      <c r="AN750" t="s">
        <v>2963</v>
      </c>
      <c r="AO750" t="s">
        <v>2965</v>
      </c>
      <c r="AP750" t="b">
        <v>0</v>
      </c>
      <c r="AQ750" t="b">
        <v>0</v>
      </c>
      <c r="AR750" t="b">
        <v>0</v>
      </c>
    </row>
    <row r="751" spans="1:45" x14ac:dyDescent="0.3">
      <c r="A751" t="s">
        <v>2369</v>
      </c>
      <c r="B751" t="s">
        <v>2369</v>
      </c>
      <c r="C751" t="s">
        <v>2966</v>
      </c>
      <c r="D751" t="s">
        <v>2967</v>
      </c>
      <c r="E751" t="s">
        <v>2968</v>
      </c>
      <c r="F751" t="s">
        <v>77</v>
      </c>
      <c r="G751">
        <v>6.1</v>
      </c>
      <c r="H751">
        <v>5.3</v>
      </c>
      <c r="I751">
        <v>31.7</v>
      </c>
      <c r="J751">
        <v>1.1000000000000001</v>
      </c>
      <c r="K751">
        <v>1.3</v>
      </c>
      <c r="L751">
        <v>1.7</v>
      </c>
      <c r="M751">
        <v>11.8</v>
      </c>
      <c r="N751">
        <v>69</v>
      </c>
      <c r="O751">
        <v>1.1000000000000001</v>
      </c>
      <c r="P751" t="s">
        <v>1615</v>
      </c>
      <c r="Q751" t="s">
        <v>1475</v>
      </c>
      <c r="R751" t="s">
        <v>2969</v>
      </c>
      <c r="T751">
        <v>1000476</v>
      </c>
      <c r="V751">
        <v>0</v>
      </c>
      <c r="X751">
        <v>0</v>
      </c>
      <c r="Z751">
        <v>0</v>
      </c>
      <c r="AB751">
        <v>0</v>
      </c>
      <c r="AD751">
        <v>0</v>
      </c>
      <c r="AE751" t="s">
        <v>57</v>
      </c>
      <c r="AF751">
        <v>0</v>
      </c>
      <c r="AG751" t="s">
        <v>2970</v>
      </c>
      <c r="AH751">
        <v>625533</v>
      </c>
      <c r="AI751" t="s">
        <v>2968</v>
      </c>
      <c r="AJ751" s="1">
        <v>53043</v>
      </c>
      <c r="AK751">
        <v>9.8000000000000007</v>
      </c>
      <c r="AL751" s="2">
        <v>0.02</v>
      </c>
      <c r="AM751" t="s">
        <v>455</v>
      </c>
      <c r="AN751" t="s">
        <v>2969</v>
      </c>
      <c r="AO751" t="s">
        <v>2971</v>
      </c>
      <c r="AP751" t="b">
        <v>0</v>
      </c>
      <c r="AQ751" t="b">
        <v>0</v>
      </c>
      <c r="AR751" t="b">
        <v>0</v>
      </c>
    </row>
    <row r="752" spans="1:45" x14ac:dyDescent="0.3">
      <c r="A752" t="s">
        <v>2369</v>
      </c>
      <c r="B752" t="s">
        <v>2266</v>
      </c>
      <c r="C752" t="s">
        <v>2972</v>
      </c>
      <c r="D752" t="s">
        <v>1192</v>
      </c>
      <c r="E752" t="s">
        <v>1193</v>
      </c>
      <c r="F752" t="s">
        <v>47</v>
      </c>
      <c r="G752">
        <v>9.5</v>
      </c>
      <c r="H752">
        <v>8.5</v>
      </c>
      <c r="I752">
        <v>45.5</v>
      </c>
      <c r="J752">
        <v>2.2000000000000002</v>
      </c>
      <c r="K752">
        <v>1.8</v>
      </c>
      <c r="L752">
        <v>1.4</v>
      </c>
      <c r="M752">
        <v>28.9</v>
      </c>
      <c r="N752">
        <v>3.8</v>
      </c>
      <c r="O752">
        <v>9.8000000000000007</v>
      </c>
      <c r="P752" t="s">
        <v>1615</v>
      </c>
      <c r="Q752" t="s">
        <v>733</v>
      </c>
      <c r="R752" t="s">
        <v>2973</v>
      </c>
      <c r="S752" t="s">
        <v>735</v>
      </c>
      <c r="T752">
        <v>11370</v>
      </c>
      <c r="U752">
        <v>16.899999999999999</v>
      </c>
      <c r="V752">
        <v>1631</v>
      </c>
      <c r="W752">
        <v>12.9</v>
      </c>
      <c r="X752">
        <v>1312</v>
      </c>
      <c r="Y752">
        <v>53.3</v>
      </c>
      <c r="Z752">
        <v>938</v>
      </c>
      <c r="AA752">
        <v>29.8</v>
      </c>
      <c r="AB752">
        <v>1188</v>
      </c>
      <c r="AC752">
        <v>49.8</v>
      </c>
      <c r="AD752">
        <v>806</v>
      </c>
      <c r="AE752" t="s">
        <v>57</v>
      </c>
      <c r="AF752">
        <v>0</v>
      </c>
      <c r="AG752" t="s">
        <v>2974</v>
      </c>
      <c r="AH752">
        <v>622863</v>
      </c>
      <c r="AI752" t="s">
        <v>1193</v>
      </c>
      <c r="AJ752" s="1">
        <v>10503</v>
      </c>
      <c r="AK752">
        <v>15.6</v>
      </c>
      <c r="AL752" s="2">
        <v>0.01</v>
      </c>
      <c r="AM752" s="3">
        <v>2.7736111111111112</v>
      </c>
      <c r="AN752" t="s">
        <v>2973</v>
      </c>
      <c r="AO752" t="s">
        <v>2975</v>
      </c>
      <c r="AP752" t="b">
        <v>0</v>
      </c>
      <c r="AQ752" t="b">
        <v>0</v>
      </c>
      <c r="AR752" t="b">
        <v>0</v>
      </c>
    </row>
    <row r="753" spans="1:45" x14ac:dyDescent="0.3">
      <c r="A753" t="s">
        <v>2369</v>
      </c>
      <c r="B753" t="s">
        <v>2369</v>
      </c>
      <c r="C753" t="s">
        <v>2976</v>
      </c>
      <c r="D753" t="s">
        <v>1999</v>
      </c>
      <c r="E753" t="s">
        <v>2000</v>
      </c>
      <c r="F753" t="s">
        <v>77</v>
      </c>
      <c r="G753">
        <v>13</v>
      </c>
      <c r="H753">
        <v>5.8</v>
      </c>
      <c r="I753">
        <v>20.100000000000001</v>
      </c>
      <c r="J753">
        <v>5.2</v>
      </c>
      <c r="K753">
        <v>2.9</v>
      </c>
      <c r="L753">
        <v>6</v>
      </c>
      <c r="M753">
        <v>52.6</v>
      </c>
      <c r="N753">
        <v>9.6</v>
      </c>
      <c r="O753">
        <v>2</v>
      </c>
      <c r="P753" t="s">
        <v>1615</v>
      </c>
      <c r="Q753" t="s">
        <v>621</v>
      </c>
      <c r="R753" t="s">
        <v>2977</v>
      </c>
      <c r="S753" t="s">
        <v>622</v>
      </c>
      <c r="T753">
        <v>12720</v>
      </c>
      <c r="U753">
        <v>28.4</v>
      </c>
      <c r="V753">
        <v>781</v>
      </c>
      <c r="W753">
        <v>16.399999999999999</v>
      </c>
      <c r="X753">
        <v>1014</v>
      </c>
      <c r="Y753">
        <v>29.1</v>
      </c>
      <c r="Z753">
        <v>1464</v>
      </c>
      <c r="AA753">
        <v>49.2</v>
      </c>
      <c r="AB753">
        <v>823</v>
      </c>
      <c r="AC753">
        <v>27.6</v>
      </c>
      <c r="AD753">
        <v>1597</v>
      </c>
      <c r="AE753" t="s">
        <v>57</v>
      </c>
      <c r="AF753">
        <v>0</v>
      </c>
      <c r="AG753" t="s">
        <v>2978</v>
      </c>
      <c r="AH753">
        <v>131706</v>
      </c>
      <c r="AI753" t="s">
        <v>2000</v>
      </c>
      <c r="AJ753" s="1">
        <v>39031</v>
      </c>
      <c r="AK753">
        <v>15.6</v>
      </c>
      <c r="AL753" s="2">
        <v>0.01</v>
      </c>
      <c r="AM753" s="3">
        <v>2.3638888888888889</v>
      </c>
      <c r="AN753" t="s">
        <v>2977</v>
      </c>
      <c r="AO753" t="s">
        <v>2979</v>
      </c>
      <c r="AP753" t="b">
        <v>0</v>
      </c>
      <c r="AQ753" t="b">
        <v>0</v>
      </c>
      <c r="AR753" t="b">
        <v>0</v>
      </c>
    </row>
    <row r="754" spans="1:45" x14ac:dyDescent="0.3">
      <c r="A754" t="s">
        <v>2369</v>
      </c>
      <c r="B754" t="s">
        <v>2369</v>
      </c>
      <c r="C754" t="s">
        <v>2980</v>
      </c>
      <c r="D754" t="s">
        <v>878</v>
      </c>
      <c r="E754" t="s">
        <v>879</v>
      </c>
      <c r="F754" t="s">
        <v>77</v>
      </c>
      <c r="G754">
        <v>12.9</v>
      </c>
      <c r="H754">
        <v>16.3</v>
      </c>
      <c r="I754">
        <v>16</v>
      </c>
      <c r="J754">
        <v>1.5</v>
      </c>
      <c r="K754">
        <v>17.100000000000001</v>
      </c>
      <c r="L754">
        <v>2.8</v>
      </c>
      <c r="M754">
        <v>14.9</v>
      </c>
      <c r="N754">
        <v>2.4</v>
      </c>
      <c r="O754">
        <v>9.3000000000000007</v>
      </c>
      <c r="P754" t="s">
        <v>1615</v>
      </c>
      <c r="Q754" t="s">
        <v>621</v>
      </c>
      <c r="R754" t="s">
        <v>2980</v>
      </c>
      <c r="S754" t="s">
        <v>622</v>
      </c>
      <c r="T754">
        <v>14130</v>
      </c>
      <c r="U754">
        <v>19.3</v>
      </c>
      <c r="V754">
        <v>1444</v>
      </c>
      <c r="W754">
        <v>19.3</v>
      </c>
      <c r="X754">
        <v>851</v>
      </c>
      <c r="Y754">
        <v>33.9</v>
      </c>
      <c r="Z754">
        <v>1354</v>
      </c>
      <c r="AA754">
        <v>48.3</v>
      </c>
      <c r="AB754">
        <v>834</v>
      </c>
      <c r="AC754">
        <v>33.299999999999997</v>
      </c>
      <c r="AD754">
        <v>1381</v>
      </c>
      <c r="AE754" t="s">
        <v>57</v>
      </c>
      <c r="AF754">
        <v>0</v>
      </c>
      <c r="AG754" t="s">
        <v>2981</v>
      </c>
      <c r="AH754">
        <v>690685</v>
      </c>
      <c r="AI754" t="s">
        <v>879</v>
      </c>
      <c r="AJ754" s="1">
        <v>27580</v>
      </c>
      <c r="AK754">
        <v>16.899999999999999</v>
      </c>
      <c r="AL754" s="2">
        <v>0.02</v>
      </c>
      <c r="AM754" s="3">
        <v>2.6916666666666669</v>
      </c>
      <c r="AN754" t="s">
        <v>2980</v>
      </c>
      <c r="AO754" t="s">
        <v>2982</v>
      </c>
      <c r="AP754" t="b">
        <v>0</v>
      </c>
      <c r="AQ754" t="b">
        <v>0</v>
      </c>
      <c r="AR754" t="b">
        <v>0</v>
      </c>
    </row>
    <row r="755" spans="1:45" x14ac:dyDescent="0.3">
      <c r="A755" t="s">
        <v>2369</v>
      </c>
      <c r="B755" t="s">
        <v>2369</v>
      </c>
      <c r="C755" t="s">
        <v>2983</v>
      </c>
      <c r="D755" t="s">
        <v>217</v>
      </c>
      <c r="E755" t="s">
        <v>218</v>
      </c>
      <c r="F755" t="s">
        <v>56</v>
      </c>
      <c r="G755">
        <v>7.9</v>
      </c>
      <c r="H755">
        <v>1.7</v>
      </c>
      <c r="I755">
        <v>5.4</v>
      </c>
      <c r="J755">
        <v>5.2</v>
      </c>
      <c r="L755">
        <v>26.4</v>
      </c>
      <c r="M755">
        <v>75.3</v>
      </c>
      <c r="N755">
        <v>6.7</v>
      </c>
      <c r="O755">
        <v>2.1</v>
      </c>
      <c r="P755" t="s">
        <v>1615</v>
      </c>
      <c r="Q755" t="s">
        <v>679</v>
      </c>
      <c r="R755" t="s">
        <v>2983</v>
      </c>
      <c r="S755" t="s">
        <v>680</v>
      </c>
      <c r="T755">
        <v>9490</v>
      </c>
      <c r="U755">
        <v>28.6</v>
      </c>
      <c r="V755">
        <v>768</v>
      </c>
      <c r="W755">
        <v>25.7</v>
      </c>
      <c r="X755">
        <v>585</v>
      </c>
      <c r="Y755">
        <v>36</v>
      </c>
      <c r="Z755">
        <v>1300</v>
      </c>
      <c r="AA755">
        <v>45</v>
      </c>
      <c r="AB755">
        <v>893</v>
      </c>
      <c r="AC755">
        <v>58.9</v>
      </c>
      <c r="AD755">
        <v>605</v>
      </c>
      <c r="AE755" t="s">
        <v>57</v>
      </c>
      <c r="AF755">
        <v>0</v>
      </c>
      <c r="AG755" t="s">
        <v>2984</v>
      </c>
      <c r="AH755">
        <v>623913</v>
      </c>
      <c r="AI755" t="s">
        <v>218</v>
      </c>
      <c r="AJ755" s="1">
        <v>29280</v>
      </c>
      <c r="AK755">
        <v>31.5</v>
      </c>
      <c r="AL755" s="2">
        <v>0.11</v>
      </c>
      <c r="AM755" s="3">
        <v>2.4048611111111109</v>
      </c>
      <c r="AN755" t="s">
        <v>2983</v>
      </c>
      <c r="AO755" t="s">
        <v>2985</v>
      </c>
      <c r="AP755" t="b">
        <v>0</v>
      </c>
      <c r="AQ755" t="b">
        <v>0</v>
      </c>
      <c r="AR755" t="b">
        <v>0</v>
      </c>
    </row>
    <row r="756" spans="1:45" x14ac:dyDescent="0.3">
      <c r="A756" t="s">
        <v>2369</v>
      </c>
      <c r="B756" t="s">
        <v>2369</v>
      </c>
      <c r="C756" t="s">
        <v>2986</v>
      </c>
      <c r="D756" t="s">
        <v>541</v>
      </c>
      <c r="E756" t="s">
        <v>542</v>
      </c>
      <c r="F756" t="s">
        <v>56</v>
      </c>
      <c r="G756">
        <v>14.7</v>
      </c>
      <c r="H756">
        <v>8.9</v>
      </c>
      <c r="I756">
        <v>8.5</v>
      </c>
      <c r="J756">
        <v>3.7</v>
      </c>
      <c r="K756">
        <v>10.199999999999999</v>
      </c>
      <c r="L756">
        <v>4.7</v>
      </c>
      <c r="M756">
        <v>28.2</v>
      </c>
      <c r="N756">
        <v>3.8</v>
      </c>
      <c r="O756">
        <v>1.4</v>
      </c>
      <c r="P756" t="s">
        <v>1615</v>
      </c>
      <c r="Q756" t="s">
        <v>1068</v>
      </c>
      <c r="R756" t="s">
        <v>2986</v>
      </c>
      <c r="S756" t="s">
        <v>1070</v>
      </c>
      <c r="T756">
        <v>18840</v>
      </c>
      <c r="U756">
        <v>17.8</v>
      </c>
      <c r="V756">
        <v>1574</v>
      </c>
      <c r="W756">
        <v>14.3</v>
      </c>
      <c r="X756">
        <v>1183</v>
      </c>
      <c r="Y756">
        <v>25</v>
      </c>
      <c r="Z756">
        <v>1563</v>
      </c>
      <c r="AA756">
        <v>21.8</v>
      </c>
      <c r="AB756">
        <v>1449</v>
      </c>
      <c r="AC756">
        <v>41.8</v>
      </c>
      <c r="AD756">
        <v>1061</v>
      </c>
      <c r="AE756" t="s">
        <v>57</v>
      </c>
      <c r="AF756">
        <v>0</v>
      </c>
      <c r="AG756" t="s">
        <v>2987</v>
      </c>
      <c r="AH756">
        <v>625659</v>
      </c>
      <c r="AI756" t="s">
        <v>542</v>
      </c>
      <c r="AJ756" s="1">
        <v>17316</v>
      </c>
      <c r="AK756">
        <v>16.600000000000001</v>
      </c>
      <c r="AL756" s="2">
        <v>0.04</v>
      </c>
      <c r="AM756" s="3">
        <v>2.7736111111111112</v>
      </c>
      <c r="AN756" t="s">
        <v>2986</v>
      </c>
      <c r="AO756" t="s">
        <v>2988</v>
      </c>
      <c r="AP756" t="b">
        <v>0</v>
      </c>
      <c r="AQ756" t="b">
        <v>0</v>
      </c>
      <c r="AR756" t="b">
        <v>0</v>
      </c>
    </row>
    <row r="757" spans="1:45" x14ac:dyDescent="0.3">
      <c r="A757" t="s">
        <v>2369</v>
      </c>
      <c r="B757" t="s">
        <v>2369</v>
      </c>
      <c r="C757" t="s">
        <v>2989</v>
      </c>
      <c r="D757" t="s">
        <v>541</v>
      </c>
      <c r="E757" t="s">
        <v>542</v>
      </c>
      <c r="F757" t="s">
        <v>47</v>
      </c>
      <c r="G757">
        <v>13.2</v>
      </c>
      <c r="H757">
        <v>7.3</v>
      </c>
      <c r="I757">
        <v>13.1</v>
      </c>
      <c r="J757">
        <v>3.2</v>
      </c>
      <c r="K757">
        <v>34.799999999999997</v>
      </c>
      <c r="L757">
        <v>10.5</v>
      </c>
      <c r="M757">
        <v>28.9</v>
      </c>
      <c r="N757">
        <v>3.7</v>
      </c>
      <c r="O757">
        <v>9.1</v>
      </c>
      <c r="P757" t="s">
        <v>1615</v>
      </c>
      <c r="Q757" t="s">
        <v>733</v>
      </c>
      <c r="R757" t="s">
        <v>2989</v>
      </c>
      <c r="S757" t="s">
        <v>735</v>
      </c>
      <c r="T757">
        <v>11080</v>
      </c>
      <c r="U757">
        <v>29.9</v>
      </c>
      <c r="V757">
        <v>695</v>
      </c>
      <c r="W757">
        <v>19.3</v>
      </c>
      <c r="X757">
        <v>849</v>
      </c>
      <c r="Y757">
        <v>22.9</v>
      </c>
      <c r="Z757">
        <v>1614</v>
      </c>
      <c r="AA757">
        <v>66.900000000000006</v>
      </c>
      <c r="AB757">
        <v>505</v>
      </c>
      <c r="AC757">
        <v>61</v>
      </c>
      <c r="AD757">
        <v>564</v>
      </c>
      <c r="AE757" t="s">
        <v>57</v>
      </c>
      <c r="AF757">
        <v>0</v>
      </c>
      <c r="AG757" t="s">
        <v>2990</v>
      </c>
      <c r="AH757">
        <v>625668</v>
      </c>
      <c r="AI757" t="s">
        <v>542</v>
      </c>
      <c r="AJ757" s="1">
        <v>12158</v>
      </c>
      <c r="AK757">
        <v>14.9</v>
      </c>
      <c r="AL757" s="2">
        <v>0.13</v>
      </c>
      <c r="AM757" s="3">
        <v>2.9784722222222224</v>
      </c>
      <c r="AN757" t="s">
        <v>2989</v>
      </c>
      <c r="AO757" t="s">
        <v>2991</v>
      </c>
      <c r="AP757" t="b">
        <v>0</v>
      </c>
      <c r="AQ757" t="b">
        <v>0</v>
      </c>
      <c r="AR757" t="b">
        <v>0</v>
      </c>
    </row>
    <row r="758" spans="1:45" x14ac:dyDescent="0.3">
      <c r="A758" t="s">
        <v>2369</v>
      </c>
      <c r="B758" t="s">
        <v>2369</v>
      </c>
      <c r="C758" t="s">
        <v>2992</v>
      </c>
      <c r="D758" t="s">
        <v>541</v>
      </c>
      <c r="E758" t="s">
        <v>542</v>
      </c>
      <c r="F758" t="s">
        <v>47</v>
      </c>
      <c r="G758">
        <v>10.5</v>
      </c>
      <c r="H758">
        <v>4.3</v>
      </c>
      <c r="I758">
        <v>12</v>
      </c>
      <c r="J758">
        <v>12.2</v>
      </c>
      <c r="K758">
        <v>11.1</v>
      </c>
      <c r="L758">
        <v>12.1</v>
      </c>
      <c r="M758">
        <v>50.2</v>
      </c>
      <c r="N758">
        <v>3.7</v>
      </c>
      <c r="O758">
        <v>18.2</v>
      </c>
      <c r="P758" t="s">
        <v>1615</v>
      </c>
      <c r="Q758" t="s">
        <v>733</v>
      </c>
      <c r="R758" t="s">
        <v>2992</v>
      </c>
      <c r="S758" t="s">
        <v>735</v>
      </c>
      <c r="T758">
        <v>11870</v>
      </c>
      <c r="U758">
        <v>19.100000000000001</v>
      </c>
      <c r="V758">
        <v>1462</v>
      </c>
      <c r="W758">
        <v>18.7</v>
      </c>
      <c r="X758">
        <v>885</v>
      </c>
      <c r="Y758">
        <v>47.6</v>
      </c>
      <c r="Z758">
        <v>1069</v>
      </c>
      <c r="AA758">
        <v>30.1</v>
      </c>
      <c r="AB758">
        <v>1180</v>
      </c>
      <c r="AC758">
        <v>49.7</v>
      </c>
      <c r="AD758">
        <v>813</v>
      </c>
      <c r="AE758" t="s">
        <v>57</v>
      </c>
      <c r="AF758">
        <v>0</v>
      </c>
      <c r="AG758" t="s">
        <v>2993</v>
      </c>
      <c r="AH758">
        <v>625662</v>
      </c>
      <c r="AI758" t="s">
        <v>542</v>
      </c>
      <c r="AJ758" s="1">
        <v>10143</v>
      </c>
      <c r="AK758">
        <v>16.8</v>
      </c>
      <c r="AL758" s="2">
        <v>0.05</v>
      </c>
      <c r="AM758" s="3">
        <v>2.8965277777777776</v>
      </c>
      <c r="AN758" t="s">
        <v>2992</v>
      </c>
      <c r="AO758" t="s">
        <v>2994</v>
      </c>
      <c r="AP758" t="b">
        <v>0</v>
      </c>
      <c r="AQ758" t="b">
        <v>0</v>
      </c>
      <c r="AR758" t="b">
        <v>0</v>
      </c>
    </row>
    <row r="759" spans="1:45" x14ac:dyDescent="0.3">
      <c r="A759" t="s">
        <v>2369</v>
      </c>
      <c r="B759" t="s">
        <v>2369</v>
      </c>
      <c r="C759" t="s">
        <v>2995</v>
      </c>
      <c r="D759" t="s">
        <v>541</v>
      </c>
      <c r="E759" t="s">
        <v>542</v>
      </c>
      <c r="F759" t="s">
        <v>56</v>
      </c>
      <c r="G759">
        <v>10.3</v>
      </c>
      <c r="H759">
        <v>6.2</v>
      </c>
      <c r="I759">
        <v>9.9</v>
      </c>
      <c r="J759">
        <v>8.6</v>
      </c>
      <c r="K759">
        <v>6.3</v>
      </c>
      <c r="L759">
        <v>6.5</v>
      </c>
      <c r="M759">
        <v>43.8</v>
      </c>
      <c r="N759">
        <v>3.8</v>
      </c>
      <c r="O759">
        <v>10.3</v>
      </c>
      <c r="P759" t="s">
        <v>1615</v>
      </c>
      <c r="Q759" t="s">
        <v>621</v>
      </c>
      <c r="R759" t="s">
        <v>2996</v>
      </c>
      <c r="S759" t="s">
        <v>622</v>
      </c>
      <c r="T759">
        <v>14750</v>
      </c>
      <c r="U759">
        <v>22</v>
      </c>
      <c r="V759">
        <v>1229</v>
      </c>
      <c r="W759">
        <v>13.5</v>
      </c>
      <c r="X759">
        <v>1259</v>
      </c>
      <c r="Y759">
        <v>37</v>
      </c>
      <c r="Z759">
        <v>1278</v>
      </c>
      <c r="AA759">
        <v>18.5</v>
      </c>
      <c r="AB759">
        <v>1629</v>
      </c>
      <c r="AC759">
        <v>42.1</v>
      </c>
      <c r="AD759">
        <v>1048</v>
      </c>
      <c r="AE759" t="s">
        <v>57</v>
      </c>
      <c r="AF759">
        <v>0</v>
      </c>
      <c r="AG759" t="s">
        <v>2997</v>
      </c>
      <c r="AH759">
        <v>625671</v>
      </c>
      <c r="AI759" t="s">
        <v>542</v>
      </c>
      <c r="AJ759" s="1">
        <v>16137</v>
      </c>
      <c r="AK759">
        <v>16.600000000000001</v>
      </c>
      <c r="AL759" s="2">
        <v>0.06</v>
      </c>
      <c r="AM759" s="3">
        <v>1.9541666666666666</v>
      </c>
      <c r="AN759" t="s">
        <v>2996</v>
      </c>
      <c r="AO759" t="s">
        <v>2998</v>
      </c>
      <c r="AP759" t="b">
        <v>0</v>
      </c>
      <c r="AQ759" t="b">
        <v>0</v>
      </c>
      <c r="AR759" t="b">
        <v>0</v>
      </c>
    </row>
    <row r="760" spans="1:45" x14ac:dyDescent="0.3">
      <c r="A760" t="s">
        <v>2369</v>
      </c>
      <c r="B760" t="s">
        <v>2369</v>
      </c>
      <c r="C760" t="s">
        <v>2999</v>
      </c>
      <c r="D760" t="s">
        <v>54</v>
      </c>
      <c r="E760" t="s">
        <v>55</v>
      </c>
      <c r="F760" t="s">
        <v>56</v>
      </c>
      <c r="G760">
        <v>4.8</v>
      </c>
      <c r="H760">
        <v>4.8</v>
      </c>
      <c r="I760">
        <v>10.7</v>
      </c>
      <c r="J760">
        <v>5.0999999999999996</v>
      </c>
      <c r="K760">
        <v>29.1</v>
      </c>
      <c r="L760">
        <v>45.5</v>
      </c>
      <c r="M760">
        <v>45.7</v>
      </c>
      <c r="N760">
        <v>2.1</v>
      </c>
      <c r="O760">
        <v>2.4</v>
      </c>
      <c r="P760" t="s">
        <v>1615</v>
      </c>
      <c r="Q760" t="s">
        <v>696</v>
      </c>
      <c r="R760" t="s">
        <v>2999</v>
      </c>
      <c r="S760" t="s">
        <v>697</v>
      </c>
      <c r="T760">
        <v>6420</v>
      </c>
      <c r="U760">
        <v>18.5</v>
      </c>
      <c r="V760">
        <v>1504</v>
      </c>
      <c r="W760">
        <v>12.8</v>
      </c>
      <c r="X760">
        <v>1322</v>
      </c>
      <c r="Y760">
        <v>71.8</v>
      </c>
      <c r="Z760">
        <v>514</v>
      </c>
      <c r="AA760">
        <v>26.5</v>
      </c>
      <c r="AB760">
        <v>1281</v>
      </c>
      <c r="AC760">
        <v>75</v>
      </c>
      <c r="AD760">
        <v>329</v>
      </c>
      <c r="AE760" t="s">
        <v>57</v>
      </c>
      <c r="AF760">
        <v>0</v>
      </c>
      <c r="AG760" t="s">
        <v>3000</v>
      </c>
      <c r="AH760">
        <v>131662</v>
      </c>
      <c r="AI760" t="s">
        <v>55</v>
      </c>
      <c r="AJ760" s="1">
        <v>16170</v>
      </c>
      <c r="AK760">
        <v>15.8</v>
      </c>
      <c r="AL760" s="2">
        <v>0.18</v>
      </c>
      <c r="AM760" s="3">
        <v>2.5277777777777777</v>
      </c>
      <c r="AN760" t="s">
        <v>2999</v>
      </c>
      <c r="AO760" t="s">
        <v>3001</v>
      </c>
      <c r="AP760" t="b">
        <v>0</v>
      </c>
      <c r="AQ760" t="b">
        <v>0</v>
      </c>
      <c r="AR760" t="b">
        <v>0</v>
      </c>
      <c r="AS760" t="s">
        <v>3002</v>
      </c>
    </row>
    <row r="761" spans="1:45" x14ac:dyDescent="0.3">
      <c r="A761" t="s">
        <v>2369</v>
      </c>
      <c r="B761" t="s">
        <v>2369</v>
      </c>
      <c r="C761" t="s">
        <v>3003</v>
      </c>
      <c r="D761" t="s">
        <v>626</v>
      </c>
      <c r="E761" t="s">
        <v>627</v>
      </c>
      <c r="F761" t="s">
        <v>47</v>
      </c>
      <c r="G761">
        <v>6.3</v>
      </c>
      <c r="H761">
        <v>24.9</v>
      </c>
      <c r="I761">
        <v>4.5999999999999996</v>
      </c>
      <c r="J761">
        <v>7.8</v>
      </c>
      <c r="K761">
        <v>4.7</v>
      </c>
      <c r="L761">
        <v>14.5</v>
      </c>
      <c r="M761">
        <v>24.2</v>
      </c>
      <c r="N761">
        <v>45</v>
      </c>
      <c r="O761">
        <v>1.1000000000000001</v>
      </c>
      <c r="P761" t="s">
        <v>1615</v>
      </c>
      <c r="Q761" t="s">
        <v>679</v>
      </c>
      <c r="R761" t="s">
        <v>3003</v>
      </c>
      <c r="S761" t="s">
        <v>680</v>
      </c>
      <c r="T761">
        <v>8540</v>
      </c>
      <c r="U761">
        <v>22.5</v>
      </c>
      <c r="V761">
        <v>1186</v>
      </c>
      <c r="W761">
        <v>23.2</v>
      </c>
      <c r="X761">
        <v>676</v>
      </c>
      <c r="Y761">
        <v>54.3</v>
      </c>
      <c r="Z761">
        <v>904</v>
      </c>
      <c r="AA761">
        <v>36.6</v>
      </c>
      <c r="AB761">
        <v>1059</v>
      </c>
      <c r="AC761">
        <v>42.3</v>
      </c>
      <c r="AD761">
        <v>1040</v>
      </c>
      <c r="AE761" t="s">
        <v>57</v>
      </c>
      <c r="AF761">
        <v>0</v>
      </c>
      <c r="AG761" t="s">
        <v>3004</v>
      </c>
      <c r="AH761">
        <v>633102</v>
      </c>
      <c r="AI761" t="s">
        <v>627</v>
      </c>
      <c r="AJ761" s="1">
        <v>9570</v>
      </c>
      <c r="AK761">
        <v>18.8</v>
      </c>
      <c r="AL761" s="2">
        <v>0.06</v>
      </c>
      <c r="AM761" s="3">
        <v>2.4048611111111109</v>
      </c>
      <c r="AN761" t="s">
        <v>3003</v>
      </c>
      <c r="AO761" t="s">
        <v>3005</v>
      </c>
      <c r="AP761" t="b">
        <v>0</v>
      </c>
      <c r="AQ761" t="b">
        <v>0</v>
      </c>
      <c r="AR761" t="b">
        <v>0</v>
      </c>
    </row>
    <row r="762" spans="1:45" x14ac:dyDescent="0.3">
      <c r="A762" t="s">
        <v>2369</v>
      </c>
      <c r="B762" t="s">
        <v>2357</v>
      </c>
      <c r="C762" t="s">
        <v>3006</v>
      </c>
      <c r="D762" t="s">
        <v>3007</v>
      </c>
      <c r="E762" t="s">
        <v>3008</v>
      </c>
      <c r="F762" t="s">
        <v>77</v>
      </c>
      <c r="G762">
        <v>9.9</v>
      </c>
      <c r="H762">
        <v>7.8</v>
      </c>
      <c r="I762">
        <v>5.2</v>
      </c>
      <c r="J762">
        <v>3.5</v>
      </c>
      <c r="M762">
        <v>65.8</v>
      </c>
      <c r="N762">
        <v>69.3</v>
      </c>
      <c r="O762">
        <v>2.2000000000000002</v>
      </c>
      <c r="P762" t="s">
        <v>1615</v>
      </c>
      <c r="Q762" t="s">
        <v>679</v>
      </c>
      <c r="R762" t="s">
        <v>3006</v>
      </c>
      <c r="S762" t="s">
        <v>680</v>
      </c>
      <c r="T762">
        <v>8740</v>
      </c>
      <c r="U762">
        <v>27.6</v>
      </c>
      <c r="V762">
        <v>832</v>
      </c>
      <c r="W762">
        <v>14.4</v>
      </c>
      <c r="X762">
        <v>1163</v>
      </c>
      <c r="Y762">
        <v>59.3</v>
      </c>
      <c r="Z762">
        <v>795</v>
      </c>
      <c r="AA762">
        <v>24.4</v>
      </c>
      <c r="AB762">
        <v>1354</v>
      </c>
      <c r="AC762">
        <v>41</v>
      </c>
      <c r="AD762">
        <v>1080</v>
      </c>
      <c r="AE762" t="s">
        <v>57</v>
      </c>
      <c r="AF762">
        <v>0</v>
      </c>
      <c r="AG762" t="s">
        <v>3009</v>
      </c>
      <c r="AH762">
        <v>131386</v>
      </c>
      <c r="AI762" t="s">
        <v>3008</v>
      </c>
      <c r="AJ762" s="1">
        <v>41269</v>
      </c>
      <c r="AK762">
        <v>19.7</v>
      </c>
      <c r="AL762" s="2">
        <v>0</v>
      </c>
      <c r="AM762" s="3">
        <v>2.1180555555555554</v>
      </c>
      <c r="AN762" t="s">
        <v>3006</v>
      </c>
      <c r="AO762" t="s">
        <v>3010</v>
      </c>
      <c r="AP762" t="b">
        <v>0</v>
      </c>
      <c r="AQ762" t="b">
        <v>0</v>
      </c>
      <c r="AR762" t="b">
        <v>0</v>
      </c>
    </row>
    <row r="763" spans="1:45" x14ac:dyDescent="0.3">
      <c r="A763" t="s">
        <v>2369</v>
      </c>
      <c r="B763" t="s">
        <v>2369</v>
      </c>
      <c r="C763" t="s">
        <v>3011</v>
      </c>
      <c r="D763" t="s">
        <v>1075</v>
      </c>
      <c r="E763" t="s">
        <v>1076</v>
      </c>
      <c r="F763" t="s">
        <v>77</v>
      </c>
      <c r="G763">
        <v>7.2</v>
      </c>
      <c r="H763">
        <v>3.8</v>
      </c>
      <c r="I763">
        <v>1.5</v>
      </c>
      <c r="J763">
        <v>19.5</v>
      </c>
      <c r="K763">
        <v>1.7</v>
      </c>
      <c r="L763">
        <v>2.5</v>
      </c>
      <c r="M763">
        <v>61.3</v>
      </c>
      <c r="N763">
        <v>3.6</v>
      </c>
      <c r="O763">
        <v>2</v>
      </c>
      <c r="P763" t="s">
        <v>1615</v>
      </c>
      <c r="Q763" t="s">
        <v>733</v>
      </c>
      <c r="R763" t="s">
        <v>3011</v>
      </c>
      <c r="S763" t="s">
        <v>735</v>
      </c>
      <c r="T763">
        <v>10770</v>
      </c>
      <c r="U763">
        <v>14</v>
      </c>
      <c r="V763">
        <v>1801</v>
      </c>
      <c r="W763">
        <v>12.4</v>
      </c>
      <c r="X763">
        <v>1364</v>
      </c>
      <c r="Y763">
        <v>55.9</v>
      </c>
      <c r="Z763">
        <v>864</v>
      </c>
      <c r="AA763">
        <v>47.4</v>
      </c>
      <c r="AB763">
        <v>854</v>
      </c>
      <c r="AC763">
        <v>43.2</v>
      </c>
      <c r="AD763">
        <v>1008</v>
      </c>
      <c r="AE763" t="s">
        <v>57</v>
      </c>
      <c r="AF763">
        <v>0</v>
      </c>
      <c r="AG763" t="s">
        <v>3012</v>
      </c>
      <c r="AH763">
        <v>131284</v>
      </c>
      <c r="AI763" t="s">
        <v>1076</v>
      </c>
      <c r="AJ763" s="1">
        <v>32155</v>
      </c>
      <c r="AK763">
        <v>32.6</v>
      </c>
      <c r="AL763" s="2">
        <v>0.05</v>
      </c>
      <c r="AM763" s="3">
        <v>2.2819444444444446</v>
      </c>
      <c r="AN763" t="s">
        <v>3011</v>
      </c>
      <c r="AO763" t="s">
        <v>3013</v>
      </c>
      <c r="AP763" t="b">
        <v>0</v>
      </c>
      <c r="AQ763" t="b">
        <v>0</v>
      </c>
      <c r="AR763" t="b">
        <v>0</v>
      </c>
    </row>
    <row r="764" spans="1:45" x14ac:dyDescent="0.3">
      <c r="A764" t="s">
        <v>2369</v>
      </c>
      <c r="B764" t="s">
        <v>2369</v>
      </c>
      <c r="C764" t="s">
        <v>3014</v>
      </c>
      <c r="D764" t="s">
        <v>1047</v>
      </c>
      <c r="E764" t="s">
        <v>737</v>
      </c>
      <c r="F764" t="s">
        <v>77</v>
      </c>
      <c r="G764">
        <v>11.6</v>
      </c>
      <c r="H764">
        <v>16.100000000000001</v>
      </c>
      <c r="I764">
        <v>1.6</v>
      </c>
      <c r="J764">
        <v>4.9000000000000004</v>
      </c>
      <c r="K764">
        <v>3.5</v>
      </c>
      <c r="L764">
        <v>1.1000000000000001</v>
      </c>
      <c r="M764">
        <v>36.799999999999997</v>
      </c>
      <c r="N764">
        <v>42.8</v>
      </c>
      <c r="O764">
        <v>1.2</v>
      </c>
      <c r="P764" t="s">
        <v>1615</v>
      </c>
      <c r="Q764" t="s">
        <v>1068</v>
      </c>
      <c r="R764" t="s">
        <v>3014</v>
      </c>
      <c r="S764" t="s">
        <v>1070</v>
      </c>
      <c r="T764">
        <v>16740</v>
      </c>
      <c r="U764">
        <v>14.1</v>
      </c>
      <c r="V764">
        <v>1797</v>
      </c>
      <c r="W764">
        <v>10.6</v>
      </c>
      <c r="X764">
        <v>1574</v>
      </c>
      <c r="Y764">
        <v>19.5</v>
      </c>
      <c r="Z764">
        <v>1689</v>
      </c>
      <c r="AA764">
        <v>24.5</v>
      </c>
      <c r="AB764">
        <v>1352</v>
      </c>
      <c r="AC764">
        <v>44.4</v>
      </c>
      <c r="AD764">
        <v>976</v>
      </c>
      <c r="AE764" t="s">
        <v>57</v>
      </c>
      <c r="AF764">
        <v>0</v>
      </c>
      <c r="AG764" t="s">
        <v>3015</v>
      </c>
      <c r="AH764">
        <v>131680</v>
      </c>
      <c r="AI764" t="s">
        <v>737</v>
      </c>
      <c r="AJ764" s="1">
        <v>47337</v>
      </c>
      <c r="AK764">
        <v>39.299999999999997</v>
      </c>
      <c r="AL764" s="2">
        <v>0</v>
      </c>
      <c r="AM764" s="3">
        <v>2.5277777777777777</v>
      </c>
      <c r="AN764" t="s">
        <v>3014</v>
      </c>
      <c r="AO764" t="s">
        <v>3016</v>
      </c>
      <c r="AP764" t="b">
        <v>0</v>
      </c>
      <c r="AQ764" t="b">
        <v>0</v>
      </c>
      <c r="AR764" t="b">
        <v>0</v>
      </c>
    </row>
    <row r="765" spans="1:45" x14ac:dyDescent="0.3">
      <c r="A765" t="s">
        <v>2369</v>
      </c>
      <c r="B765" t="s">
        <v>2357</v>
      </c>
      <c r="C765" t="s">
        <v>3017</v>
      </c>
      <c r="D765" t="s">
        <v>3007</v>
      </c>
      <c r="E765" t="s">
        <v>3008</v>
      </c>
      <c r="F765" t="s">
        <v>77</v>
      </c>
      <c r="G765">
        <v>8.4</v>
      </c>
      <c r="H765">
        <v>7.5</v>
      </c>
      <c r="I765">
        <v>2.2000000000000002</v>
      </c>
      <c r="J765">
        <v>2.6</v>
      </c>
      <c r="M765">
        <v>34</v>
      </c>
      <c r="N765">
        <v>87.6</v>
      </c>
      <c r="O765">
        <v>1.3</v>
      </c>
      <c r="P765" t="s">
        <v>1615</v>
      </c>
      <c r="Q765" t="s">
        <v>733</v>
      </c>
      <c r="R765" t="s">
        <v>3017</v>
      </c>
      <c r="S765" t="s">
        <v>735</v>
      </c>
      <c r="T765">
        <v>10980</v>
      </c>
      <c r="U765">
        <v>14.6</v>
      </c>
      <c r="V765">
        <v>1774</v>
      </c>
      <c r="W765">
        <v>14.4</v>
      </c>
      <c r="X765">
        <v>1166</v>
      </c>
      <c r="Y765">
        <v>65.5</v>
      </c>
      <c r="Z765">
        <v>665</v>
      </c>
      <c r="AA765">
        <v>20.9</v>
      </c>
      <c r="AB765">
        <v>1485</v>
      </c>
      <c r="AC765">
        <v>41.5</v>
      </c>
      <c r="AD765">
        <v>1066</v>
      </c>
      <c r="AE765" t="s">
        <v>57</v>
      </c>
      <c r="AF765">
        <v>0</v>
      </c>
      <c r="AG765" t="s">
        <v>3018</v>
      </c>
      <c r="AH765">
        <v>622488</v>
      </c>
      <c r="AI765" t="s">
        <v>3008</v>
      </c>
      <c r="AJ765" s="1">
        <v>41048</v>
      </c>
      <c r="AK765">
        <v>27.5</v>
      </c>
      <c r="AL765" s="2">
        <v>0</v>
      </c>
      <c r="AM765" s="3">
        <v>2.1590277777777778</v>
      </c>
      <c r="AN765" t="s">
        <v>3017</v>
      </c>
      <c r="AO765" t="s">
        <v>3019</v>
      </c>
      <c r="AP765" t="b">
        <v>0</v>
      </c>
      <c r="AQ765" t="b">
        <v>0</v>
      </c>
      <c r="AR765" t="b">
        <v>0</v>
      </c>
    </row>
    <row r="766" spans="1:45" x14ac:dyDescent="0.3">
      <c r="A766" t="s">
        <v>2369</v>
      </c>
      <c r="B766" t="s">
        <v>2369</v>
      </c>
      <c r="C766" t="s">
        <v>3020</v>
      </c>
      <c r="D766" t="s">
        <v>45</v>
      </c>
      <c r="E766" t="s">
        <v>46</v>
      </c>
      <c r="F766" t="s">
        <v>56</v>
      </c>
      <c r="G766">
        <v>5.0999999999999996</v>
      </c>
      <c r="H766">
        <v>5.8</v>
      </c>
      <c r="I766">
        <v>5</v>
      </c>
      <c r="J766">
        <v>13.4</v>
      </c>
      <c r="K766">
        <v>8.6999999999999993</v>
      </c>
      <c r="L766">
        <v>6.2</v>
      </c>
      <c r="M766">
        <v>65</v>
      </c>
      <c r="N766">
        <v>7.8</v>
      </c>
      <c r="O766">
        <v>4.2</v>
      </c>
      <c r="P766" t="s">
        <v>1615</v>
      </c>
      <c r="Q766" t="s">
        <v>696</v>
      </c>
      <c r="R766" t="s">
        <v>3020</v>
      </c>
      <c r="S766" t="s">
        <v>697</v>
      </c>
      <c r="T766">
        <v>7280</v>
      </c>
      <c r="U766">
        <v>23.2</v>
      </c>
      <c r="V766">
        <v>1139</v>
      </c>
      <c r="W766">
        <v>22.1</v>
      </c>
      <c r="X766">
        <v>725</v>
      </c>
      <c r="Y766">
        <v>74.400000000000006</v>
      </c>
      <c r="Z766">
        <v>455</v>
      </c>
      <c r="AA766">
        <v>58.7</v>
      </c>
      <c r="AB766">
        <v>667</v>
      </c>
      <c r="AC766">
        <v>37</v>
      </c>
      <c r="AD766">
        <v>1239</v>
      </c>
      <c r="AE766" t="s">
        <v>208</v>
      </c>
      <c r="AF766">
        <v>0</v>
      </c>
      <c r="AG766" t="s">
        <v>3021</v>
      </c>
      <c r="AH766">
        <v>593828</v>
      </c>
      <c r="AI766" t="s">
        <v>46</v>
      </c>
      <c r="AJ766" s="1">
        <v>26819</v>
      </c>
      <c r="AK766">
        <v>20.6</v>
      </c>
      <c r="AL766" s="2">
        <v>0.06</v>
      </c>
      <c r="AM766" s="3">
        <v>2.0770833333333334</v>
      </c>
      <c r="AN766" t="s">
        <v>3020</v>
      </c>
      <c r="AO766" t="s">
        <v>3022</v>
      </c>
      <c r="AP766" t="b">
        <v>0</v>
      </c>
      <c r="AQ766" t="b">
        <v>0</v>
      </c>
      <c r="AR766" t="b">
        <v>0</v>
      </c>
      <c r="AS766" t="s">
        <v>3023</v>
      </c>
    </row>
    <row r="767" spans="1:45" x14ac:dyDescent="0.3">
      <c r="A767" t="s">
        <v>2369</v>
      </c>
      <c r="B767" t="s">
        <v>2369</v>
      </c>
      <c r="C767" t="s">
        <v>3024</v>
      </c>
      <c r="D767" t="s">
        <v>2103</v>
      </c>
      <c r="E767" t="s">
        <v>2104</v>
      </c>
      <c r="F767" t="s">
        <v>77</v>
      </c>
      <c r="G767">
        <v>8.4</v>
      </c>
      <c r="H767">
        <v>5.9</v>
      </c>
      <c r="I767">
        <v>8.8000000000000007</v>
      </c>
      <c r="J767">
        <v>3.6</v>
      </c>
      <c r="M767">
        <v>79.400000000000006</v>
      </c>
      <c r="N767">
        <v>21.3</v>
      </c>
      <c r="O767">
        <v>1.2</v>
      </c>
      <c r="P767" t="s">
        <v>1615</v>
      </c>
      <c r="Q767" t="s">
        <v>1068</v>
      </c>
      <c r="R767" t="s">
        <v>3024</v>
      </c>
      <c r="S767" t="s">
        <v>1070</v>
      </c>
      <c r="T767">
        <v>17690</v>
      </c>
      <c r="U767">
        <v>19</v>
      </c>
      <c r="V767">
        <v>1466</v>
      </c>
      <c r="W767">
        <v>11.7</v>
      </c>
      <c r="X767">
        <v>1444</v>
      </c>
      <c r="Y767">
        <v>29.1</v>
      </c>
      <c r="Z767">
        <v>1465</v>
      </c>
      <c r="AA767">
        <v>36.4</v>
      </c>
      <c r="AB767">
        <v>1064</v>
      </c>
      <c r="AC767">
        <v>33.6</v>
      </c>
      <c r="AD767">
        <v>1369</v>
      </c>
      <c r="AE767" t="s">
        <v>57</v>
      </c>
      <c r="AF767">
        <v>0</v>
      </c>
      <c r="AG767" t="s">
        <v>3025</v>
      </c>
      <c r="AH767">
        <v>623940</v>
      </c>
      <c r="AI767" t="s">
        <v>2104</v>
      </c>
      <c r="AJ767" s="1">
        <v>47978</v>
      </c>
      <c r="AK767">
        <v>15.1</v>
      </c>
      <c r="AL767" s="2">
        <v>0.01</v>
      </c>
      <c r="AM767" s="3">
        <v>2.4048611111111109</v>
      </c>
      <c r="AN767" t="s">
        <v>3024</v>
      </c>
      <c r="AO767" t="s">
        <v>3026</v>
      </c>
      <c r="AP767" t="b">
        <v>0</v>
      </c>
      <c r="AQ767" t="b">
        <v>0</v>
      </c>
      <c r="AR767" t="b">
        <v>0</v>
      </c>
    </row>
    <row r="768" spans="1:45" x14ac:dyDescent="0.3">
      <c r="A768" t="s">
        <v>2369</v>
      </c>
      <c r="B768" t="s">
        <v>2369</v>
      </c>
      <c r="C768" t="s">
        <v>3027</v>
      </c>
      <c r="D768" t="s">
        <v>45</v>
      </c>
      <c r="E768" t="s">
        <v>46</v>
      </c>
      <c r="F768" t="s">
        <v>56</v>
      </c>
      <c r="G768">
        <v>5.6</v>
      </c>
      <c r="H768">
        <v>3.5</v>
      </c>
      <c r="I768">
        <v>6.7</v>
      </c>
      <c r="J768">
        <v>16.2</v>
      </c>
      <c r="K768">
        <v>5.2</v>
      </c>
      <c r="L768">
        <v>2.6</v>
      </c>
      <c r="M768">
        <v>48.9</v>
      </c>
      <c r="N768">
        <v>11.8</v>
      </c>
      <c r="O768">
        <v>54.1</v>
      </c>
      <c r="P768" t="s">
        <v>1615</v>
      </c>
      <c r="Q768" t="s">
        <v>696</v>
      </c>
      <c r="R768" t="s">
        <v>3028</v>
      </c>
      <c r="S768" t="s">
        <v>697</v>
      </c>
      <c r="T768">
        <v>7560</v>
      </c>
      <c r="U768">
        <v>26.3</v>
      </c>
      <c r="V768">
        <v>925</v>
      </c>
      <c r="W768">
        <v>20.5</v>
      </c>
      <c r="X768">
        <v>789</v>
      </c>
      <c r="Y768">
        <v>57.4</v>
      </c>
      <c r="Z768">
        <v>833</v>
      </c>
      <c r="AA768">
        <v>50</v>
      </c>
      <c r="AB768">
        <v>808</v>
      </c>
      <c r="AC768">
        <v>53.7</v>
      </c>
      <c r="AD768">
        <v>699</v>
      </c>
      <c r="AE768" t="s">
        <v>208</v>
      </c>
      <c r="AF768">
        <v>0</v>
      </c>
      <c r="AG768" t="s">
        <v>3029</v>
      </c>
      <c r="AH768">
        <v>594419</v>
      </c>
      <c r="AI768" t="s">
        <v>46</v>
      </c>
      <c r="AJ768" s="1">
        <v>15886</v>
      </c>
      <c r="AK768">
        <v>14.5</v>
      </c>
      <c r="AL768" s="2">
        <v>0.03</v>
      </c>
      <c r="AM768" s="3">
        <v>2.4048611111111109</v>
      </c>
      <c r="AN768" t="s">
        <v>3028</v>
      </c>
      <c r="AO768" t="s">
        <v>3030</v>
      </c>
      <c r="AP768" t="b">
        <v>0</v>
      </c>
      <c r="AQ768" t="b">
        <v>0</v>
      </c>
      <c r="AR768" t="b">
        <v>0</v>
      </c>
      <c r="AS768" t="s">
        <v>3031</v>
      </c>
    </row>
    <row r="769" spans="1:45" x14ac:dyDescent="0.3">
      <c r="A769" t="s">
        <v>2369</v>
      </c>
      <c r="B769" t="s">
        <v>1621</v>
      </c>
      <c r="C769" t="s">
        <v>3032</v>
      </c>
      <c r="D769" t="s">
        <v>3033</v>
      </c>
      <c r="E769" t="s">
        <v>3034</v>
      </c>
      <c r="F769" t="s">
        <v>56</v>
      </c>
      <c r="G769">
        <v>4.4000000000000004</v>
      </c>
      <c r="H769">
        <v>1.6</v>
      </c>
      <c r="I769">
        <v>4.5999999999999996</v>
      </c>
      <c r="J769">
        <v>1.9</v>
      </c>
      <c r="L769">
        <v>2.8</v>
      </c>
      <c r="M769">
        <v>46.5</v>
      </c>
      <c r="N769">
        <v>83.6</v>
      </c>
      <c r="O769">
        <v>1</v>
      </c>
      <c r="P769" t="s">
        <v>1615</v>
      </c>
      <c r="Q769" t="s">
        <v>1068</v>
      </c>
      <c r="R769" t="s">
        <v>3035</v>
      </c>
      <c r="S769" t="s">
        <v>1070</v>
      </c>
      <c r="T769">
        <v>18290</v>
      </c>
      <c r="U769">
        <v>16.399999999999999</v>
      </c>
      <c r="V769">
        <v>1673</v>
      </c>
      <c r="W769">
        <v>10.8</v>
      </c>
      <c r="X769">
        <v>1552</v>
      </c>
      <c r="Y769">
        <v>18.600000000000001</v>
      </c>
      <c r="Z769">
        <v>1707</v>
      </c>
      <c r="AA769">
        <v>23.6</v>
      </c>
      <c r="AB769">
        <v>1379</v>
      </c>
      <c r="AC769">
        <v>27.7</v>
      </c>
      <c r="AD769">
        <v>1593</v>
      </c>
      <c r="AE769" t="s">
        <v>57</v>
      </c>
      <c r="AF769">
        <v>0</v>
      </c>
      <c r="AG769" t="s">
        <v>3036</v>
      </c>
      <c r="AH769">
        <v>677010</v>
      </c>
      <c r="AI769" t="s">
        <v>3034</v>
      </c>
      <c r="AJ769" s="1">
        <v>25468</v>
      </c>
      <c r="AK769">
        <v>15.6</v>
      </c>
      <c r="AL769" s="2">
        <v>0</v>
      </c>
      <c r="AM769" s="3">
        <v>2.6916666666666669</v>
      </c>
      <c r="AN769" t="s">
        <v>3035</v>
      </c>
      <c r="AO769" t="s">
        <v>3037</v>
      </c>
      <c r="AP769" t="b">
        <v>0</v>
      </c>
      <c r="AQ769" t="b">
        <v>0</v>
      </c>
      <c r="AR769" t="b">
        <v>0</v>
      </c>
    </row>
    <row r="770" spans="1:45" x14ac:dyDescent="0.3">
      <c r="A770" t="s">
        <v>2369</v>
      </c>
      <c r="B770" t="s">
        <v>2266</v>
      </c>
      <c r="C770" t="s">
        <v>3038</v>
      </c>
      <c r="D770" t="s">
        <v>166</v>
      </c>
      <c r="E770" t="s">
        <v>167</v>
      </c>
      <c r="F770" t="s">
        <v>47</v>
      </c>
      <c r="G770">
        <v>11</v>
      </c>
      <c r="H770">
        <v>9.6999999999999993</v>
      </c>
      <c r="I770">
        <v>36.700000000000003</v>
      </c>
      <c r="J770">
        <v>8.8000000000000007</v>
      </c>
      <c r="K770">
        <v>5.5</v>
      </c>
      <c r="L770">
        <v>6.9</v>
      </c>
      <c r="M770">
        <v>24</v>
      </c>
      <c r="N770">
        <v>5.3</v>
      </c>
      <c r="O770">
        <v>4.9000000000000004</v>
      </c>
      <c r="P770" t="s">
        <v>1615</v>
      </c>
      <c r="Q770" t="s">
        <v>679</v>
      </c>
      <c r="R770" t="s">
        <v>3039</v>
      </c>
      <c r="S770" t="s">
        <v>680</v>
      </c>
      <c r="T770">
        <v>9660</v>
      </c>
      <c r="U770">
        <v>28.8</v>
      </c>
      <c r="V770">
        <v>754</v>
      </c>
      <c r="W770">
        <v>26.1</v>
      </c>
      <c r="X770">
        <v>567</v>
      </c>
      <c r="Y770">
        <v>41</v>
      </c>
      <c r="Z770">
        <v>1201</v>
      </c>
      <c r="AA770">
        <v>52.1</v>
      </c>
      <c r="AB770">
        <v>770</v>
      </c>
      <c r="AC770">
        <v>34.9</v>
      </c>
      <c r="AD770">
        <v>1322</v>
      </c>
      <c r="AE770" t="s">
        <v>57</v>
      </c>
      <c r="AF770">
        <v>0</v>
      </c>
      <c r="AG770" t="s">
        <v>3040</v>
      </c>
      <c r="AH770">
        <v>1017</v>
      </c>
      <c r="AI770" t="s">
        <v>167</v>
      </c>
      <c r="AJ770" s="1">
        <v>9929</v>
      </c>
      <c r="AK770">
        <v>14.4</v>
      </c>
      <c r="AL770" s="2">
        <v>0.04</v>
      </c>
      <c r="AM770" s="3">
        <v>1.7902777777777779</v>
      </c>
      <c r="AN770" t="s">
        <v>3039</v>
      </c>
      <c r="AO770" t="s">
        <v>3041</v>
      </c>
      <c r="AP770" t="b">
        <v>0</v>
      </c>
      <c r="AQ770" t="b">
        <v>0</v>
      </c>
      <c r="AR770" t="b">
        <v>0</v>
      </c>
    </row>
    <row r="771" spans="1:45" x14ac:dyDescent="0.3">
      <c r="A771" t="s">
        <v>2369</v>
      </c>
      <c r="C771" t="s">
        <v>3042</v>
      </c>
      <c r="D771" t="s">
        <v>402</v>
      </c>
      <c r="E771" t="s">
        <v>403</v>
      </c>
      <c r="F771" t="s">
        <v>56</v>
      </c>
      <c r="G771">
        <v>5.2</v>
      </c>
      <c r="H771">
        <v>2.4</v>
      </c>
      <c r="I771">
        <v>18.7</v>
      </c>
      <c r="J771">
        <v>3</v>
      </c>
      <c r="K771">
        <v>92.4</v>
      </c>
      <c r="L771">
        <v>2.2000000000000002</v>
      </c>
      <c r="M771">
        <v>38</v>
      </c>
      <c r="N771">
        <v>2.2000000000000002</v>
      </c>
      <c r="O771">
        <v>1</v>
      </c>
      <c r="P771" t="s">
        <v>1615</v>
      </c>
      <c r="Q771" t="s">
        <v>679</v>
      </c>
      <c r="R771" t="s">
        <v>3042</v>
      </c>
      <c r="S771" t="s">
        <v>680</v>
      </c>
      <c r="T771">
        <v>9770</v>
      </c>
      <c r="U771">
        <v>16.899999999999999</v>
      </c>
      <c r="V771">
        <v>1633</v>
      </c>
      <c r="W771">
        <v>10.4</v>
      </c>
      <c r="X771">
        <v>1603</v>
      </c>
      <c r="Y771">
        <v>69</v>
      </c>
      <c r="Z771">
        <v>579</v>
      </c>
      <c r="AA771">
        <v>26.1</v>
      </c>
      <c r="AB771">
        <v>1297</v>
      </c>
      <c r="AC771">
        <v>75.599999999999994</v>
      </c>
      <c r="AD771">
        <v>320</v>
      </c>
      <c r="AE771" t="s">
        <v>57</v>
      </c>
      <c r="AF771">
        <v>0</v>
      </c>
      <c r="AG771" t="s">
        <v>3043</v>
      </c>
      <c r="AH771">
        <v>622938</v>
      </c>
      <c r="AI771" t="s">
        <v>403</v>
      </c>
      <c r="AJ771" s="1">
        <v>31635</v>
      </c>
      <c r="AK771">
        <v>19.5</v>
      </c>
      <c r="AL771" s="2">
        <v>0.02</v>
      </c>
      <c r="AM771" s="3">
        <v>2.5277777777777777</v>
      </c>
      <c r="AN771" t="s">
        <v>3042</v>
      </c>
      <c r="AO771" t="s">
        <v>3044</v>
      </c>
      <c r="AP771" t="b">
        <v>0</v>
      </c>
      <c r="AQ771" t="b">
        <v>0</v>
      </c>
      <c r="AR771" t="b">
        <v>0</v>
      </c>
    </row>
    <row r="772" spans="1:45" x14ac:dyDescent="0.3">
      <c r="A772" t="s">
        <v>2369</v>
      </c>
      <c r="B772" t="s">
        <v>2369</v>
      </c>
      <c r="C772" t="s">
        <v>3045</v>
      </c>
      <c r="D772" t="s">
        <v>45</v>
      </c>
      <c r="E772" t="s">
        <v>46</v>
      </c>
      <c r="F772" t="s">
        <v>56</v>
      </c>
      <c r="G772">
        <v>6</v>
      </c>
      <c r="H772">
        <v>3</v>
      </c>
      <c r="I772">
        <v>3.9</v>
      </c>
      <c r="J772">
        <v>22.8</v>
      </c>
      <c r="K772">
        <v>8.8000000000000007</v>
      </c>
      <c r="L772">
        <v>2.7</v>
      </c>
      <c r="M772">
        <v>60.5</v>
      </c>
      <c r="N772">
        <v>5.0999999999999996</v>
      </c>
      <c r="O772">
        <v>3.8</v>
      </c>
      <c r="P772" t="s">
        <v>1615</v>
      </c>
      <c r="Q772" t="s">
        <v>572</v>
      </c>
      <c r="R772" t="s">
        <v>3046</v>
      </c>
      <c r="S772" t="s">
        <v>574</v>
      </c>
      <c r="T772">
        <v>5920</v>
      </c>
      <c r="U772">
        <v>21</v>
      </c>
      <c r="V772">
        <v>1303</v>
      </c>
      <c r="W772">
        <v>22.5</v>
      </c>
      <c r="X772">
        <v>712</v>
      </c>
      <c r="Y772">
        <v>79.2</v>
      </c>
      <c r="Z772">
        <v>341</v>
      </c>
      <c r="AA772">
        <v>63.6</v>
      </c>
      <c r="AB772">
        <v>576</v>
      </c>
      <c r="AC772">
        <v>42.8</v>
      </c>
      <c r="AD772">
        <v>1024</v>
      </c>
      <c r="AE772" t="s">
        <v>208</v>
      </c>
      <c r="AF772">
        <v>0</v>
      </c>
      <c r="AG772" t="s">
        <v>3047</v>
      </c>
      <c r="AH772">
        <v>761</v>
      </c>
      <c r="AI772" t="s">
        <v>46</v>
      </c>
      <c r="AJ772" s="1">
        <v>28469</v>
      </c>
      <c r="AK772">
        <v>26.4</v>
      </c>
      <c r="AL772" s="2">
        <v>0.03</v>
      </c>
      <c r="AM772" s="3">
        <v>2.2000000000000002</v>
      </c>
      <c r="AN772" t="s">
        <v>3046</v>
      </c>
      <c r="AO772" t="s">
        <v>3048</v>
      </c>
      <c r="AP772" t="b">
        <v>0</v>
      </c>
      <c r="AQ772" t="b">
        <v>0</v>
      </c>
      <c r="AR772" t="b">
        <v>0</v>
      </c>
      <c r="AS772" t="s">
        <v>3049</v>
      </c>
    </row>
    <row r="773" spans="1:45" x14ac:dyDescent="0.3">
      <c r="A773" t="s">
        <v>2369</v>
      </c>
      <c r="B773" t="s">
        <v>2369</v>
      </c>
      <c r="C773" t="s">
        <v>3050</v>
      </c>
      <c r="D773" t="s">
        <v>45</v>
      </c>
      <c r="E773" t="s">
        <v>46</v>
      </c>
      <c r="F773" t="s">
        <v>56</v>
      </c>
      <c r="G773">
        <v>4.4000000000000004</v>
      </c>
      <c r="H773">
        <v>2.6</v>
      </c>
      <c r="I773">
        <v>5.7</v>
      </c>
      <c r="J773">
        <v>14.2</v>
      </c>
      <c r="K773">
        <v>9</v>
      </c>
      <c r="L773">
        <v>5.3</v>
      </c>
      <c r="M773">
        <v>66.2</v>
      </c>
      <c r="N773">
        <v>3</v>
      </c>
      <c r="O773">
        <v>2.9</v>
      </c>
      <c r="P773" t="s">
        <v>1615</v>
      </c>
      <c r="Q773" t="s">
        <v>679</v>
      </c>
      <c r="R773" t="s">
        <v>3051</v>
      </c>
      <c r="S773" t="s">
        <v>680</v>
      </c>
      <c r="T773">
        <v>9800</v>
      </c>
      <c r="U773">
        <v>24.5</v>
      </c>
      <c r="V773">
        <v>1045</v>
      </c>
      <c r="W773">
        <v>28.7</v>
      </c>
      <c r="X773">
        <v>502</v>
      </c>
      <c r="Y773">
        <v>44.8</v>
      </c>
      <c r="Z773">
        <v>1122</v>
      </c>
      <c r="AA773">
        <v>51.9</v>
      </c>
      <c r="AB773">
        <v>777</v>
      </c>
      <c r="AC773">
        <v>46.8</v>
      </c>
      <c r="AD773">
        <v>899</v>
      </c>
      <c r="AE773" t="s">
        <v>208</v>
      </c>
      <c r="AF773">
        <v>0</v>
      </c>
      <c r="AG773" t="s">
        <v>3052</v>
      </c>
      <c r="AH773">
        <v>131296</v>
      </c>
      <c r="AI773" t="s">
        <v>46</v>
      </c>
      <c r="AJ773" s="1">
        <v>18012</v>
      </c>
      <c r="AK773">
        <v>22.9</v>
      </c>
      <c r="AL773" s="2">
        <v>0.06</v>
      </c>
      <c r="AM773" s="3">
        <v>2.3229166666666665</v>
      </c>
      <c r="AN773" t="s">
        <v>3051</v>
      </c>
      <c r="AO773" t="s">
        <v>3053</v>
      </c>
      <c r="AP773" t="b">
        <v>0</v>
      </c>
      <c r="AQ773" t="b">
        <v>0</v>
      </c>
      <c r="AR773" t="b">
        <v>0</v>
      </c>
      <c r="AS773" t="s">
        <v>3054</v>
      </c>
    </row>
    <row r="774" spans="1:45" x14ac:dyDescent="0.3">
      <c r="A774" t="s">
        <v>2369</v>
      </c>
      <c r="B774" t="s">
        <v>2369</v>
      </c>
      <c r="C774" t="s">
        <v>3055</v>
      </c>
      <c r="D774" t="s">
        <v>649</v>
      </c>
      <c r="E774" t="s">
        <v>650</v>
      </c>
      <c r="F774" t="s">
        <v>56</v>
      </c>
      <c r="G774">
        <v>6.1</v>
      </c>
      <c r="H774">
        <v>5.8</v>
      </c>
      <c r="I774">
        <v>3.4</v>
      </c>
      <c r="J774">
        <v>8.8000000000000007</v>
      </c>
      <c r="L774">
        <v>4.4000000000000004</v>
      </c>
      <c r="M774">
        <v>92.4</v>
      </c>
      <c r="N774">
        <v>11.6</v>
      </c>
      <c r="O774">
        <v>1.7</v>
      </c>
      <c r="P774" t="s">
        <v>1615</v>
      </c>
      <c r="Q774" t="s">
        <v>679</v>
      </c>
      <c r="R774" t="s">
        <v>3055</v>
      </c>
      <c r="S774" t="s">
        <v>680</v>
      </c>
      <c r="T774">
        <v>8630</v>
      </c>
      <c r="U774">
        <v>22.4</v>
      </c>
      <c r="V774">
        <v>1192</v>
      </c>
      <c r="W774">
        <v>18.7</v>
      </c>
      <c r="X774">
        <v>881</v>
      </c>
      <c r="Y774">
        <v>56.4</v>
      </c>
      <c r="Z774">
        <v>859</v>
      </c>
      <c r="AA774">
        <v>26.9</v>
      </c>
      <c r="AB774">
        <v>1261</v>
      </c>
      <c r="AC774">
        <v>51.7</v>
      </c>
      <c r="AD774">
        <v>749</v>
      </c>
      <c r="AE774" t="s">
        <v>57</v>
      </c>
      <c r="AF774">
        <v>0</v>
      </c>
      <c r="AG774" t="s">
        <v>3056</v>
      </c>
      <c r="AH774">
        <v>707798</v>
      </c>
      <c r="AI774" t="s">
        <v>650</v>
      </c>
      <c r="AJ774" s="1">
        <v>33247</v>
      </c>
      <c r="AK774">
        <v>35.6</v>
      </c>
      <c r="AL774" s="2">
        <v>0.02</v>
      </c>
      <c r="AM774" s="3">
        <v>2.6506944444444445</v>
      </c>
      <c r="AN774" t="s">
        <v>3055</v>
      </c>
      <c r="AO774" t="s">
        <v>3057</v>
      </c>
      <c r="AP774" t="b">
        <v>0</v>
      </c>
      <c r="AQ774" t="b">
        <v>0</v>
      </c>
      <c r="AR774" t="b">
        <v>0</v>
      </c>
    </row>
    <row r="775" spans="1:45" x14ac:dyDescent="0.3">
      <c r="A775" t="s">
        <v>2369</v>
      </c>
      <c r="B775" t="s">
        <v>2369</v>
      </c>
      <c r="C775" t="s">
        <v>3058</v>
      </c>
      <c r="D775" t="s">
        <v>87</v>
      </c>
      <c r="E775" t="s">
        <v>88</v>
      </c>
      <c r="F775" t="s">
        <v>56</v>
      </c>
      <c r="G775">
        <v>3.6</v>
      </c>
      <c r="H775">
        <v>1.9</v>
      </c>
      <c r="I775">
        <v>2.6</v>
      </c>
      <c r="J775">
        <v>25.2</v>
      </c>
      <c r="K775">
        <v>2.7</v>
      </c>
      <c r="L775">
        <v>16.399999999999999</v>
      </c>
      <c r="M775">
        <v>48.3</v>
      </c>
      <c r="N775">
        <v>1.6</v>
      </c>
      <c r="O775">
        <v>6.5</v>
      </c>
      <c r="P775" t="s">
        <v>1615</v>
      </c>
      <c r="Q775" t="s">
        <v>572</v>
      </c>
      <c r="R775" t="s">
        <v>3059</v>
      </c>
      <c r="S775" t="s">
        <v>574</v>
      </c>
      <c r="T775">
        <v>5880</v>
      </c>
      <c r="U775">
        <v>20.9</v>
      </c>
      <c r="V775">
        <v>1310</v>
      </c>
      <c r="W775">
        <v>27.7</v>
      </c>
      <c r="X775">
        <v>522</v>
      </c>
      <c r="Y775">
        <v>70.2</v>
      </c>
      <c r="Z775">
        <v>556</v>
      </c>
      <c r="AA775">
        <v>37.299999999999997</v>
      </c>
      <c r="AB775">
        <v>1038</v>
      </c>
      <c r="AC775">
        <v>69.099999999999994</v>
      </c>
      <c r="AD775">
        <v>419</v>
      </c>
      <c r="AE775" t="s">
        <v>57</v>
      </c>
      <c r="AF775">
        <v>0</v>
      </c>
      <c r="AG775" t="s">
        <v>3060</v>
      </c>
      <c r="AH775">
        <v>131394</v>
      </c>
      <c r="AI775" t="s">
        <v>88</v>
      </c>
      <c r="AJ775" s="1">
        <v>11542</v>
      </c>
      <c r="AK775">
        <v>29.8</v>
      </c>
      <c r="AL775" s="2">
        <v>0.13</v>
      </c>
      <c r="AM775" s="3">
        <v>2.8965277777777776</v>
      </c>
      <c r="AN775" t="s">
        <v>3061</v>
      </c>
      <c r="AO775" t="s">
        <v>3062</v>
      </c>
      <c r="AP775" t="b">
        <v>0</v>
      </c>
      <c r="AQ775" t="b">
        <v>0</v>
      </c>
      <c r="AR775" t="b">
        <v>0</v>
      </c>
    </row>
    <row r="776" spans="1:45" x14ac:dyDescent="0.3">
      <c r="A776" t="s">
        <v>2369</v>
      </c>
      <c r="B776" t="s">
        <v>2369</v>
      </c>
      <c r="C776" t="s">
        <v>3063</v>
      </c>
      <c r="D776" t="s">
        <v>45</v>
      </c>
      <c r="E776" t="s">
        <v>46</v>
      </c>
      <c r="F776" t="s">
        <v>56</v>
      </c>
      <c r="G776">
        <v>3.7</v>
      </c>
      <c r="H776">
        <v>3</v>
      </c>
      <c r="I776">
        <v>9.6</v>
      </c>
      <c r="J776">
        <v>18.2</v>
      </c>
      <c r="K776">
        <v>6</v>
      </c>
      <c r="L776">
        <v>10.4</v>
      </c>
      <c r="M776">
        <v>45.4</v>
      </c>
      <c r="N776">
        <v>7.7</v>
      </c>
      <c r="O776">
        <v>1.7</v>
      </c>
      <c r="P776" t="s">
        <v>1615</v>
      </c>
      <c r="Q776" t="s">
        <v>696</v>
      </c>
      <c r="R776" t="s">
        <v>3063</v>
      </c>
      <c r="S776" t="s">
        <v>697</v>
      </c>
      <c r="T776">
        <v>7810</v>
      </c>
      <c r="U776">
        <v>35.700000000000003</v>
      </c>
      <c r="V776">
        <v>438</v>
      </c>
      <c r="W776">
        <v>16.7</v>
      </c>
      <c r="X776">
        <v>996</v>
      </c>
      <c r="Y776">
        <v>54.5</v>
      </c>
      <c r="Z776">
        <v>898</v>
      </c>
      <c r="AA776">
        <v>68.8</v>
      </c>
      <c r="AB776">
        <v>460</v>
      </c>
      <c r="AC776">
        <v>56.7</v>
      </c>
      <c r="AD776">
        <v>649</v>
      </c>
      <c r="AE776" t="s">
        <v>208</v>
      </c>
      <c r="AF776">
        <v>0</v>
      </c>
      <c r="AG776" t="s">
        <v>3064</v>
      </c>
      <c r="AH776">
        <v>131368</v>
      </c>
      <c r="AI776" t="s">
        <v>46</v>
      </c>
      <c r="AJ776" s="1">
        <v>16199</v>
      </c>
      <c r="AK776">
        <v>17</v>
      </c>
      <c r="AL776" s="2">
        <v>0.09</v>
      </c>
      <c r="AM776" s="3">
        <v>2.2409722222222221</v>
      </c>
      <c r="AN776" t="s">
        <v>3063</v>
      </c>
      <c r="AO776" t="s">
        <v>3065</v>
      </c>
      <c r="AP776" t="b">
        <v>0</v>
      </c>
      <c r="AQ776" t="b">
        <v>0</v>
      </c>
      <c r="AR776" t="b">
        <v>0</v>
      </c>
      <c r="AS776" t="s">
        <v>3066</v>
      </c>
    </row>
    <row r="777" spans="1:45" x14ac:dyDescent="0.3">
      <c r="A777" t="s">
        <v>2369</v>
      </c>
      <c r="B777" t="s">
        <v>2369</v>
      </c>
      <c r="C777" t="s">
        <v>3067</v>
      </c>
      <c r="D777" t="s">
        <v>45</v>
      </c>
      <c r="E777" t="s">
        <v>46</v>
      </c>
      <c r="F777" t="s">
        <v>388</v>
      </c>
      <c r="G777">
        <v>3.2</v>
      </c>
      <c r="H777">
        <v>2.1</v>
      </c>
      <c r="I777">
        <v>35.1</v>
      </c>
      <c r="J777">
        <v>11.5</v>
      </c>
      <c r="K777">
        <v>7</v>
      </c>
      <c r="L777">
        <v>17.8</v>
      </c>
      <c r="M777">
        <v>20.399999999999999</v>
      </c>
      <c r="N777">
        <v>13.7</v>
      </c>
      <c r="O777">
        <v>1.1000000000000001</v>
      </c>
      <c r="P777" t="s">
        <v>1615</v>
      </c>
      <c r="Q777" t="s">
        <v>572</v>
      </c>
      <c r="R777" t="s">
        <v>3068</v>
      </c>
      <c r="S777" t="s">
        <v>574</v>
      </c>
      <c r="T777">
        <v>5960</v>
      </c>
      <c r="U777">
        <v>36.1</v>
      </c>
      <c r="V777">
        <v>423</v>
      </c>
      <c r="W777">
        <v>17.2</v>
      </c>
      <c r="X777">
        <v>958</v>
      </c>
      <c r="Y777">
        <v>71.900000000000006</v>
      </c>
      <c r="Z777">
        <v>513</v>
      </c>
      <c r="AA777">
        <v>52.9</v>
      </c>
      <c r="AB777">
        <v>755</v>
      </c>
      <c r="AC777">
        <v>44.6</v>
      </c>
      <c r="AD777">
        <v>972</v>
      </c>
      <c r="AE777" t="s">
        <v>49</v>
      </c>
      <c r="AF777">
        <v>0</v>
      </c>
      <c r="AG777" t="s">
        <v>3069</v>
      </c>
      <c r="AH777">
        <v>131482</v>
      </c>
      <c r="AI777" t="s">
        <v>46</v>
      </c>
      <c r="AJ777" s="1">
        <v>4110</v>
      </c>
      <c r="AK777">
        <v>10.8</v>
      </c>
      <c r="AL777" s="2">
        <v>0.09</v>
      </c>
      <c r="AM777" s="3">
        <v>2.0770833333333334</v>
      </c>
      <c r="AN777" t="s">
        <v>3068</v>
      </c>
      <c r="AO777" t="s">
        <v>3070</v>
      </c>
      <c r="AP777" t="b">
        <v>0</v>
      </c>
      <c r="AQ777" t="b">
        <v>0</v>
      </c>
      <c r="AR777" t="b">
        <v>0</v>
      </c>
      <c r="AS777" t="s">
        <v>3071</v>
      </c>
    </row>
    <row r="778" spans="1:45" x14ac:dyDescent="0.3">
      <c r="A778" t="s">
        <v>2369</v>
      </c>
      <c r="B778" t="s">
        <v>1621</v>
      </c>
      <c r="C778" t="s">
        <v>3072</v>
      </c>
      <c r="D778" t="s">
        <v>887</v>
      </c>
      <c r="E778" t="s">
        <v>888</v>
      </c>
      <c r="F778" t="s">
        <v>56</v>
      </c>
      <c r="G778">
        <v>6.9</v>
      </c>
      <c r="H778">
        <v>8.9</v>
      </c>
      <c r="I778">
        <v>28.6</v>
      </c>
      <c r="J778">
        <v>3.7</v>
      </c>
      <c r="K778">
        <v>2</v>
      </c>
      <c r="L778">
        <v>2.7</v>
      </c>
      <c r="M778">
        <v>40.6</v>
      </c>
      <c r="N778">
        <v>3.2</v>
      </c>
      <c r="O778">
        <v>7.1</v>
      </c>
      <c r="P778" t="s">
        <v>1615</v>
      </c>
      <c r="Q778" t="s">
        <v>1068</v>
      </c>
      <c r="R778" t="s">
        <v>3072</v>
      </c>
      <c r="S778" t="s">
        <v>1070</v>
      </c>
      <c r="T778">
        <v>18980</v>
      </c>
      <c r="U778">
        <v>16.899999999999999</v>
      </c>
      <c r="V778">
        <v>1634</v>
      </c>
      <c r="W778">
        <v>13.5</v>
      </c>
      <c r="X778">
        <v>1260</v>
      </c>
      <c r="Y778">
        <v>35.299999999999997</v>
      </c>
      <c r="Z778">
        <v>1317</v>
      </c>
      <c r="AA778">
        <v>21.8</v>
      </c>
      <c r="AB778">
        <v>1450</v>
      </c>
      <c r="AC778">
        <v>23.3</v>
      </c>
      <c r="AD778">
        <v>1767</v>
      </c>
      <c r="AE778" t="s">
        <v>57</v>
      </c>
      <c r="AF778">
        <v>0</v>
      </c>
      <c r="AG778" t="s">
        <v>3073</v>
      </c>
      <c r="AH778">
        <v>660989</v>
      </c>
      <c r="AI778" t="s">
        <v>888</v>
      </c>
      <c r="AJ778" s="1">
        <v>16899</v>
      </c>
      <c r="AK778">
        <v>17.5</v>
      </c>
      <c r="AL778" s="2">
        <v>0.03</v>
      </c>
      <c r="AM778" s="3">
        <v>2.5277777777777777</v>
      </c>
      <c r="AN778" t="s">
        <v>3072</v>
      </c>
      <c r="AO778" t="s">
        <v>3074</v>
      </c>
      <c r="AP778" t="b">
        <v>0</v>
      </c>
      <c r="AQ778" t="b">
        <v>0</v>
      </c>
      <c r="AR778" t="b">
        <v>0</v>
      </c>
    </row>
    <row r="779" spans="1:45" x14ac:dyDescent="0.3">
      <c r="A779" t="s">
        <v>2369</v>
      </c>
      <c r="B779" t="s">
        <v>2369</v>
      </c>
      <c r="C779" t="s">
        <v>3075</v>
      </c>
      <c r="D779" t="s">
        <v>54</v>
      </c>
      <c r="E779" t="s">
        <v>55</v>
      </c>
      <c r="F779" t="s">
        <v>56</v>
      </c>
      <c r="G779">
        <v>3.2</v>
      </c>
      <c r="H779">
        <v>2.7</v>
      </c>
      <c r="I779">
        <v>10.199999999999999</v>
      </c>
      <c r="J779">
        <v>8.3000000000000007</v>
      </c>
      <c r="K779">
        <v>33.299999999999997</v>
      </c>
      <c r="L779">
        <v>69.2</v>
      </c>
      <c r="M779">
        <v>45.7</v>
      </c>
      <c r="N779">
        <v>4.7</v>
      </c>
      <c r="O779">
        <v>1.3</v>
      </c>
      <c r="P779" t="s">
        <v>1615</v>
      </c>
      <c r="Q779" t="s">
        <v>696</v>
      </c>
      <c r="R779" t="s">
        <v>3075</v>
      </c>
      <c r="S779" t="s">
        <v>697</v>
      </c>
      <c r="T779">
        <v>7950</v>
      </c>
      <c r="U779">
        <v>19.100000000000001</v>
      </c>
      <c r="V779">
        <v>1464</v>
      </c>
      <c r="W779">
        <v>14.7</v>
      </c>
      <c r="X779">
        <v>1151</v>
      </c>
      <c r="Y779">
        <v>64.7</v>
      </c>
      <c r="Z779">
        <v>680</v>
      </c>
      <c r="AA779">
        <v>40.700000000000003</v>
      </c>
      <c r="AB779">
        <v>964</v>
      </c>
      <c r="AC779">
        <v>81.099999999999994</v>
      </c>
      <c r="AD779">
        <v>238</v>
      </c>
      <c r="AE779" t="s">
        <v>57</v>
      </c>
      <c r="AF779">
        <v>0</v>
      </c>
      <c r="AG779" t="s">
        <v>3076</v>
      </c>
      <c r="AH779">
        <v>621402</v>
      </c>
      <c r="AI779" t="s">
        <v>55</v>
      </c>
      <c r="AJ779" s="1">
        <v>15115</v>
      </c>
      <c r="AK779">
        <v>16.7</v>
      </c>
      <c r="AL779" s="2">
        <v>0.28000000000000003</v>
      </c>
      <c r="AM779" s="3">
        <v>2.6097222222222221</v>
      </c>
      <c r="AN779" t="s">
        <v>3075</v>
      </c>
      <c r="AO779" t="s">
        <v>3077</v>
      </c>
      <c r="AP779" t="b">
        <v>0</v>
      </c>
      <c r="AQ779" t="b">
        <v>0</v>
      </c>
      <c r="AR779" t="b">
        <v>0</v>
      </c>
      <c r="AS779" t="s">
        <v>3078</v>
      </c>
    </row>
    <row r="780" spans="1:45" x14ac:dyDescent="0.3">
      <c r="A780" t="s">
        <v>2369</v>
      </c>
      <c r="B780" t="s">
        <v>2369</v>
      </c>
      <c r="C780" t="s">
        <v>3079</v>
      </c>
      <c r="D780" t="s">
        <v>45</v>
      </c>
      <c r="E780" t="s">
        <v>46</v>
      </c>
      <c r="F780" t="s">
        <v>47</v>
      </c>
      <c r="G780">
        <v>3.2</v>
      </c>
      <c r="H780">
        <v>1.6</v>
      </c>
      <c r="I780">
        <v>28.4</v>
      </c>
      <c r="J780">
        <v>21.1</v>
      </c>
      <c r="K780">
        <v>6.8</v>
      </c>
      <c r="L780">
        <v>4</v>
      </c>
      <c r="M780">
        <v>52.2</v>
      </c>
      <c r="N780">
        <v>6.5</v>
      </c>
      <c r="O780">
        <v>3.6</v>
      </c>
      <c r="P780" t="s">
        <v>1615</v>
      </c>
      <c r="Q780" t="s">
        <v>696</v>
      </c>
      <c r="R780" t="s">
        <v>3079</v>
      </c>
      <c r="S780" t="s">
        <v>697</v>
      </c>
      <c r="T780">
        <v>7980</v>
      </c>
      <c r="U780">
        <v>35.9</v>
      </c>
      <c r="V780">
        <v>434</v>
      </c>
      <c r="W780">
        <v>20.3</v>
      </c>
      <c r="X780">
        <v>799</v>
      </c>
      <c r="Y780">
        <v>62.1</v>
      </c>
      <c r="Z780">
        <v>732</v>
      </c>
      <c r="AA780">
        <v>58.6</v>
      </c>
      <c r="AB780">
        <v>668</v>
      </c>
      <c r="AC780">
        <v>37.700000000000003</v>
      </c>
      <c r="AD780">
        <v>1212</v>
      </c>
      <c r="AE780" t="s">
        <v>208</v>
      </c>
      <c r="AF780">
        <v>0</v>
      </c>
      <c r="AG780" t="s">
        <v>3080</v>
      </c>
      <c r="AH780">
        <v>864</v>
      </c>
      <c r="AI780" t="s">
        <v>46</v>
      </c>
      <c r="AJ780" s="1">
        <v>10174</v>
      </c>
      <c r="AK780">
        <v>14.1</v>
      </c>
      <c r="AL780" s="2">
        <v>0.04</v>
      </c>
      <c r="AM780" s="3">
        <v>2.2000000000000002</v>
      </c>
      <c r="AN780" t="s">
        <v>3079</v>
      </c>
      <c r="AO780" t="s">
        <v>3081</v>
      </c>
      <c r="AP780" t="b">
        <v>0</v>
      </c>
      <c r="AQ780" t="b">
        <v>0</v>
      </c>
      <c r="AR780" t="b">
        <v>0</v>
      </c>
      <c r="AS780" t="s">
        <v>3082</v>
      </c>
    </row>
    <row r="781" spans="1:45" x14ac:dyDescent="0.3">
      <c r="A781" t="s">
        <v>2369</v>
      </c>
      <c r="B781" t="s">
        <v>2369</v>
      </c>
      <c r="C781" t="s">
        <v>3083</v>
      </c>
      <c r="D781" t="s">
        <v>1939</v>
      </c>
      <c r="E781" t="s">
        <v>1940</v>
      </c>
      <c r="F781" t="s">
        <v>47</v>
      </c>
      <c r="G781">
        <v>6.6</v>
      </c>
      <c r="H781">
        <v>1.8</v>
      </c>
      <c r="I781">
        <v>60.1</v>
      </c>
      <c r="J781">
        <v>6.6</v>
      </c>
      <c r="K781">
        <v>2</v>
      </c>
      <c r="L781">
        <v>6</v>
      </c>
      <c r="M781">
        <v>19.3</v>
      </c>
      <c r="N781">
        <v>4.5999999999999996</v>
      </c>
      <c r="O781">
        <v>1</v>
      </c>
      <c r="P781" t="s">
        <v>1615</v>
      </c>
      <c r="Q781" t="s">
        <v>733</v>
      </c>
      <c r="R781" t="s">
        <v>3083</v>
      </c>
      <c r="S781" t="s">
        <v>735</v>
      </c>
      <c r="T781">
        <v>12020</v>
      </c>
      <c r="U781">
        <v>27.7</v>
      </c>
      <c r="V781">
        <v>828</v>
      </c>
      <c r="W781">
        <v>18</v>
      </c>
      <c r="X781">
        <v>922</v>
      </c>
      <c r="Y781">
        <v>48.2</v>
      </c>
      <c r="Z781">
        <v>1052</v>
      </c>
      <c r="AA781">
        <v>30.6</v>
      </c>
      <c r="AB781">
        <v>1169</v>
      </c>
      <c r="AC781">
        <v>31.8</v>
      </c>
      <c r="AD781">
        <v>1435</v>
      </c>
      <c r="AE781" t="s">
        <v>57</v>
      </c>
      <c r="AF781">
        <v>0</v>
      </c>
      <c r="AG781" t="s">
        <v>3084</v>
      </c>
      <c r="AH781">
        <v>661151</v>
      </c>
      <c r="AI781" t="s">
        <v>1940</v>
      </c>
      <c r="AJ781" s="1">
        <v>7154</v>
      </c>
      <c r="AK781">
        <v>14</v>
      </c>
      <c r="AL781" s="2">
        <v>0.03</v>
      </c>
      <c r="AM781" t="s">
        <v>357</v>
      </c>
      <c r="AN781" t="s">
        <v>3083</v>
      </c>
      <c r="AO781" t="s">
        <v>3085</v>
      </c>
      <c r="AP781" t="b">
        <v>0</v>
      </c>
      <c r="AQ781" t="b">
        <v>0</v>
      </c>
      <c r="AR781" t="b">
        <v>0</v>
      </c>
    </row>
    <row r="782" spans="1:45" x14ac:dyDescent="0.3">
      <c r="A782" t="s">
        <v>2369</v>
      </c>
      <c r="B782" t="s">
        <v>2369</v>
      </c>
      <c r="C782" t="s">
        <v>3086</v>
      </c>
      <c r="D782" t="s">
        <v>849</v>
      </c>
      <c r="E782" t="s">
        <v>850</v>
      </c>
      <c r="F782" t="s">
        <v>47</v>
      </c>
      <c r="G782">
        <v>6</v>
      </c>
      <c r="H782">
        <v>10.5</v>
      </c>
      <c r="I782">
        <v>18.600000000000001</v>
      </c>
      <c r="J782">
        <v>4.7</v>
      </c>
      <c r="K782">
        <v>11.3</v>
      </c>
      <c r="L782">
        <v>28.3</v>
      </c>
      <c r="M782">
        <v>50.2</v>
      </c>
      <c r="N782">
        <v>3.9</v>
      </c>
      <c r="O782">
        <v>4.5999999999999996</v>
      </c>
      <c r="P782" t="s">
        <v>1615</v>
      </c>
      <c r="Q782" t="s">
        <v>621</v>
      </c>
      <c r="R782" t="s">
        <v>3086</v>
      </c>
      <c r="S782" t="s">
        <v>622</v>
      </c>
      <c r="T782">
        <v>14840</v>
      </c>
      <c r="U782">
        <v>26.8</v>
      </c>
      <c r="V782">
        <v>887</v>
      </c>
      <c r="W782">
        <v>19.7</v>
      </c>
      <c r="X782">
        <v>829</v>
      </c>
      <c r="Y782">
        <v>27.8</v>
      </c>
      <c r="Z782">
        <v>1499</v>
      </c>
      <c r="AA782">
        <v>31</v>
      </c>
      <c r="AB782">
        <v>1157</v>
      </c>
      <c r="AC782">
        <v>46.9</v>
      </c>
      <c r="AD782">
        <v>893</v>
      </c>
      <c r="AE782" t="s">
        <v>57</v>
      </c>
      <c r="AF782">
        <v>11</v>
      </c>
      <c r="AG782" t="s">
        <v>3087</v>
      </c>
      <c r="AH782">
        <v>131319</v>
      </c>
      <c r="AI782" t="s">
        <v>850</v>
      </c>
      <c r="AJ782" s="1">
        <v>11390</v>
      </c>
      <c r="AK782">
        <v>14.7</v>
      </c>
      <c r="AL782" s="2">
        <v>0.13</v>
      </c>
      <c r="AM782" t="s">
        <v>831</v>
      </c>
      <c r="AN782" t="s">
        <v>3086</v>
      </c>
      <c r="AO782" t="s">
        <v>3088</v>
      </c>
      <c r="AP782" t="b">
        <v>0</v>
      </c>
      <c r="AQ782" t="b">
        <v>0</v>
      </c>
      <c r="AR782" t="b">
        <v>0</v>
      </c>
    </row>
    <row r="783" spans="1:45" x14ac:dyDescent="0.3">
      <c r="A783" t="s">
        <v>2369</v>
      </c>
      <c r="B783" t="s">
        <v>2200</v>
      </c>
      <c r="C783" t="s">
        <v>3089</v>
      </c>
      <c r="D783" t="s">
        <v>45</v>
      </c>
      <c r="E783" t="s">
        <v>46</v>
      </c>
      <c r="F783" t="s">
        <v>56</v>
      </c>
      <c r="G783">
        <v>5.6</v>
      </c>
      <c r="H783">
        <v>4.7</v>
      </c>
      <c r="I783">
        <v>12.8</v>
      </c>
      <c r="J783">
        <v>18.5</v>
      </c>
      <c r="K783">
        <v>5.8</v>
      </c>
      <c r="L783">
        <v>4.2</v>
      </c>
      <c r="M783">
        <v>66.7</v>
      </c>
      <c r="N783">
        <v>14.3</v>
      </c>
      <c r="O783">
        <v>6.7</v>
      </c>
      <c r="P783" t="s">
        <v>1615</v>
      </c>
      <c r="Q783" t="s">
        <v>1475</v>
      </c>
      <c r="R783" t="s">
        <v>3089</v>
      </c>
      <c r="T783">
        <v>1000749</v>
      </c>
      <c r="V783">
        <v>0</v>
      </c>
      <c r="X783">
        <v>0</v>
      </c>
      <c r="Z783">
        <v>0</v>
      </c>
      <c r="AB783">
        <v>0</v>
      </c>
      <c r="AD783">
        <v>0</v>
      </c>
      <c r="AE783" t="s">
        <v>208</v>
      </c>
      <c r="AF783">
        <v>0</v>
      </c>
      <c r="AG783" t="s">
        <v>3090</v>
      </c>
      <c r="AH783">
        <v>594947</v>
      </c>
      <c r="AI783" t="s">
        <v>46</v>
      </c>
      <c r="AJ783" s="1">
        <v>24473</v>
      </c>
      <c r="AK783">
        <v>18.3</v>
      </c>
      <c r="AL783" s="2">
        <v>0.05</v>
      </c>
      <c r="AM783" s="3">
        <v>2.2409722222222221</v>
      </c>
      <c r="AN783" t="s">
        <v>3089</v>
      </c>
      <c r="AO783" t="s">
        <v>3091</v>
      </c>
      <c r="AP783" t="b">
        <v>0</v>
      </c>
      <c r="AQ783" t="b">
        <v>0</v>
      </c>
      <c r="AR783" t="b">
        <v>0</v>
      </c>
      <c r="AS783" t="s">
        <v>3092</v>
      </c>
    </row>
    <row r="784" spans="1:45" x14ac:dyDescent="0.3">
      <c r="A784" t="s">
        <v>2369</v>
      </c>
      <c r="B784" t="s">
        <v>2369</v>
      </c>
      <c r="C784" t="s">
        <v>3093</v>
      </c>
      <c r="D784" t="s">
        <v>95</v>
      </c>
      <c r="E784" t="s">
        <v>96</v>
      </c>
      <c r="F784" t="s">
        <v>56</v>
      </c>
      <c r="G784">
        <v>4.2</v>
      </c>
      <c r="H784">
        <v>1.9</v>
      </c>
      <c r="I784">
        <v>6.2</v>
      </c>
      <c r="J784">
        <v>5.6</v>
      </c>
      <c r="K784">
        <v>94.8</v>
      </c>
      <c r="L784">
        <v>2.8</v>
      </c>
      <c r="M784">
        <v>37.799999999999997</v>
      </c>
      <c r="N784">
        <v>1.5</v>
      </c>
      <c r="O784">
        <v>1.5</v>
      </c>
      <c r="P784" t="s">
        <v>1615</v>
      </c>
      <c r="Q784" t="s">
        <v>696</v>
      </c>
      <c r="R784" t="s">
        <v>3094</v>
      </c>
      <c r="S784" t="s">
        <v>697</v>
      </c>
      <c r="T784">
        <v>7990</v>
      </c>
      <c r="U784">
        <v>18.600000000000001</v>
      </c>
      <c r="V784">
        <v>1498</v>
      </c>
      <c r="W784">
        <v>15.1</v>
      </c>
      <c r="X784">
        <v>1118</v>
      </c>
      <c r="Y784">
        <v>70.8</v>
      </c>
      <c r="Z784">
        <v>546</v>
      </c>
      <c r="AA784">
        <v>20.9</v>
      </c>
      <c r="AB784">
        <v>1491</v>
      </c>
      <c r="AC784">
        <v>77.3</v>
      </c>
      <c r="AD784">
        <v>291</v>
      </c>
      <c r="AE784" t="s">
        <v>57</v>
      </c>
      <c r="AF784">
        <v>11</v>
      </c>
      <c r="AG784" t="s">
        <v>3095</v>
      </c>
      <c r="AH784">
        <v>672267</v>
      </c>
      <c r="AI784" t="s">
        <v>98</v>
      </c>
      <c r="AJ784" s="1">
        <v>19535</v>
      </c>
      <c r="AK784">
        <v>19.899999999999999</v>
      </c>
      <c r="AL784" s="2">
        <v>0.04</v>
      </c>
      <c r="AM784" s="3">
        <v>2.1590277777777778</v>
      </c>
      <c r="AN784" t="s">
        <v>3096</v>
      </c>
      <c r="AO784" t="s">
        <v>3097</v>
      </c>
      <c r="AP784" t="b">
        <v>0</v>
      </c>
      <c r="AQ784" t="b">
        <v>0</v>
      </c>
      <c r="AR784" t="b">
        <v>0</v>
      </c>
    </row>
    <row r="785" spans="1:45" x14ac:dyDescent="0.3">
      <c r="A785" t="s">
        <v>2369</v>
      </c>
      <c r="B785" t="s">
        <v>2266</v>
      </c>
      <c r="C785" t="s">
        <v>3098</v>
      </c>
      <c r="D785" t="s">
        <v>175</v>
      </c>
      <c r="E785" t="s">
        <v>176</v>
      </c>
      <c r="F785" t="s">
        <v>47</v>
      </c>
      <c r="G785">
        <v>9.3000000000000007</v>
      </c>
      <c r="H785">
        <v>16.399999999999999</v>
      </c>
      <c r="I785">
        <v>18.3</v>
      </c>
      <c r="J785">
        <v>6.6</v>
      </c>
      <c r="K785">
        <v>10.1</v>
      </c>
      <c r="L785">
        <v>7.8</v>
      </c>
      <c r="M785">
        <v>26.5</v>
      </c>
      <c r="N785">
        <v>17.8</v>
      </c>
      <c r="O785">
        <v>2.8</v>
      </c>
      <c r="P785" t="s">
        <v>1615</v>
      </c>
      <c r="Q785" t="s">
        <v>621</v>
      </c>
      <c r="R785" t="s">
        <v>3098</v>
      </c>
      <c r="S785" t="s">
        <v>622</v>
      </c>
      <c r="T785">
        <v>15020</v>
      </c>
      <c r="U785">
        <v>26</v>
      </c>
      <c r="V785">
        <v>940</v>
      </c>
      <c r="W785">
        <v>22.5</v>
      </c>
      <c r="X785">
        <v>713</v>
      </c>
      <c r="Y785">
        <v>19.100000000000001</v>
      </c>
      <c r="Z785">
        <v>1702</v>
      </c>
      <c r="AA785">
        <v>71.2</v>
      </c>
      <c r="AB785">
        <v>403</v>
      </c>
      <c r="AC785">
        <v>36.1</v>
      </c>
      <c r="AD785">
        <v>1275</v>
      </c>
      <c r="AE785" t="s">
        <v>57</v>
      </c>
      <c r="AF785">
        <v>0</v>
      </c>
      <c r="AG785" t="s">
        <v>3099</v>
      </c>
      <c r="AH785">
        <v>955</v>
      </c>
      <c r="AI785" t="s">
        <v>176</v>
      </c>
      <c r="AJ785" s="1">
        <v>9649</v>
      </c>
      <c r="AK785">
        <v>13.4</v>
      </c>
      <c r="AL785" s="2">
        <v>0.08</v>
      </c>
      <c r="AM785" t="s">
        <v>427</v>
      </c>
      <c r="AN785" t="s">
        <v>3098</v>
      </c>
      <c r="AO785" t="s">
        <v>3100</v>
      </c>
      <c r="AP785" t="b">
        <v>0</v>
      </c>
      <c r="AQ785" t="b">
        <v>0</v>
      </c>
      <c r="AR785" t="b">
        <v>0</v>
      </c>
    </row>
    <row r="786" spans="1:45" x14ac:dyDescent="0.3">
      <c r="A786" t="s">
        <v>1621</v>
      </c>
      <c r="B786" t="s">
        <v>2357</v>
      </c>
      <c r="C786" t="s">
        <v>3101</v>
      </c>
      <c r="D786" t="s">
        <v>1214</v>
      </c>
      <c r="E786" t="s">
        <v>1215</v>
      </c>
      <c r="F786" t="s">
        <v>56</v>
      </c>
      <c r="G786">
        <v>5.8</v>
      </c>
      <c r="H786">
        <v>6.6</v>
      </c>
      <c r="I786">
        <v>4.8</v>
      </c>
      <c r="J786">
        <v>2.7</v>
      </c>
      <c r="K786">
        <v>7.6</v>
      </c>
      <c r="L786">
        <v>2.5</v>
      </c>
      <c r="M786">
        <v>32.9</v>
      </c>
      <c r="N786">
        <v>3.9</v>
      </c>
      <c r="O786">
        <v>6.7</v>
      </c>
      <c r="P786" t="s">
        <v>1615</v>
      </c>
      <c r="Q786" t="s">
        <v>733</v>
      </c>
      <c r="R786" t="s">
        <v>3101</v>
      </c>
      <c r="S786" t="s">
        <v>735</v>
      </c>
      <c r="T786">
        <v>10080</v>
      </c>
      <c r="U786">
        <v>12</v>
      </c>
      <c r="V786">
        <v>1874</v>
      </c>
      <c r="W786">
        <v>13.6</v>
      </c>
      <c r="X786">
        <v>1235</v>
      </c>
      <c r="Y786">
        <v>59.2</v>
      </c>
      <c r="Z786">
        <v>800</v>
      </c>
      <c r="AA786">
        <v>22.5</v>
      </c>
      <c r="AB786">
        <v>1416</v>
      </c>
      <c r="AC786">
        <v>39.299999999999997</v>
      </c>
      <c r="AD786">
        <v>1138</v>
      </c>
      <c r="AE786" t="s">
        <v>57</v>
      </c>
      <c r="AF786">
        <v>0</v>
      </c>
      <c r="AG786" t="s">
        <v>3102</v>
      </c>
      <c r="AH786">
        <v>623748</v>
      </c>
      <c r="AI786" t="s">
        <v>1215</v>
      </c>
      <c r="AJ786" s="1">
        <v>27973</v>
      </c>
      <c r="AK786">
        <v>27.3</v>
      </c>
      <c r="AL786" s="2">
        <v>0.02</v>
      </c>
      <c r="AM786" s="3">
        <v>2.4868055555555557</v>
      </c>
      <c r="AN786" t="s">
        <v>3101</v>
      </c>
      <c r="AO786" t="s">
        <v>3103</v>
      </c>
      <c r="AP786" t="b">
        <v>0</v>
      </c>
      <c r="AQ786" t="b">
        <v>0</v>
      </c>
      <c r="AR786" t="b">
        <v>0</v>
      </c>
    </row>
    <row r="787" spans="1:45" x14ac:dyDescent="0.3">
      <c r="A787" t="s">
        <v>1621</v>
      </c>
      <c r="B787" t="s">
        <v>1621</v>
      </c>
      <c r="C787" t="s">
        <v>3104</v>
      </c>
      <c r="D787" t="s">
        <v>2192</v>
      </c>
      <c r="E787" t="s">
        <v>2193</v>
      </c>
      <c r="F787" t="s">
        <v>56</v>
      </c>
      <c r="G787">
        <v>7.5</v>
      </c>
      <c r="H787">
        <v>11.9</v>
      </c>
      <c r="I787">
        <v>5.5</v>
      </c>
      <c r="J787">
        <v>3</v>
      </c>
      <c r="K787">
        <v>3.5</v>
      </c>
      <c r="L787">
        <v>9.6</v>
      </c>
      <c r="M787">
        <v>40.200000000000003</v>
      </c>
      <c r="N787">
        <v>14.3</v>
      </c>
      <c r="O787">
        <v>3.2</v>
      </c>
      <c r="P787" t="s">
        <v>1615</v>
      </c>
      <c r="Q787" t="s">
        <v>1068</v>
      </c>
      <c r="R787" t="s">
        <v>3104</v>
      </c>
      <c r="S787" t="s">
        <v>1070</v>
      </c>
      <c r="T787">
        <v>15190</v>
      </c>
      <c r="U787">
        <v>16.5</v>
      </c>
      <c r="V787">
        <v>1658</v>
      </c>
      <c r="W787">
        <v>12.1</v>
      </c>
      <c r="X787">
        <v>1395</v>
      </c>
      <c r="Y787">
        <v>31.6</v>
      </c>
      <c r="Z787">
        <v>1407</v>
      </c>
      <c r="AA787">
        <v>18.3</v>
      </c>
      <c r="AB787">
        <v>1640</v>
      </c>
      <c r="AC787">
        <v>40.200000000000003</v>
      </c>
      <c r="AD787">
        <v>1109</v>
      </c>
      <c r="AE787" t="s">
        <v>57</v>
      </c>
      <c r="AF787">
        <v>0</v>
      </c>
      <c r="AG787" t="s">
        <v>3105</v>
      </c>
      <c r="AH787">
        <v>131673</v>
      </c>
      <c r="AI787" t="s">
        <v>2193</v>
      </c>
      <c r="AJ787" s="1">
        <v>25443</v>
      </c>
      <c r="AK787">
        <v>22.3</v>
      </c>
      <c r="AL787" s="2">
        <v>0.08</v>
      </c>
      <c r="AM787" s="3">
        <v>2.3638888888888889</v>
      </c>
      <c r="AN787" t="s">
        <v>3104</v>
      </c>
      <c r="AO787" t="s">
        <v>3106</v>
      </c>
      <c r="AP787" t="b">
        <v>0</v>
      </c>
      <c r="AQ787" t="b">
        <v>0</v>
      </c>
      <c r="AR787" t="b">
        <v>0</v>
      </c>
    </row>
    <row r="788" spans="1:45" x14ac:dyDescent="0.3">
      <c r="A788" t="s">
        <v>1621</v>
      </c>
      <c r="B788" t="s">
        <v>1621</v>
      </c>
      <c r="C788" t="s">
        <v>3107</v>
      </c>
      <c r="D788" t="s">
        <v>962</v>
      </c>
      <c r="E788" t="s">
        <v>963</v>
      </c>
      <c r="F788" t="s">
        <v>56</v>
      </c>
      <c r="G788">
        <v>4.9000000000000004</v>
      </c>
      <c r="H788">
        <v>3.9</v>
      </c>
      <c r="I788">
        <v>13.1</v>
      </c>
      <c r="J788">
        <v>2.6</v>
      </c>
      <c r="K788">
        <v>1.8</v>
      </c>
      <c r="L788">
        <v>2.9</v>
      </c>
      <c r="M788">
        <v>17.5</v>
      </c>
      <c r="N788">
        <v>13.9</v>
      </c>
      <c r="O788">
        <v>1</v>
      </c>
      <c r="P788" t="s">
        <v>1615</v>
      </c>
      <c r="Q788" t="s">
        <v>621</v>
      </c>
      <c r="R788" t="s">
        <v>3107</v>
      </c>
      <c r="S788" t="s">
        <v>622</v>
      </c>
      <c r="T788">
        <v>12110</v>
      </c>
      <c r="U788">
        <v>22.3</v>
      </c>
      <c r="V788">
        <v>1199</v>
      </c>
      <c r="W788">
        <v>11.8</v>
      </c>
      <c r="X788">
        <v>1421</v>
      </c>
      <c r="Y788">
        <v>41.2</v>
      </c>
      <c r="Z788">
        <v>1195</v>
      </c>
      <c r="AA788">
        <v>22</v>
      </c>
      <c r="AB788">
        <v>1437</v>
      </c>
      <c r="AC788">
        <v>32.700000000000003</v>
      </c>
      <c r="AD788">
        <v>1395</v>
      </c>
      <c r="AE788" t="s">
        <v>57</v>
      </c>
      <c r="AF788">
        <v>0</v>
      </c>
      <c r="AG788" t="s">
        <v>3108</v>
      </c>
      <c r="AH788">
        <v>131583</v>
      </c>
      <c r="AI788" t="s">
        <v>963</v>
      </c>
      <c r="AJ788" s="1">
        <v>21491</v>
      </c>
      <c r="AK788">
        <v>17</v>
      </c>
      <c r="AL788" s="2">
        <v>0.08</v>
      </c>
      <c r="AM788" s="3">
        <v>2.2409722222222221</v>
      </c>
      <c r="AN788" t="s">
        <v>3107</v>
      </c>
      <c r="AO788" t="s">
        <v>3109</v>
      </c>
      <c r="AP788" t="b">
        <v>0</v>
      </c>
      <c r="AQ788" t="b">
        <v>0</v>
      </c>
      <c r="AR788" t="b">
        <v>0</v>
      </c>
    </row>
    <row r="789" spans="1:45" x14ac:dyDescent="0.3">
      <c r="A789" t="s">
        <v>1621</v>
      </c>
      <c r="B789" t="s">
        <v>1621</v>
      </c>
      <c r="C789" t="s">
        <v>3110</v>
      </c>
      <c r="D789" t="s">
        <v>175</v>
      </c>
      <c r="E789" t="s">
        <v>176</v>
      </c>
      <c r="F789" t="s">
        <v>56</v>
      </c>
      <c r="G789">
        <v>7</v>
      </c>
      <c r="H789">
        <v>10.9</v>
      </c>
      <c r="I789">
        <v>5.2</v>
      </c>
      <c r="J789">
        <v>1.8</v>
      </c>
      <c r="K789">
        <v>15.4</v>
      </c>
      <c r="L789">
        <v>2.5</v>
      </c>
      <c r="M789">
        <v>6.2</v>
      </c>
      <c r="N789">
        <v>9.5</v>
      </c>
      <c r="O789">
        <v>1</v>
      </c>
      <c r="P789" t="s">
        <v>1615</v>
      </c>
      <c r="Q789" t="s">
        <v>1068</v>
      </c>
      <c r="R789" t="s">
        <v>3110</v>
      </c>
      <c r="S789" t="s">
        <v>1070</v>
      </c>
      <c r="T789">
        <v>15310</v>
      </c>
      <c r="U789">
        <v>20</v>
      </c>
      <c r="V789">
        <v>1370</v>
      </c>
      <c r="W789">
        <v>8.9</v>
      </c>
      <c r="X789">
        <v>1807</v>
      </c>
      <c r="Y789">
        <v>10.4</v>
      </c>
      <c r="Z789">
        <v>1849</v>
      </c>
      <c r="AA789">
        <v>22.2</v>
      </c>
      <c r="AB789">
        <v>1430</v>
      </c>
      <c r="AC789">
        <v>36.200000000000003</v>
      </c>
      <c r="AD789">
        <v>1265</v>
      </c>
      <c r="AE789" t="s">
        <v>57</v>
      </c>
      <c r="AF789">
        <v>0</v>
      </c>
      <c r="AG789" t="s">
        <v>3111</v>
      </c>
      <c r="AH789">
        <v>609369</v>
      </c>
      <c r="AI789" t="s">
        <v>176</v>
      </c>
      <c r="AJ789" s="1">
        <v>19692</v>
      </c>
      <c r="AK789">
        <v>12.2</v>
      </c>
      <c r="AL789" s="2">
        <v>0.03</v>
      </c>
      <c r="AM789" s="3">
        <v>2.0770833333333334</v>
      </c>
      <c r="AN789" t="s">
        <v>3110</v>
      </c>
      <c r="AO789" t="s">
        <v>3112</v>
      </c>
      <c r="AP789" t="b">
        <v>0</v>
      </c>
      <c r="AQ789" t="b">
        <v>0</v>
      </c>
      <c r="AR789" t="b">
        <v>0</v>
      </c>
    </row>
    <row r="790" spans="1:45" x14ac:dyDescent="0.3">
      <c r="A790" t="s">
        <v>1621</v>
      </c>
      <c r="B790" t="s">
        <v>1621</v>
      </c>
      <c r="C790" t="s">
        <v>3113</v>
      </c>
      <c r="D790" t="s">
        <v>1047</v>
      </c>
      <c r="E790" t="s">
        <v>737</v>
      </c>
      <c r="F790" t="s">
        <v>77</v>
      </c>
      <c r="G790">
        <v>6</v>
      </c>
      <c r="H790">
        <v>6.2</v>
      </c>
      <c r="I790">
        <v>1.8</v>
      </c>
      <c r="J790">
        <v>14.6</v>
      </c>
      <c r="L790">
        <v>1</v>
      </c>
      <c r="M790">
        <v>44.6</v>
      </c>
      <c r="N790">
        <v>4.0999999999999996</v>
      </c>
      <c r="O790">
        <v>1</v>
      </c>
      <c r="P790" t="s">
        <v>1615</v>
      </c>
      <c r="Q790" t="s">
        <v>733</v>
      </c>
      <c r="R790" t="s">
        <v>3114</v>
      </c>
      <c r="S790" t="s">
        <v>735</v>
      </c>
      <c r="T790">
        <v>10170</v>
      </c>
      <c r="U790">
        <v>19.600000000000001</v>
      </c>
      <c r="V790">
        <v>1408</v>
      </c>
      <c r="W790">
        <v>12.6</v>
      </c>
      <c r="X790">
        <v>1346</v>
      </c>
      <c r="Y790">
        <v>58.5</v>
      </c>
      <c r="Z790">
        <v>811</v>
      </c>
      <c r="AA790">
        <v>19.2</v>
      </c>
      <c r="AB790">
        <v>1571</v>
      </c>
      <c r="AC790">
        <v>48.1</v>
      </c>
      <c r="AD790">
        <v>864</v>
      </c>
      <c r="AE790" t="s">
        <v>57</v>
      </c>
      <c r="AF790">
        <v>0</v>
      </c>
      <c r="AG790" t="s">
        <v>3115</v>
      </c>
      <c r="AH790">
        <v>587643</v>
      </c>
      <c r="AI790" t="s">
        <v>737</v>
      </c>
      <c r="AJ790" s="1">
        <v>26994</v>
      </c>
      <c r="AK790">
        <v>27.2</v>
      </c>
      <c r="AL790" s="2">
        <v>0</v>
      </c>
      <c r="AM790" t="s">
        <v>789</v>
      </c>
      <c r="AN790" t="s">
        <v>3114</v>
      </c>
      <c r="AO790" t="s">
        <v>3116</v>
      </c>
      <c r="AP790" t="b">
        <v>0</v>
      </c>
      <c r="AQ790" t="b">
        <v>0</v>
      </c>
      <c r="AR790" t="b">
        <v>0</v>
      </c>
    </row>
    <row r="791" spans="1:45" x14ac:dyDescent="0.3">
      <c r="A791" t="s">
        <v>1621</v>
      </c>
      <c r="B791" t="s">
        <v>1621</v>
      </c>
      <c r="C791" t="s">
        <v>3117</v>
      </c>
      <c r="D791" t="s">
        <v>1268</v>
      </c>
      <c r="E791" t="s">
        <v>1269</v>
      </c>
      <c r="F791" t="s">
        <v>47</v>
      </c>
      <c r="G791">
        <v>6.6</v>
      </c>
      <c r="H791">
        <v>17.100000000000001</v>
      </c>
      <c r="I791">
        <v>15.3</v>
      </c>
      <c r="J791">
        <v>1.2</v>
      </c>
      <c r="K791">
        <v>1.1000000000000001</v>
      </c>
      <c r="L791">
        <v>9.3000000000000007</v>
      </c>
      <c r="M791">
        <v>7.4</v>
      </c>
      <c r="N791">
        <v>5.9</v>
      </c>
      <c r="P791" t="s">
        <v>1615</v>
      </c>
      <c r="Q791" t="s">
        <v>1475</v>
      </c>
      <c r="R791" t="s">
        <v>3117</v>
      </c>
      <c r="T791">
        <v>1000117</v>
      </c>
      <c r="V791">
        <v>0</v>
      </c>
      <c r="X791">
        <v>0</v>
      </c>
      <c r="Z791">
        <v>0</v>
      </c>
      <c r="AB791">
        <v>0</v>
      </c>
      <c r="AD791">
        <v>0</v>
      </c>
      <c r="AE791" t="s">
        <v>57</v>
      </c>
      <c r="AF791">
        <v>0</v>
      </c>
      <c r="AG791" t="s">
        <v>3118</v>
      </c>
      <c r="AH791">
        <v>696565</v>
      </c>
      <c r="AI791" t="s">
        <v>1269</v>
      </c>
      <c r="AJ791" s="1">
        <v>12975</v>
      </c>
      <c r="AK791">
        <v>13.6</v>
      </c>
      <c r="AL791" s="2">
        <v>0.05</v>
      </c>
      <c r="AM791" t="s">
        <v>1142</v>
      </c>
      <c r="AN791" t="s">
        <v>3117</v>
      </c>
      <c r="AO791" t="s">
        <v>3119</v>
      </c>
      <c r="AP791" t="b">
        <v>0</v>
      </c>
      <c r="AQ791" t="b">
        <v>0</v>
      </c>
      <c r="AR791" t="b">
        <v>1</v>
      </c>
    </row>
    <row r="792" spans="1:45" x14ac:dyDescent="0.3">
      <c r="A792" t="s">
        <v>1621</v>
      </c>
      <c r="B792" t="s">
        <v>1621</v>
      </c>
      <c r="C792" t="s">
        <v>3120</v>
      </c>
      <c r="D792" t="s">
        <v>1994</v>
      </c>
      <c r="E792" t="s">
        <v>1995</v>
      </c>
      <c r="F792" t="s">
        <v>77</v>
      </c>
      <c r="G792">
        <v>13.7</v>
      </c>
      <c r="H792">
        <v>5.4</v>
      </c>
      <c r="I792">
        <v>2.8</v>
      </c>
      <c r="J792">
        <v>1.9</v>
      </c>
      <c r="K792">
        <v>2.8</v>
      </c>
      <c r="L792">
        <v>1.3</v>
      </c>
      <c r="M792">
        <v>24.5</v>
      </c>
      <c r="N792">
        <v>2</v>
      </c>
      <c r="O792">
        <v>1.2</v>
      </c>
      <c r="P792" t="s">
        <v>1615</v>
      </c>
      <c r="Q792" t="s">
        <v>1068</v>
      </c>
      <c r="R792" t="s">
        <v>3120</v>
      </c>
      <c r="S792" t="s">
        <v>1070</v>
      </c>
      <c r="T792">
        <v>15500</v>
      </c>
      <c r="U792">
        <v>15.6</v>
      </c>
      <c r="V792">
        <v>1722</v>
      </c>
      <c r="W792">
        <v>9.5</v>
      </c>
      <c r="X792">
        <v>1705</v>
      </c>
      <c r="Y792">
        <v>17.100000000000001</v>
      </c>
      <c r="Z792">
        <v>1728</v>
      </c>
      <c r="AA792">
        <v>19.399999999999999</v>
      </c>
      <c r="AB792">
        <v>1564</v>
      </c>
      <c r="AC792">
        <v>37.700000000000003</v>
      </c>
      <c r="AD792">
        <v>1208</v>
      </c>
      <c r="AE792" t="s">
        <v>57</v>
      </c>
      <c r="AF792">
        <v>0</v>
      </c>
      <c r="AG792" t="s">
        <v>3121</v>
      </c>
      <c r="AH792">
        <v>131328</v>
      </c>
      <c r="AI792" t="s">
        <v>1995</v>
      </c>
      <c r="AJ792" s="1">
        <v>79695</v>
      </c>
      <c r="AK792">
        <v>45.2</v>
      </c>
      <c r="AL792" s="2">
        <v>0.01</v>
      </c>
      <c r="AM792" s="3">
        <v>2.2000000000000002</v>
      </c>
      <c r="AN792" t="s">
        <v>3120</v>
      </c>
      <c r="AO792" t="s">
        <v>3122</v>
      </c>
      <c r="AP792" t="b">
        <v>0</v>
      </c>
      <c r="AQ792" t="b">
        <v>0</v>
      </c>
      <c r="AR792" t="b">
        <v>0</v>
      </c>
    </row>
    <row r="793" spans="1:45" x14ac:dyDescent="0.3">
      <c r="A793" t="s">
        <v>1621</v>
      </c>
      <c r="B793" t="s">
        <v>1621</v>
      </c>
      <c r="C793" t="s">
        <v>3123</v>
      </c>
      <c r="D793" t="s">
        <v>1159</v>
      </c>
      <c r="E793" t="s">
        <v>1160</v>
      </c>
      <c r="F793" t="s">
        <v>47</v>
      </c>
      <c r="G793">
        <v>6</v>
      </c>
      <c r="H793">
        <v>5.5</v>
      </c>
      <c r="I793">
        <v>25.7</v>
      </c>
      <c r="J793">
        <v>2.2999999999999998</v>
      </c>
      <c r="K793">
        <v>2.6</v>
      </c>
      <c r="L793">
        <v>2.6</v>
      </c>
      <c r="M793">
        <v>12</v>
      </c>
      <c r="N793">
        <v>2.6</v>
      </c>
      <c r="O793">
        <v>1</v>
      </c>
      <c r="P793" t="s">
        <v>1615</v>
      </c>
      <c r="Q793" t="s">
        <v>621</v>
      </c>
      <c r="R793" t="s">
        <v>3124</v>
      </c>
      <c r="S793" t="s">
        <v>622</v>
      </c>
      <c r="T793">
        <v>12330</v>
      </c>
      <c r="U793">
        <v>17.5</v>
      </c>
      <c r="V793">
        <v>1593</v>
      </c>
      <c r="W793">
        <v>9.5</v>
      </c>
      <c r="X793">
        <v>1708</v>
      </c>
      <c r="Y793">
        <v>47.7</v>
      </c>
      <c r="Z793">
        <v>1065</v>
      </c>
      <c r="AA793">
        <v>16.3</v>
      </c>
      <c r="AB793">
        <v>1823</v>
      </c>
      <c r="AC793">
        <v>36.9</v>
      </c>
      <c r="AD793">
        <v>1246</v>
      </c>
      <c r="AE793" t="s">
        <v>57</v>
      </c>
      <c r="AF793">
        <v>0</v>
      </c>
      <c r="AG793" t="s">
        <v>3125</v>
      </c>
      <c r="AH793">
        <v>131325</v>
      </c>
      <c r="AI793" t="s">
        <v>1160</v>
      </c>
      <c r="AJ793" s="1">
        <v>10648</v>
      </c>
      <c r="AK793">
        <v>14.8</v>
      </c>
      <c r="AL793" s="2">
        <v>0.03</v>
      </c>
      <c r="AM793" s="3">
        <v>1.9951388888888888</v>
      </c>
      <c r="AN793" t="s">
        <v>3124</v>
      </c>
      <c r="AO793" t="s">
        <v>3126</v>
      </c>
      <c r="AP793" t="b">
        <v>0</v>
      </c>
      <c r="AQ793" t="b">
        <v>0</v>
      </c>
      <c r="AR793" t="b">
        <v>0</v>
      </c>
    </row>
    <row r="794" spans="1:45" x14ac:dyDescent="0.3">
      <c r="A794" t="s">
        <v>1621</v>
      </c>
      <c r="B794" t="s">
        <v>1621</v>
      </c>
      <c r="C794" t="s">
        <v>3127</v>
      </c>
      <c r="D794" t="s">
        <v>45</v>
      </c>
      <c r="E794" t="s">
        <v>46</v>
      </c>
      <c r="F794" t="s">
        <v>56</v>
      </c>
      <c r="G794">
        <v>3.6</v>
      </c>
      <c r="H794">
        <v>3.4</v>
      </c>
      <c r="I794">
        <v>8.1999999999999993</v>
      </c>
      <c r="J794">
        <v>6.5</v>
      </c>
      <c r="K794">
        <v>2.4</v>
      </c>
      <c r="L794">
        <v>6.9</v>
      </c>
      <c r="M794">
        <v>23.4</v>
      </c>
      <c r="N794">
        <v>7.7</v>
      </c>
      <c r="O794">
        <v>1.2</v>
      </c>
      <c r="P794" t="s">
        <v>1615</v>
      </c>
      <c r="Q794" t="s">
        <v>733</v>
      </c>
      <c r="R794" t="s">
        <v>3127</v>
      </c>
      <c r="S794" t="s">
        <v>735</v>
      </c>
      <c r="T794">
        <v>10310</v>
      </c>
      <c r="U794">
        <v>28.8</v>
      </c>
      <c r="V794">
        <v>752</v>
      </c>
      <c r="W794">
        <v>15.3</v>
      </c>
      <c r="X794">
        <v>1093</v>
      </c>
      <c r="Y794">
        <v>46.8</v>
      </c>
      <c r="Z794">
        <v>1079</v>
      </c>
      <c r="AA794">
        <v>44.9</v>
      </c>
      <c r="AB794">
        <v>894</v>
      </c>
      <c r="AC794">
        <v>33.4</v>
      </c>
      <c r="AD794">
        <v>1374</v>
      </c>
      <c r="AE794" t="s">
        <v>208</v>
      </c>
      <c r="AF794">
        <v>0</v>
      </c>
      <c r="AG794" t="s">
        <v>3128</v>
      </c>
      <c r="AH794">
        <v>593036</v>
      </c>
      <c r="AI794" t="s">
        <v>46</v>
      </c>
      <c r="AJ794" s="1">
        <v>13780</v>
      </c>
      <c r="AK794">
        <v>18.3</v>
      </c>
      <c r="AL794" s="2">
        <v>0.03</v>
      </c>
      <c r="AM794" s="3">
        <v>2.5277777777777777</v>
      </c>
      <c r="AN794" t="s">
        <v>3127</v>
      </c>
      <c r="AO794" t="s">
        <v>3129</v>
      </c>
      <c r="AP794" t="b">
        <v>0</v>
      </c>
      <c r="AQ794" t="b">
        <v>0</v>
      </c>
      <c r="AR794" t="b">
        <v>0</v>
      </c>
      <c r="AS794" t="s">
        <v>3130</v>
      </c>
    </row>
    <row r="795" spans="1:45" x14ac:dyDescent="0.3">
      <c r="A795" t="s">
        <v>1621</v>
      </c>
      <c r="B795" t="s">
        <v>1621</v>
      </c>
      <c r="C795" t="s">
        <v>3131</v>
      </c>
      <c r="D795" t="s">
        <v>297</v>
      </c>
      <c r="E795" t="s">
        <v>298</v>
      </c>
      <c r="F795" t="s">
        <v>56</v>
      </c>
      <c r="G795">
        <v>5.5</v>
      </c>
      <c r="H795">
        <v>5.8</v>
      </c>
      <c r="I795">
        <v>4.3</v>
      </c>
      <c r="J795">
        <v>3.9</v>
      </c>
      <c r="K795">
        <v>5.6</v>
      </c>
      <c r="L795">
        <v>5.9</v>
      </c>
      <c r="M795">
        <v>26.5</v>
      </c>
      <c r="N795">
        <v>2</v>
      </c>
      <c r="O795">
        <v>4.3</v>
      </c>
      <c r="P795" t="s">
        <v>1615</v>
      </c>
      <c r="Q795" t="s">
        <v>1068</v>
      </c>
      <c r="R795" t="s">
        <v>3131</v>
      </c>
      <c r="S795" t="s">
        <v>1070</v>
      </c>
      <c r="T795">
        <v>15780</v>
      </c>
      <c r="U795">
        <v>14.1</v>
      </c>
      <c r="V795">
        <v>1796</v>
      </c>
      <c r="W795">
        <v>18.2</v>
      </c>
      <c r="X795">
        <v>906</v>
      </c>
      <c r="Y795">
        <v>28.2</v>
      </c>
      <c r="Z795">
        <v>1487</v>
      </c>
      <c r="AA795">
        <v>47</v>
      </c>
      <c r="AB795">
        <v>863</v>
      </c>
      <c r="AC795">
        <v>38.9</v>
      </c>
      <c r="AD795">
        <v>1152</v>
      </c>
      <c r="AE795" t="s">
        <v>57</v>
      </c>
      <c r="AF795">
        <v>0</v>
      </c>
      <c r="AG795" t="s">
        <v>3132</v>
      </c>
      <c r="AH795">
        <v>131639</v>
      </c>
      <c r="AI795" t="s">
        <v>298</v>
      </c>
      <c r="AJ795" s="1">
        <v>14432</v>
      </c>
      <c r="AK795">
        <v>37.5</v>
      </c>
      <c r="AL795" s="2">
        <v>0.05</v>
      </c>
      <c r="AM795" s="3">
        <v>2.3229166666666665</v>
      </c>
      <c r="AN795" t="s">
        <v>3131</v>
      </c>
      <c r="AO795" t="s">
        <v>3133</v>
      </c>
      <c r="AP795" t="b">
        <v>0</v>
      </c>
      <c r="AQ795" t="b">
        <v>0</v>
      </c>
      <c r="AR795" t="b">
        <v>0</v>
      </c>
    </row>
    <row r="796" spans="1:45" x14ac:dyDescent="0.3">
      <c r="A796" t="s">
        <v>1621</v>
      </c>
      <c r="B796" t="s">
        <v>1621</v>
      </c>
      <c r="C796" t="s">
        <v>3134</v>
      </c>
      <c r="D796" t="s">
        <v>758</v>
      </c>
      <c r="E796" t="s">
        <v>759</v>
      </c>
      <c r="F796" t="s">
        <v>56</v>
      </c>
      <c r="G796">
        <v>6.1</v>
      </c>
      <c r="H796">
        <v>7.4</v>
      </c>
      <c r="I796">
        <v>15.9</v>
      </c>
      <c r="J796">
        <v>2.2000000000000002</v>
      </c>
      <c r="K796">
        <v>5.5</v>
      </c>
      <c r="L796">
        <v>3</v>
      </c>
      <c r="M796">
        <v>29.4</v>
      </c>
      <c r="N796">
        <v>1.9</v>
      </c>
      <c r="O796">
        <v>3.3</v>
      </c>
      <c r="P796" t="s">
        <v>1615</v>
      </c>
      <c r="Q796" t="s">
        <v>1475</v>
      </c>
      <c r="R796" t="s">
        <v>3134</v>
      </c>
      <c r="T796">
        <v>1000168</v>
      </c>
      <c r="V796">
        <v>0</v>
      </c>
      <c r="X796">
        <v>0</v>
      </c>
      <c r="Z796">
        <v>0</v>
      </c>
      <c r="AB796">
        <v>0</v>
      </c>
      <c r="AD796">
        <v>0</v>
      </c>
      <c r="AE796" t="s">
        <v>57</v>
      </c>
      <c r="AF796">
        <v>0</v>
      </c>
      <c r="AG796" t="s">
        <v>3135</v>
      </c>
      <c r="AH796">
        <v>622197</v>
      </c>
      <c r="AI796" t="s">
        <v>759</v>
      </c>
      <c r="AJ796" s="1">
        <v>14565</v>
      </c>
      <c r="AK796">
        <v>14.4</v>
      </c>
      <c r="AL796" s="2">
        <v>0.04</v>
      </c>
      <c r="AM796" t="s">
        <v>153</v>
      </c>
      <c r="AN796" t="s">
        <v>3134</v>
      </c>
      <c r="AO796" t="s">
        <v>3136</v>
      </c>
      <c r="AP796" t="b">
        <v>0</v>
      </c>
      <c r="AQ796" t="b">
        <v>0</v>
      </c>
      <c r="AR796" t="b">
        <v>0</v>
      </c>
    </row>
    <row r="797" spans="1:45" x14ac:dyDescent="0.3">
      <c r="A797" t="s">
        <v>1621</v>
      </c>
      <c r="B797" t="s">
        <v>2357</v>
      </c>
      <c r="C797" t="s">
        <v>3137</v>
      </c>
      <c r="D797" t="s">
        <v>962</v>
      </c>
      <c r="E797" t="s">
        <v>963</v>
      </c>
      <c r="F797" t="s">
        <v>77</v>
      </c>
      <c r="G797">
        <v>4.9000000000000004</v>
      </c>
      <c r="H797">
        <v>3.8</v>
      </c>
      <c r="I797">
        <v>5.2</v>
      </c>
      <c r="J797">
        <v>2.6</v>
      </c>
      <c r="K797">
        <v>1.9</v>
      </c>
      <c r="L797">
        <v>3.3</v>
      </c>
      <c r="M797">
        <v>46.2</v>
      </c>
      <c r="N797">
        <v>7.6</v>
      </c>
      <c r="O797">
        <v>2.9</v>
      </c>
      <c r="P797" t="s">
        <v>1615</v>
      </c>
      <c r="Q797" t="s">
        <v>621</v>
      </c>
      <c r="R797" t="s">
        <v>3137</v>
      </c>
      <c r="S797" t="s">
        <v>622</v>
      </c>
      <c r="T797">
        <v>12510</v>
      </c>
      <c r="U797">
        <v>23.8</v>
      </c>
      <c r="V797">
        <v>1090</v>
      </c>
      <c r="W797">
        <v>23.4</v>
      </c>
      <c r="X797">
        <v>671</v>
      </c>
      <c r="Y797">
        <v>26.2</v>
      </c>
      <c r="Z797">
        <v>1536</v>
      </c>
      <c r="AA797">
        <v>26.7</v>
      </c>
      <c r="AB797">
        <v>1270</v>
      </c>
      <c r="AC797">
        <v>28.9</v>
      </c>
      <c r="AD797">
        <v>1545</v>
      </c>
      <c r="AE797" t="s">
        <v>57</v>
      </c>
      <c r="AF797">
        <v>0</v>
      </c>
      <c r="AG797" t="s">
        <v>3138</v>
      </c>
      <c r="AH797">
        <v>131372</v>
      </c>
      <c r="AI797" t="s">
        <v>963</v>
      </c>
      <c r="AJ797" s="1">
        <v>35424</v>
      </c>
      <c r="AK797">
        <v>15.4</v>
      </c>
      <c r="AL797" s="2">
        <v>0.04</v>
      </c>
      <c r="AM797" s="3">
        <v>1.9131944444444444</v>
      </c>
      <c r="AN797" t="s">
        <v>3137</v>
      </c>
      <c r="AO797" t="s">
        <v>3139</v>
      </c>
      <c r="AP797" t="b">
        <v>0</v>
      </c>
      <c r="AQ797" t="b">
        <v>0</v>
      </c>
      <c r="AR797" t="b">
        <v>0</v>
      </c>
    </row>
    <row r="798" spans="1:45" x14ac:dyDescent="0.3">
      <c r="A798" t="s">
        <v>1621</v>
      </c>
      <c r="B798" t="s">
        <v>1621</v>
      </c>
      <c r="C798" t="s">
        <v>3140</v>
      </c>
      <c r="D798" t="s">
        <v>1652</v>
      </c>
      <c r="E798" t="s">
        <v>1653</v>
      </c>
      <c r="F798" t="s">
        <v>56</v>
      </c>
      <c r="G798">
        <v>9.5</v>
      </c>
      <c r="H798">
        <v>19.8</v>
      </c>
      <c r="I798">
        <v>3.8</v>
      </c>
      <c r="J798">
        <v>2.8</v>
      </c>
      <c r="K798">
        <v>5</v>
      </c>
      <c r="L798">
        <v>2.9</v>
      </c>
      <c r="M798">
        <v>22</v>
      </c>
      <c r="N798">
        <v>3.7</v>
      </c>
      <c r="O798">
        <v>3.4</v>
      </c>
      <c r="P798" t="s">
        <v>1615</v>
      </c>
      <c r="Q798" t="s">
        <v>1475</v>
      </c>
      <c r="R798" t="s">
        <v>3141</v>
      </c>
      <c r="T798">
        <v>1000183</v>
      </c>
      <c r="V798">
        <v>0</v>
      </c>
      <c r="X798">
        <v>0</v>
      </c>
      <c r="Z798">
        <v>0</v>
      </c>
      <c r="AB798">
        <v>0</v>
      </c>
      <c r="AD798">
        <v>0</v>
      </c>
      <c r="AE798" t="s">
        <v>57</v>
      </c>
      <c r="AF798">
        <v>0</v>
      </c>
      <c r="AG798" t="s">
        <v>3142</v>
      </c>
      <c r="AH798">
        <v>625938</v>
      </c>
      <c r="AI798" t="s">
        <v>1653</v>
      </c>
      <c r="AJ798" s="1">
        <v>17236</v>
      </c>
      <c r="AK798">
        <v>22</v>
      </c>
      <c r="AL798" s="2">
        <v>0.05</v>
      </c>
      <c r="AM798" t="s">
        <v>153</v>
      </c>
      <c r="AN798" t="s">
        <v>3141</v>
      </c>
      <c r="AO798" t="s">
        <v>3143</v>
      </c>
      <c r="AP798" t="b">
        <v>0</v>
      </c>
      <c r="AQ798" t="b">
        <v>0</v>
      </c>
      <c r="AR798" t="b">
        <v>0</v>
      </c>
    </row>
    <row r="799" spans="1:45" x14ac:dyDescent="0.3">
      <c r="A799" t="s">
        <v>1621</v>
      </c>
      <c r="B799" t="s">
        <v>2369</v>
      </c>
      <c r="C799" t="s">
        <v>3144</v>
      </c>
      <c r="D799" t="s">
        <v>175</v>
      </c>
      <c r="E799" t="s">
        <v>176</v>
      </c>
      <c r="F799" t="s">
        <v>56</v>
      </c>
      <c r="G799">
        <v>8.6</v>
      </c>
      <c r="H799">
        <v>11.4</v>
      </c>
      <c r="I799">
        <v>5.2</v>
      </c>
      <c r="J799">
        <v>1.8</v>
      </c>
      <c r="K799">
        <v>17.600000000000001</v>
      </c>
      <c r="L799">
        <v>3.7</v>
      </c>
      <c r="M799">
        <v>18.7</v>
      </c>
      <c r="N799">
        <v>19.100000000000001</v>
      </c>
      <c r="O799">
        <v>1</v>
      </c>
      <c r="P799" t="s">
        <v>1615</v>
      </c>
      <c r="Q799" t="s">
        <v>1068</v>
      </c>
      <c r="R799" t="s">
        <v>3144</v>
      </c>
      <c r="S799" t="s">
        <v>1070</v>
      </c>
      <c r="T799">
        <v>15980</v>
      </c>
      <c r="U799">
        <v>17.899999999999999</v>
      </c>
      <c r="V799">
        <v>1555</v>
      </c>
      <c r="W799">
        <v>10.9</v>
      </c>
      <c r="X799">
        <v>1534</v>
      </c>
      <c r="Y799">
        <v>11.1</v>
      </c>
      <c r="Z799">
        <v>1838</v>
      </c>
      <c r="AA799">
        <v>30.7</v>
      </c>
      <c r="AB799">
        <v>1166</v>
      </c>
      <c r="AC799">
        <v>35.5</v>
      </c>
      <c r="AD799">
        <v>1294</v>
      </c>
      <c r="AE799" t="s">
        <v>57</v>
      </c>
      <c r="AF799">
        <v>0</v>
      </c>
      <c r="AG799" t="s">
        <v>3145</v>
      </c>
      <c r="AH799">
        <v>589211</v>
      </c>
      <c r="AI799" t="s">
        <v>176</v>
      </c>
      <c r="AJ799" s="1">
        <v>27624</v>
      </c>
      <c r="AK799">
        <v>18.600000000000001</v>
      </c>
      <c r="AL799" s="2">
        <v>0.04</v>
      </c>
      <c r="AM799" s="3">
        <v>1.7902777777777779</v>
      </c>
      <c r="AN799" t="s">
        <v>3144</v>
      </c>
      <c r="AO799" t="s">
        <v>3146</v>
      </c>
      <c r="AP799" t="b">
        <v>0</v>
      </c>
      <c r="AQ799" t="b">
        <v>0</v>
      </c>
      <c r="AR799" t="b">
        <v>0</v>
      </c>
    </row>
    <row r="800" spans="1:45" x14ac:dyDescent="0.3">
      <c r="A800" t="s">
        <v>1621</v>
      </c>
      <c r="B800" t="s">
        <v>2369</v>
      </c>
      <c r="C800" t="s">
        <v>3147</v>
      </c>
      <c r="D800" t="s">
        <v>2319</v>
      </c>
      <c r="E800" t="s">
        <v>1196</v>
      </c>
      <c r="F800" t="s">
        <v>47</v>
      </c>
      <c r="G800">
        <v>6.9</v>
      </c>
      <c r="H800">
        <v>9.1999999999999993</v>
      </c>
      <c r="I800">
        <v>16.600000000000001</v>
      </c>
      <c r="J800">
        <v>3.4</v>
      </c>
      <c r="K800">
        <v>5</v>
      </c>
      <c r="L800">
        <v>1.6</v>
      </c>
      <c r="M800">
        <v>14.9</v>
      </c>
      <c r="N800">
        <v>5</v>
      </c>
      <c r="O800">
        <v>1.3</v>
      </c>
      <c r="P800" t="s">
        <v>1615</v>
      </c>
      <c r="Q800" t="s">
        <v>1068</v>
      </c>
      <c r="R800" t="s">
        <v>3147</v>
      </c>
      <c r="S800" t="s">
        <v>1070</v>
      </c>
      <c r="T800">
        <v>16040</v>
      </c>
      <c r="U800">
        <v>18.2</v>
      </c>
      <c r="V800">
        <v>1535</v>
      </c>
      <c r="W800">
        <v>9.4</v>
      </c>
      <c r="X800">
        <v>1728</v>
      </c>
      <c r="Y800">
        <v>29</v>
      </c>
      <c r="Z800">
        <v>1470</v>
      </c>
      <c r="AA800">
        <v>18.600000000000001</v>
      </c>
      <c r="AB800">
        <v>1617</v>
      </c>
      <c r="AC800">
        <v>52.1</v>
      </c>
      <c r="AD800">
        <v>735</v>
      </c>
      <c r="AE800" t="s">
        <v>57</v>
      </c>
      <c r="AF800">
        <v>0</v>
      </c>
      <c r="AG800" t="s">
        <v>3148</v>
      </c>
      <c r="AH800">
        <v>131401</v>
      </c>
      <c r="AI800" t="s">
        <v>1196</v>
      </c>
      <c r="AJ800" s="1">
        <v>7458</v>
      </c>
      <c r="AK800">
        <v>13.2</v>
      </c>
      <c r="AL800" s="2">
        <v>0.01</v>
      </c>
      <c r="AM800" t="s">
        <v>427</v>
      </c>
      <c r="AN800" t="s">
        <v>3147</v>
      </c>
      <c r="AO800" t="s">
        <v>3149</v>
      </c>
      <c r="AP800" t="b">
        <v>0</v>
      </c>
      <c r="AQ800" t="b">
        <v>0</v>
      </c>
      <c r="AR800" t="b">
        <v>0</v>
      </c>
    </row>
    <row r="801" spans="1:45" x14ac:dyDescent="0.3">
      <c r="A801" t="s">
        <v>1621</v>
      </c>
      <c r="B801" t="s">
        <v>1621</v>
      </c>
      <c r="C801" t="s">
        <v>3150</v>
      </c>
      <c r="D801" t="s">
        <v>297</v>
      </c>
      <c r="E801" t="s">
        <v>298</v>
      </c>
      <c r="F801" t="s">
        <v>56</v>
      </c>
      <c r="G801">
        <v>10.8</v>
      </c>
      <c r="H801">
        <v>7.9</v>
      </c>
      <c r="I801">
        <v>4.4000000000000004</v>
      </c>
      <c r="J801">
        <v>6.1</v>
      </c>
      <c r="K801">
        <v>3.4</v>
      </c>
      <c r="L801">
        <v>4.4000000000000004</v>
      </c>
      <c r="M801">
        <v>11.2</v>
      </c>
      <c r="N801">
        <v>15.5</v>
      </c>
      <c r="O801">
        <v>16.7</v>
      </c>
      <c r="P801" t="s">
        <v>1615</v>
      </c>
      <c r="Q801" t="s">
        <v>621</v>
      </c>
      <c r="R801" t="s">
        <v>3150</v>
      </c>
      <c r="S801" t="s">
        <v>622</v>
      </c>
      <c r="T801">
        <v>12790</v>
      </c>
      <c r="U801">
        <v>18.399999999999999</v>
      </c>
      <c r="V801">
        <v>1514</v>
      </c>
      <c r="W801">
        <v>18.899999999999999</v>
      </c>
      <c r="X801">
        <v>868</v>
      </c>
      <c r="Y801">
        <v>25.5</v>
      </c>
      <c r="Z801">
        <v>1550</v>
      </c>
      <c r="AA801">
        <v>40.9</v>
      </c>
      <c r="AB801">
        <v>955</v>
      </c>
      <c r="AC801">
        <v>37.700000000000003</v>
      </c>
      <c r="AD801">
        <v>1209</v>
      </c>
      <c r="AE801" t="s">
        <v>57</v>
      </c>
      <c r="AF801">
        <v>0</v>
      </c>
      <c r="AG801" t="s">
        <v>3151</v>
      </c>
      <c r="AH801">
        <v>911</v>
      </c>
      <c r="AI801" t="s">
        <v>298</v>
      </c>
      <c r="AJ801" s="1">
        <v>19770</v>
      </c>
      <c r="AK801">
        <v>23.3</v>
      </c>
      <c r="AL801" s="2">
        <v>7.0000000000000007E-2</v>
      </c>
      <c r="AM801" t="s">
        <v>789</v>
      </c>
      <c r="AN801" t="s">
        <v>3150</v>
      </c>
      <c r="AO801" t="s">
        <v>3152</v>
      </c>
      <c r="AP801" t="b">
        <v>0</v>
      </c>
      <c r="AQ801" t="b">
        <v>0</v>
      </c>
      <c r="AR801" t="b">
        <v>0</v>
      </c>
    </row>
    <row r="802" spans="1:45" x14ac:dyDescent="0.3">
      <c r="A802" t="s">
        <v>1621</v>
      </c>
      <c r="B802" t="s">
        <v>1621</v>
      </c>
      <c r="C802" t="s">
        <v>3153</v>
      </c>
      <c r="D802" t="s">
        <v>297</v>
      </c>
      <c r="E802" t="s">
        <v>298</v>
      </c>
      <c r="F802" t="s">
        <v>56</v>
      </c>
      <c r="G802">
        <v>7.6</v>
      </c>
      <c r="H802">
        <v>6.9</v>
      </c>
      <c r="I802">
        <v>3.6</v>
      </c>
      <c r="J802">
        <v>7</v>
      </c>
      <c r="K802">
        <v>7.6</v>
      </c>
      <c r="L802">
        <v>4.2</v>
      </c>
      <c r="M802">
        <v>16.100000000000001</v>
      </c>
      <c r="N802">
        <v>27.1</v>
      </c>
      <c r="O802">
        <v>4</v>
      </c>
      <c r="P802" t="s">
        <v>1615</v>
      </c>
      <c r="Q802" t="s">
        <v>733</v>
      </c>
      <c r="R802" t="s">
        <v>3153</v>
      </c>
      <c r="S802" t="s">
        <v>735</v>
      </c>
      <c r="T802">
        <v>10580</v>
      </c>
      <c r="U802">
        <v>24</v>
      </c>
      <c r="V802">
        <v>1078</v>
      </c>
      <c r="W802">
        <v>29.2</v>
      </c>
      <c r="X802">
        <v>491</v>
      </c>
      <c r="Y802">
        <v>26.3</v>
      </c>
      <c r="Z802">
        <v>1531</v>
      </c>
      <c r="AA802">
        <v>65.5</v>
      </c>
      <c r="AB802">
        <v>538</v>
      </c>
      <c r="AC802">
        <v>31.1</v>
      </c>
      <c r="AD802">
        <v>1459</v>
      </c>
      <c r="AE802" t="s">
        <v>57</v>
      </c>
      <c r="AF802">
        <v>0</v>
      </c>
      <c r="AG802" t="s">
        <v>3154</v>
      </c>
      <c r="AH802">
        <v>131690</v>
      </c>
      <c r="AI802" t="s">
        <v>298</v>
      </c>
      <c r="AJ802" s="1">
        <v>16382</v>
      </c>
      <c r="AK802">
        <v>27.2</v>
      </c>
      <c r="AL802" s="2">
        <v>0.06</v>
      </c>
      <c r="AM802" s="3">
        <v>2.4868055555555557</v>
      </c>
      <c r="AN802" t="s">
        <v>3153</v>
      </c>
      <c r="AO802" t="s">
        <v>3155</v>
      </c>
      <c r="AP802" t="b">
        <v>0</v>
      </c>
      <c r="AQ802" t="b">
        <v>0</v>
      </c>
      <c r="AR802" t="b">
        <v>0</v>
      </c>
    </row>
    <row r="803" spans="1:45" x14ac:dyDescent="0.3">
      <c r="A803" t="s">
        <v>1621</v>
      </c>
      <c r="B803" t="s">
        <v>1621</v>
      </c>
      <c r="C803" t="s">
        <v>3156</v>
      </c>
      <c r="D803" t="s">
        <v>1159</v>
      </c>
      <c r="E803" t="s">
        <v>1160</v>
      </c>
      <c r="F803" t="s">
        <v>56</v>
      </c>
      <c r="G803">
        <v>8.3000000000000007</v>
      </c>
      <c r="H803">
        <v>15.2</v>
      </c>
      <c r="I803">
        <v>7</v>
      </c>
      <c r="J803">
        <v>2.2000000000000002</v>
      </c>
      <c r="K803">
        <v>13.4</v>
      </c>
      <c r="L803">
        <v>1.1000000000000001</v>
      </c>
      <c r="M803">
        <v>12.8</v>
      </c>
      <c r="N803">
        <v>4.4000000000000004</v>
      </c>
      <c r="O803">
        <v>1</v>
      </c>
      <c r="P803" t="s">
        <v>1615</v>
      </c>
      <c r="Q803" t="s">
        <v>1068</v>
      </c>
      <c r="R803" t="s">
        <v>3156</v>
      </c>
      <c r="S803" t="s">
        <v>1070</v>
      </c>
      <c r="T803">
        <v>16300</v>
      </c>
      <c r="U803">
        <v>18.600000000000001</v>
      </c>
      <c r="V803">
        <v>1490</v>
      </c>
      <c r="W803">
        <v>8.6999999999999993</v>
      </c>
      <c r="X803">
        <v>1826</v>
      </c>
      <c r="Y803">
        <v>34</v>
      </c>
      <c r="Z803">
        <v>1348</v>
      </c>
      <c r="AA803">
        <v>16.8</v>
      </c>
      <c r="AB803">
        <v>1772</v>
      </c>
      <c r="AC803">
        <v>48.6</v>
      </c>
      <c r="AD803">
        <v>845</v>
      </c>
      <c r="AE803" t="s">
        <v>57</v>
      </c>
      <c r="AF803">
        <v>0</v>
      </c>
      <c r="AG803" t="s">
        <v>3157</v>
      </c>
      <c r="AH803">
        <v>670620</v>
      </c>
      <c r="AI803" t="s">
        <v>1160</v>
      </c>
      <c r="AJ803" s="1">
        <v>12332</v>
      </c>
      <c r="AK803">
        <v>12.8</v>
      </c>
      <c r="AL803" s="2">
        <v>0.02</v>
      </c>
      <c r="AM803" s="3">
        <v>1.83125</v>
      </c>
      <c r="AN803" t="s">
        <v>3156</v>
      </c>
      <c r="AO803" t="s">
        <v>3158</v>
      </c>
      <c r="AP803" t="b">
        <v>0</v>
      </c>
      <c r="AQ803" t="b">
        <v>0</v>
      </c>
      <c r="AR803" t="b">
        <v>0</v>
      </c>
    </row>
    <row r="804" spans="1:45" x14ac:dyDescent="0.3">
      <c r="A804" t="s">
        <v>1621</v>
      </c>
      <c r="B804" t="s">
        <v>1621</v>
      </c>
      <c r="C804" t="s">
        <v>1413</v>
      </c>
      <c r="D804" t="s">
        <v>1511</v>
      </c>
      <c r="E804" t="s">
        <v>1415</v>
      </c>
      <c r="F804" t="s">
        <v>77</v>
      </c>
      <c r="G804">
        <v>7.3</v>
      </c>
      <c r="H804">
        <v>7.3</v>
      </c>
      <c r="I804">
        <v>2.4</v>
      </c>
      <c r="J804">
        <v>4.7</v>
      </c>
      <c r="K804">
        <v>4.2</v>
      </c>
      <c r="L804">
        <v>1.2</v>
      </c>
      <c r="M804">
        <v>23.1</v>
      </c>
      <c r="N804">
        <v>23.1</v>
      </c>
      <c r="O804">
        <v>3.4</v>
      </c>
      <c r="P804" t="s">
        <v>1615</v>
      </c>
      <c r="Q804" t="s">
        <v>1068</v>
      </c>
      <c r="R804" t="s">
        <v>1413</v>
      </c>
      <c r="S804" t="s">
        <v>1070</v>
      </c>
      <c r="T804">
        <v>16380</v>
      </c>
      <c r="U804">
        <v>15.7</v>
      </c>
      <c r="V804">
        <v>1717</v>
      </c>
      <c r="W804">
        <v>15.7</v>
      </c>
      <c r="X804">
        <v>1070</v>
      </c>
      <c r="Y804">
        <v>27.4</v>
      </c>
      <c r="Z804">
        <v>1507</v>
      </c>
      <c r="AA804">
        <v>43.4</v>
      </c>
      <c r="AB804">
        <v>915</v>
      </c>
      <c r="AC804">
        <v>39.700000000000003</v>
      </c>
      <c r="AD804">
        <v>1125</v>
      </c>
      <c r="AE804" t="s">
        <v>57</v>
      </c>
      <c r="AF804">
        <v>0</v>
      </c>
      <c r="AG804" t="s">
        <v>1414</v>
      </c>
      <c r="AH804">
        <v>625848</v>
      </c>
      <c r="AI804" t="s">
        <v>1415</v>
      </c>
      <c r="AJ804" s="1">
        <v>37891</v>
      </c>
      <c r="AK804">
        <v>34.1</v>
      </c>
      <c r="AL804" s="2">
        <v>0</v>
      </c>
      <c r="AM804">
        <v>0.88888888888888884</v>
      </c>
      <c r="AN804" t="s">
        <v>1413</v>
      </c>
      <c r="AO804" t="s">
        <v>1416</v>
      </c>
      <c r="AP804" t="b">
        <v>0</v>
      </c>
      <c r="AQ804" t="b">
        <v>0</v>
      </c>
      <c r="AR804" t="b">
        <v>0</v>
      </c>
    </row>
    <row r="805" spans="1:45" x14ac:dyDescent="0.3">
      <c r="A805" t="s">
        <v>1621</v>
      </c>
      <c r="B805" t="s">
        <v>2369</v>
      </c>
      <c r="C805" t="s">
        <v>3159</v>
      </c>
      <c r="D805" t="s">
        <v>54</v>
      </c>
      <c r="E805" t="s">
        <v>55</v>
      </c>
      <c r="F805" t="s">
        <v>388</v>
      </c>
      <c r="G805">
        <v>4.2</v>
      </c>
      <c r="H805">
        <v>10.3</v>
      </c>
      <c r="I805">
        <v>6.1</v>
      </c>
      <c r="J805">
        <v>6.9</v>
      </c>
      <c r="K805">
        <v>17.399999999999999</v>
      </c>
      <c r="L805">
        <v>7.6</v>
      </c>
      <c r="M805">
        <v>11.6</v>
      </c>
      <c r="N805">
        <v>1.5</v>
      </c>
      <c r="O805">
        <v>1</v>
      </c>
      <c r="P805" t="s">
        <v>1615</v>
      </c>
      <c r="Q805" t="s">
        <v>1475</v>
      </c>
      <c r="R805" t="s">
        <v>3159</v>
      </c>
      <c r="T805">
        <v>1000289</v>
      </c>
      <c r="V805">
        <v>0</v>
      </c>
      <c r="X805">
        <v>0</v>
      </c>
      <c r="Z805">
        <v>0</v>
      </c>
      <c r="AB805">
        <v>0</v>
      </c>
      <c r="AD805">
        <v>0</v>
      </c>
      <c r="AE805" t="s">
        <v>57</v>
      </c>
      <c r="AF805">
        <v>0</v>
      </c>
      <c r="AG805" t="s">
        <v>3160</v>
      </c>
      <c r="AH805">
        <v>131290</v>
      </c>
      <c r="AI805" t="s">
        <v>55</v>
      </c>
      <c r="AJ805" s="1">
        <v>2155</v>
      </c>
      <c r="AK805">
        <v>13.1</v>
      </c>
      <c r="AL805" s="2">
        <v>0.1</v>
      </c>
      <c r="AM805" s="3">
        <v>2.5277777777777777</v>
      </c>
      <c r="AN805" t="s">
        <v>3159</v>
      </c>
      <c r="AO805" t="s">
        <v>3161</v>
      </c>
      <c r="AP805" t="b">
        <v>0</v>
      </c>
      <c r="AQ805" t="b">
        <v>0</v>
      </c>
      <c r="AR805" t="b">
        <v>0</v>
      </c>
      <c r="AS805" t="s">
        <v>3162</v>
      </c>
    </row>
    <row r="806" spans="1:45" x14ac:dyDescent="0.3">
      <c r="A806" t="s">
        <v>1621</v>
      </c>
      <c r="B806" t="s">
        <v>1621</v>
      </c>
      <c r="C806" t="s">
        <v>3163</v>
      </c>
      <c r="D806" t="s">
        <v>1159</v>
      </c>
      <c r="E806" t="s">
        <v>1160</v>
      </c>
      <c r="F806" t="s">
        <v>77</v>
      </c>
      <c r="G806">
        <v>7.3</v>
      </c>
      <c r="H806">
        <v>12.4</v>
      </c>
      <c r="I806">
        <v>3.6</v>
      </c>
      <c r="J806">
        <v>1.6</v>
      </c>
      <c r="K806">
        <v>1.1000000000000001</v>
      </c>
      <c r="L806">
        <v>1.6</v>
      </c>
      <c r="M806">
        <v>50.7</v>
      </c>
      <c r="N806">
        <v>13.2</v>
      </c>
      <c r="O806">
        <v>1.5</v>
      </c>
      <c r="P806" t="s">
        <v>1615</v>
      </c>
      <c r="Q806" t="s">
        <v>621</v>
      </c>
      <c r="R806" t="s">
        <v>3164</v>
      </c>
      <c r="S806" t="s">
        <v>622</v>
      </c>
      <c r="T806">
        <v>12990</v>
      </c>
      <c r="U806">
        <v>16.2</v>
      </c>
      <c r="V806">
        <v>1683</v>
      </c>
      <c r="W806">
        <v>8.9</v>
      </c>
      <c r="X806">
        <v>1809</v>
      </c>
      <c r="Y806">
        <v>38.799999999999997</v>
      </c>
      <c r="Z806">
        <v>1244</v>
      </c>
      <c r="AA806">
        <v>19.899999999999999</v>
      </c>
      <c r="AB806">
        <v>1537</v>
      </c>
      <c r="AC806">
        <v>47.6</v>
      </c>
      <c r="AD806">
        <v>873</v>
      </c>
      <c r="AE806" t="s">
        <v>57</v>
      </c>
      <c r="AF806">
        <v>0</v>
      </c>
      <c r="AG806" t="s">
        <v>3165</v>
      </c>
      <c r="AH806">
        <v>646157</v>
      </c>
      <c r="AI806" t="s">
        <v>1160</v>
      </c>
      <c r="AJ806" s="1">
        <v>124886</v>
      </c>
      <c r="AK806">
        <v>22.4</v>
      </c>
      <c r="AL806" s="2">
        <v>0.02</v>
      </c>
      <c r="AM806" s="3">
        <v>2.2819444444444446</v>
      </c>
      <c r="AN806" t="s">
        <v>3164</v>
      </c>
      <c r="AO806" t="s">
        <v>3166</v>
      </c>
      <c r="AP806" t="b">
        <v>0</v>
      </c>
      <c r="AQ806" t="b">
        <v>0</v>
      </c>
      <c r="AR806" t="b">
        <v>0</v>
      </c>
    </row>
    <row r="807" spans="1:45" x14ac:dyDescent="0.3">
      <c r="A807" t="s">
        <v>1621</v>
      </c>
      <c r="C807" t="s">
        <v>3167</v>
      </c>
      <c r="D807" t="s">
        <v>1511</v>
      </c>
      <c r="E807" t="s">
        <v>1415</v>
      </c>
      <c r="F807" t="s">
        <v>77</v>
      </c>
      <c r="G807">
        <v>4.5999999999999996</v>
      </c>
      <c r="H807">
        <v>12.9</v>
      </c>
      <c r="I807">
        <v>3</v>
      </c>
      <c r="J807">
        <v>1.6</v>
      </c>
      <c r="K807">
        <v>4.8</v>
      </c>
      <c r="L807">
        <v>1.4</v>
      </c>
      <c r="M807">
        <v>41.6</v>
      </c>
      <c r="N807">
        <v>4.5</v>
      </c>
      <c r="O807">
        <v>1.1000000000000001</v>
      </c>
      <c r="P807" t="s">
        <v>1615</v>
      </c>
      <c r="Q807" t="s">
        <v>1068</v>
      </c>
      <c r="R807" t="s">
        <v>3167</v>
      </c>
      <c r="S807" t="s">
        <v>1070</v>
      </c>
      <c r="T807">
        <v>16480</v>
      </c>
      <c r="U807">
        <v>13.3</v>
      </c>
      <c r="V807">
        <v>1831</v>
      </c>
      <c r="W807">
        <v>8.6999999999999993</v>
      </c>
      <c r="X807">
        <v>1828</v>
      </c>
      <c r="Y807">
        <v>16.399999999999999</v>
      </c>
      <c r="Z807">
        <v>1740</v>
      </c>
      <c r="AA807">
        <v>16.2</v>
      </c>
      <c r="AB807">
        <v>1835</v>
      </c>
      <c r="AC807">
        <v>49.2</v>
      </c>
      <c r="AD807">
        <v>822</v>
      </c>
      <c r="AE807" t="s">
        <v>57</v>
      </c>
      <c r="AF807">
        <v>0</v>
      </c>
      <c r="AG807" t="s">
        <v>3168</v>
      </c>
      <c r="AH807">
        <v>625845</v>
      </c>
      <c r="AI807" t="s">
        <v>1415</v>
      </c>
      <c r="AJ807" s="1">
        <v>48943</v>
      </c>
      <c r="AK807">
        <v>23</v>
      </c>
      <c r="AL807" s="2">
        <v>0.01</v>
      </c>
      <c r="AM807" s="3">
        <v>2.3638888888888889</v>
      </c>
      <c r="AN807" t="s">
        <v>3167</v>
      </c>
      <c r="AO807" t="s">
        <v>3169</v>
      </c>
      <c r="AP807" t="b">
        <v>0</v>
      </c>
      <c r="AQ807" t="b">
        <v>0</v>
      </c>
      <c r="AR807" t="b">
        <v>0</v>
      </c>
    </row>
    <row r="808" spans="1:45" x14ac:dyDescent="0.3">
      <c r="A808" t="s">
        <v>1621</v>
      </c>
      <c r="B808" t="s">
        <v>1621</v>
      </c>
      <c r="C808" t="s">
        <v>3170</v>
      </c>
      <c r="D808" t="s">
        <v>962</v>
      </c>
      <c r="E808" t="s">
        <v>963</v>
      </c>
      <c r="F808" t="s">
        <v>56</v>
      </c>
      <c r="G808">
        <v>4.9000000000000004</v>
      </c>
      <c r="H808">
        <v>3</v>
      </c>
      <c r="I808">
        <v>12.3</v>
      </c>
      <c r="J808">
        <v>1.4</v>
      </c>
      <c r="K808">
        <v>6.7</v>
      </c>
      <c r="L808">
        <v>52.1</v>
      </c>
      <c r="M808">
        <v>7.3</v>
      </c>
      <c r="N808">
        <v>2.1</v>
      </c>
      <c r="O808">
        <v>1.1000000000000001</v>
      </c>
      <c r="P808" t="s">
        <v>1615</v>
      </c>
      <c r="Q808" t="s">
        <v>1068</v>
      </c>
      <c r="R808" t="s">
        <v>3171</v>
      </c>
      <c r="S808" t="s">
        <v>1070</v>
      </c>
      <c r="T808">
        <v>16590</v>
      </c>
      <c r="U808">
        <v>17</v>
      </c>
      <c r="V808">
        <v>1623</v>
      </c>
      <c r="W808">
        <v>9.1999999999999993</v>
      </c>
      <c r="X808">
        <v>1758</v>
      </c>
      <c r="Y808">
        <v>32.299999999999997</v>
      </c>
      <c r="Z808">
        <v>1393</v>
      </c>
      <c r="AA808">
        <v>15.8</v>
      </c>
      <c r="AB808">
        <v>1883</v>
      </c>
      <c r="AC808">
        <v>56.9</v>
      </c>
      <c r="AD808">
        <v>644</v>
      </c>
      <c r="AE808" t="s">
        <v>57</v>
      </c>
      <c r="AF808">
        <v>0</v>
      </c>
      <c r="AG808" t="s">
        <v>3172</v>
      </c>
      <c r="AH808">
        <v>670641</v>
      </c>
      <c r="AI808" t="s">
        <v>963</v>
      </c>
      <c r="AJ808" s="1">
        <v>28851</v>
      </c>
      <c r="AK808">
        <v>26.3</v>
      </c>
      <c r="AL808" s="2">
        <v>0.13</v>
      </c>
      <c r="AM808" s="3">
        <v>2.1590277777777778</v>
      </c>
      <c r="AN808" t="s">
        <v>3171</v>
      </c>
      <c r="AO808" t="s">
        <v>3173</v>
      </c>
      <c r="AP808" t="b">
        <v>0</v>
      </c>
      <c r="AQ808" t="b">
        <v>0</v>
      </c>
      <c r="AR808" t="b">
        <v>0</v>
      </c>
    </row>
    <row r="809" spans="1:45" x14ac:dyDescent="0.3">
      <c r="A809" t="s">
        <v>1621</v>
      </c>
      <c r="B809" t="s">
        <v>1621</v>
      </c>
      <c r="C809" t="s">
        <v>3174</v>
      </c>
      <c r="D809" t="s">
        <v>2028</v>
      </c>
      <c r="E809" t="s">
        <v>2029</v>
      </c>
      <c r="F809" t="s">
        <v>56</v>
      </c>
      <c r="G809">
        <v>5.7</v>
      </c>
      <c r="H809">
        <v>12.8</v>
      </c>
      <c r="I809">
        <v>30.2</v>
      </c>
      <c r="J809">
        <v>1.3</v>
      </c>
      <c r="K809">
        <v>1.3</v>
      </c>
      <c r="L809">
        <v>1.5</v>
      </c>
      <c r="M809">
        <v>12.6</v>
      </c>
      <c r="N809">
        <v>18.600000000000001</v>
      </c>
      <c r="O809">
        <v>2</v>
      </c>
      <c r="P809" t="s">
        <v>1615</v>
      </c>
      <c r="Q809" t="s">
        <v>621</v>
      </c>
      <c r="R809" t="s">
        <v>3174</v>
      </c>
      <c r="S809" t="s">
        <v>622</v>
      </c>
      <c r="T809">
        <v>13150</v>
      </c>
      <c r="U809">
        <v>24.5</v>
      </c>
      <c r="V809">
        <v>1042</v>
      </c>
      <c r="W809">
        <v>10.5</v>
      </c>
      <c r="X809">
        <v>1589</v>
      </c>
      <c r="Y809">
        <v>10</v>
      </c>
      <c r="Z809">
        <v>1855</v>
      </c>
      <c r="AA809">
        <v>17.899999999999999</v>
      </c>
      <c r="AB809">
        <v>1674</v>
      </c>
      <c r="AC809">
        <v>31.7</v>
      </c>
      <c r="AD809">
        <v>1437</v>
      </c>
      <c r="AE809" t="s">
        <v>57</v>
      </c>
      <c r="AF809">
        <v>0</v>
      </c>
      <c r="AG809" t="s">
        <v>3175</v>
      </c>
      <c r="AH809">
        <v>624564</v>
      </c>
      <c r="AI809" t="s">
        <v>2029</v>
      </c>
      <c r="AJ809" s="1">
        <v>19799</v>
      </c>
      <c r="AK809">
        <v>10.7</v>
      </c>
      <c r="AL809" s="2">
        <v>0.02</v>
      </c>
      <c r="AM809" s="3">
        <v>2.6506944444444445</v>
      </c>
      <c r="AN809" t="s">
        <v>3174</v>
      </c>
      <c r="AO809" t="s">
        <v>3176</v>
      </c>
      <c r="AP809" t="b">
        <v>0</v>
      </c>
      <c r="AQ809" t="b">
        <v>0</v>
      </c>
      <c r="AR809" t="b">
        <v>0</v>
      </c>
    </row>
    <row r="810" spans="1:45" x14ac:dyDescent="0.3">
      <c r="A810" t="s">
        <v>1621</v>
      </c>
      <c r="B810" t="s">
        <v>1621</v>
      </c>
      <c r="C810" t="s">
        <v>3177</v>
      </c>
      <c r="D810" t="s">
        <v>1652</v>
      </c>
      <c r="E810" t="s">
        <v>1653</v>
      </c>
      <c r="F810" t="s">
        <v>56</v>
      </c>
      <c r="G810">
        <v>9.6999999999999993</v>
      </c>
      <c r="H810">
        <v>12.7</v>
      </c>
      <c r="I810">
        <v>4</v>
      </c>
      <c r="J810">
        <v>5.7</v>
      </c>
      <c r="M810">
        <v>29.4</v>
      </c>
      <c r="N810">
        <v>3.8</v>
      </c>
      <c r="O810">
        <v>1.1000000000000001</v>
      </c>
      <c r="P810" t="s">
        <v>1615</v>
      </c>
      <c r="Q810" t="s">
        <v>679</v>
      </c>
      <c r="R810" t="s">
        <v>3177</v>
      </c>
      <c r="S810" t="s">
        <v>680</v>
      </c>
      <c r="T810">
        <v>8860</v>
      </c>
      <c r="U810">
        <v>24.1</v>
      </c>
      <c r="V810">
        <v>1074</v>
      </c>
      <c r="W810">
        <v>8.9</v>
      </c>
      <c r="X810">
        <v>1810</v>
      </c>
      <c r="Y810">
        <v>71.900000000000006</v>
      </c>
      <c r="Z810">
        <v>509</v>
      </c>
      <c r="AA810">
        <v>19.5</v>
      </c>
      <c r="AB810">
        <v>1561</v>
      </c>
      <c r="AC810">
        <v>49.7</v>
      </c>
      <c r="AD810">
        <v>810</v>
      </c>
      <c r="AE810" t="s">
        <v>57</v>
      </c>
      <c r="AF810">
        <v>0</v>
      </c>
      <c r="AG810" t="s">
        <v>3178</v>
      </c>
      <c r="AH810">
        <v>621480</v>
      </c>
      <c r="AI810" t="s">
        <v>1653</v>
      </c>
      <c r="AJ810" s="1">
        <v>12649</v>
      </c>
      <c r="AK810">
        <v>17.3</v>
      </c>
      <c r="AL810" s="2">
        <v>0</v>
      </c>
      <c r="AM810" s="3">
        <v>2.0770833333333334</v>
      </c>
      <c r="AN810" t="s">
        <v>3177</v>
      </c>
      <c r="AO810" t="s">
        <v>3179</v>
      </c>
      <c r="AP810" t="b">
        <v>0</v>
      </c>
      <c r="AQ810" t="b">
        <v>0</v>
      </c>
      <c r="AR810" t="b">
        <v>0</v>
      </c>
    </row>
    <row r="811" spans="1:45" x14ac:dyDescent="0.3">
      <c r="A811" t="s">
        <v>1621</v>
      </c>
      <c r="B811" t="s">
        <v>1621</v>
      </c>
      <c r="C811" t="s">
        <v>3180</v>
      </c>
      <c r="D811" t="s">
        <v>758</v>
      </c>
      <c r="E811" t="s">
        <v>759</v>
      </c>
      <c r="F811" t="s">
        <v>47</v>
      </c>
      <c r="G811">
        <v>5.0999999999999996</v>
      </c>
      <c r="H811">
        <v>1.8</v>
      </c>
      <c r="I811">
        <v>8.4</v>
      </c>
      <c r="J811">
        <v>12.6</v>
      </c>
      <c r="L811">
        <v>2.1</v>
      </c>
      <c r="M811">
        <v>12.7</v>
      </c>
      <c r="N811">
        <v>1.9</v>
      </c>
      <c r="O811">
        <v>1</v>
      </c>
      <c r="P811" t="s">
        <v>1615</v>
      </c>
      <c r="Q811" t="s">
        <v>696</v>
      </c>
      <c r="R811" t="s">
        <v>3181</v>
      </c>
      <c r="S811" t="s">
        <v>697</v>
      </c>
      <c r="T811">
        <v>6790</v>
      </c>
      <c r="U811">
        <v>21.1</v>
      </c>
      <c r="V811">
        <v>1294</v>
      </c>
      <c r="W811">
        <v>15</v>
      </c>
      <c r="X811">
        <v>1120</v>
      </c>
      <c r="Y811">
        <v>74.8</v>
      </c>
      <c r="Z811">
        <v>439</v>
      </c>
      <c r="AA811">
        <v>40.4</v>
      </c>
      <c r="AB811">
        <v>971</v>
      </c>
      <c r="AC811">
        <v>41.9</v>
      </c>
      <c r="AD811">
        <v>1054</v>
      </c>
      <c r="AE811" t="s">
        <v>57</v>
      </c>
      <c r="AF811">
        <v>0</v>
      </c>
      <c r="AG811" t="s">
        <v>3182</v>
      </c>
      <c r="AH811">
        <v>688786</v>
      </c>
      <c r="AI811" t="s">
        <v>759</v>
      </c>
      <c r="AJ811" s="1">
        <v>9831</v>
      </c>
      <c r="AK811">
        <v>18.5</v>
      </c>
      <c r="AL811" s="2">
        <v>0.03</v>
      </c>
      <c r="AM811" s="3">
        <v>1.7493055555555554</v>
      </c>
      <c r="AN811" t="s">
        <v>3181</v>
      </c>
      <c r="AO811" t="s">
        <v>3183</v>
      </c>
      <c r="AP811" t="b">
        <v>0</v>
      </c>
      <c r="AQ811" t="b">
        <v>0</v>
      </c>
      <c r="AR811" t="b">
        <v>0</v>
      </c>
    </row>
    <row r="812" spans="1:45" x14ac:dyDescent="0.3">
      <c r="A812" t="s">
        <v>1621</v>
      </c>
      <c r="B812" t="s">
        <v>1621</v>
      </c>
      <c r="C812" t="s">
        <v>3184</v>
      </c>
      <c r="D812" t="s">
        <v>166</v>
      </c>
      <c r="E812" t="s">
        <v>167</v>
      </c>
      <c r="F812" t="s">
        <v>47</v>
      </c>
      <c r="G812">
        <v>3.6</v>
      </c>
      <c r="H812">
        <v>1.9</v>
      </c>
      <c r="I812">
        <v>30</v>
      </c>
      <c r="J812">
        <v>7</v>
      </c>
      <c r="K812">
        <v>7.5</v>
      </c>
      <c r="L812">
        <v>5.5</v>
      </c>
      <c r="M812">
        <v>23.1</v>
      </c>
      <c r="N812">
        <v>1.8</v>
      </c>
      <c r="O812">
        <v>15</v>
      </c>
      <c r="P812" t="s">
        <v>1615</v>
      </c>
      <c r="Q812" t="s">
        <v>621</v>
      </c>
      <c r="R812" t="s">
        <v>3185</v>
      </c>
      <c r="S812" t="s">
        <v>622</v>
      </c>
      <c r="T812">
        <v>13170</v>
      </c>
      <c r="U812">
        <v>27.4</v>
      </c>
      <c r="V812">
        <v>850</v>
      </c>
      <c r="W812">
        <v>19.2</v>
      </c>
      <c r="X812">
        <v>856</v>
      </c>
      <c r="Y812">
        <v>35</v>
      </c>
      <c r="Z812">
        <v>1326</v>
      </c>
      <c r="AA812">
        <v>38.200000000000003</v>
      </c>
      <c r="AB812">
        <v>1017</v>
      </c>
      <c r="AC812">
        <v>31.2</v>
      </c>
      <c r="AD812">
        <v>1453</v>
      </c>
      <c r="AE812" t="s">
        <v>57</v>
      </c>
      <c r="AF812">
        <v>0</v>
      </c>
      <c r="AG812" t="s">
        <v>3186</v>
      </c>
      <c r="AH812">
        <v>623649</v>
      </c>
      <c r="AI812" t="s">
        <v>167</v>
      </c>
      <c r="AJ812" s="1">
        <v>11376</v>
      </c>
      <c r="AK812">
        <v>17.2</v>
      </c>
      <c r="AL812" s="2">
        <v>0.06</v>
      </c>
      <c r="AM812" s="3">
        <v>2.2409722222222221</v>
      </c>
      <c r="AN812" t="s">
        <v>3187</v>
      </c>
      <c r="AO812" t="s">
        <v>3188</v>
      </c>
      <c r="AP812" t="b">
        <v>0</v>
      </c>
      <c r="AQ812" t="b">
        <v>0</v>
      </c>
      <c r="AR812" t="b">
        <v>0</v>
      </c>
    </row>
    <row r="813" spans="1:45" x14ac:dyDescent="0.3">
      <c r="A813" t="s">
        <v>1621</v>
      </c>
      <c r="B813" t="s">
        <v>2369</v>
      </c>
      <c r="C813" t="s">
        <v>3189</v>
      </c>
      <c r="D813" t="s">
        <v>378</v>
      </c>
      <c r="E813" t="s">
        <v>379</v>
      </c>
      <c r="F813" t="s">
        <v>56</v>
      </c>
      <c r="G813">
        <v>5.7</v>
      </c>
      <c r="H813">
        <v>4.0999999999999996</v>
      </c>
      <c r="I813">
        <v>18.899999999999999</v>
      </c>
      <c r="J813">
        <v>1.4</v>
      </c>
      <c r="K813">
        <v>2.7</v>
      </c>
      <c r="L813">
        <v>29.6</v>
      </c>
      <c r="M813">
        <v>7.2</v>
      </c>
      <c r="N813">
        <v>3.1</v>
      </c>
      <c r="O813">
        <v>1</v>
      </c>
      <c r="P813" t="s">
        <v>1615</v>
      </c>
      <c r="Q813" t="s">
        <v>1068</v>
      </c>
      <c r="R813" t="s">
        <v>3189</v>
      </c>
      <c r="S813" t="s">
        <v>1070</v>
      </c>
      <c r="T813">
        <v>16800</v>
      </c>
      <c r="U813">
        <v>21.9</v>
      </c>
      <c r="V813">
        <v>1237</v>
      </c>
      <c r="W813">
        <v>8.8000000000000007</v>
      </c>
      <c r="X813">
        <v>1822</v>
      </c>
      <c r="Y813">
        <v>12.4</v>
      </c>
      <c r="Z813">
        <v>1813</v>
      </c>
      <c r="AA813">
        <v>36.1</v>
      </c>
      <c r="AB813">
        <v>1070</v>
      </c>
      <c r="AC813">
        <v>35.4</v>
      </c>
      <c r="AD813">
        <v>1302</v>
      </c>
      <c r="AE813" t="s">
        <v>57</v>
      </c>
      <c r="AF813">
        <v>0</v>
      </c>
      <c r="AG813" t="s">
        <v>3190</v>
      </c>
      <c r="AH813">
        <v>587760</v>
      </c>
      <c r="AI813" t="s">
        <v>381</v>
      </c>
      <c r="AJ813" s="1">
        <v>13088</v>
      </c>
      <c r="AK813">
        <v>11.6</v>
      </c>
      <c r="AL813" s="2">
        <v>0.16</v>
      </c>
      <c r="AM813" t="s">
        <v>789</v>
      </c>
      <c r="AN813" t="s">
        <v>3189</v>
      </c>
      <c r="AO813" t="s">
        <v>3191</v>
      </c>
      <c r="AP813" t="b">
        <v>0</v>
      </c>
      <c r="AQ813" t="b">
        <v>0</v>
      </c>
      <c r="AR813" t="b">
        <v>1</v>
      </c>
    </row>
    <row r="814" spans="1:45" x14ac:dyDescent="0.3">
      <c r="A814" t="s">
        <v>1621</v>
      </c>
      <c r="B814" t="s">
        <v>1621</v>
      </c>
      <c r="C814" t="s">
        <v>3192</v>
      </c>
      <c r="D814" t="s">
        <v>2028</v>
      </c>
      <c r="E814" t="s">
        <v>2029</v>
      </c>
      <c r="F814" t="s">
        <v>47</v>
      </c>
      <c r="G814">
        <v>3.9</v>
      </c>
      <c r="H814">
        <v>12.3</v>
      </c>
      <c r="I814">
        <v>21.6</v>
      </c>
      <c r="J814">
        <v>1.5</v>
      </c>
      <c r="K814">
        <v>1.4</v>
      </c>
      <c r="L814">
        <v>5.0999999999999996</v>
      </c>
      <c r="M814">
        <v>11.9</v>
      </c>
      <c r="N814">
        <v>4.0999999999999996</v>
      </c>
      <c r="O814">
        <v>1.4</v>
      </c>
      <c r="P814" t="s">
        <v>1615</v>
      </c>
      <c r="Q814" t="s">
        <v>733</v>
      </c>
      <c r="R814" t="s">
        <v>3193</v>
      </c>
      <c r="S814" t="s">
        <v>735</v>
      </c>
      <c r="T814">
        <v>10910</v>
      </c>
      <c r="U814">
        <v>22.2</v>
      </c>
      <c r="V814">
        <v>1211</v>
      </c>
      <c r="W814">
        <v>9.4</v>
      </c>
      <c r="X814">
        <v>1734</v>
      </c>
      <c r="Y814">
        <v>28</v>
      </c>
      <c r="Z814">
        <v>1489</v>
      </c>
      <c r="AA814">
        <v>16.5</v>
      </c>
      <c r="AB814">
        <v>1807</v>
      </c>
      <c r="AC814">
        <v>32.9</v>
      </c>
      <c r="AD814">
        <v>1390</v>
      </c>
      <c r="AE814" t="s">
        <v>57</v>
      </c>
      <c r="AF814">
        <v>0</v>
      </c>
      <c r="AG814" t="s">
        <v>3194</v>
      </c>
      <c r="AH814">
        <v>670488</v>
      </c>
      <c r="AI814" t="s">
        <v>2029</v>
      </c>
      <c r="AJ814" s="1">
        <v>7744</v>
      </c>
      <c r="AK814">
        <v>10.8</v>
      </c>
      <c r="AL814" s="2">
        <v>0.11</v>
      </c>
      <c r="AM814" t="s">
        <v>738</v>
      </c>
      <c r="AN814" t="s">
        <v>3193</v>
      </c>
      <c r="AO814" t="s">
        <v>3195</v>
      </c>
      <c r="AP814" t="b">
        <v>0</v>
      </c>
      <c r="AQ814" t="b">
        <v>0</v>
      </c>
      <c r="AR814" t="b">
        <v>0</v>
      </c>
    </row>
    <row r="815" spans="1:45" x14ac:dyDescent="0.3">
      <c r="A815" t="s">
        <v>1621</v>
      </c>
      <c r="B815" t="s">
        <v>2357</v>
      </c>
      <c r="C815" t="s">
        <v>3196</v>
      </c>
      <c r="D815" t="s">
        <v>1652</v>
      </c>
      <c r="E815" t="s">
        <v>1653</v>
      </c>
      <c r="F815" t="s">
        <v>47</v>
      </c>
      <c r="G815">
        <v>6.9</v>
      </c>
      <c r="H815">
        <v>5</v>
      </c>
      <c r="I815">
        <v>10.5</v>
      </c>
      <c r="J815">
        <v>5.3</v>
      </c>
      <c r="M815">
        <v>17.8</v>
      </c>
      <c r="N815">
        <v>3.8</v>
      </c>
      <c r="O815">
        <v>1</v>
      </c>
      <c r="P815" t="s">
        <v>1615</v>
      </c>
      <c r="Q815" t="s">
        <v>621</v>
      </c>
      <c r="R815" t="s">
        <v>3196</v>
      </c>
      <c r="S815" t="s">
        <v>622</v>
      </c>
      <c r="T815">
        <v>13300</v>
      </c>
      <c r="U815">
        <v>17</v>
      </c>
      <c r="V815">
        <v>1624</v>
      </c>
      <c r="W815">
        <v>9.5</v>
      </c>
      <c r="X815">
        <v>1711</v>
      </c>
      <c r="Y815">
        <v>46.9</v>
      </c>
      <c r="Z815">
        <v>1078</v>
      </c>
      <c r="AA815">
        <v>17.100000000000001</v>
      </c>
      <c r="AB815">
        <v>1745</v>
      </c>
      <c r="AC815">
        <v>43.7</v>
      </c>
      <c r="AD815">
        <v>996</v>
      </c>
      <c r="AE815" t="s">
        <v>57</v>
      </c>
      <c r="AF815">
        <v>0</v>
      </c>
      <c r="AG815" t="s">
        <v>3197</v>
      </c>
      <c r="AH815">
        <v>693583</v>
      </c>
      <c r="AI815" t="s">
        <v>1653</v>
      </c>
      <c r="AJ815" s="1">
        <v>6997</v>
      </c>
      <c r="AK815">
        <v>13.9</v>
      </c>
      <c r="AL815" s="2">
        <v>0</v>
      </c>
      <c r="AM815" s="3">
        <v>1.83125</v>
      </c>
      <c r="AN815" t="s">
        <v>3196</v>
      </c>
      <c r="AO815" t="s">
        <v>3198</v>
      </c>
      <c r="AP815" t="b">
        <v>0</v>
      </c>
      <c r="AQ815" t="b">
        <v>0</v>
      </c>
      <c r="AR815" t="b">
        <v>0</v>
      </c>
    </row>
    <row r="816" spans="1:45" x14ac:dyDescent="0.3">
      <c r="A816" t="s">
        <v>1621</v>
      </c>
      <c r="B816" t="s">
        <v>1621</v>
      </c>
      <c r="C816" t="s">
        <v>3199</v>
      </c>
      <c r="D816" t="s">
        <v>1652</v>
      </c>
      <c r="E816" t="s">
        <v>1653</v>
      </c>
      <c r="F816" t="s">
        <v>47</v>
      </c>
      <c r="G816">
        <v>6.6</v>
      </c>
      <c r="H816">
        <v>11.8</v>
      </c>
      <c r="I816">
        <v>8.6999999999999993</v>
      </c>
      <c r="J816">
        <v>5.6</v>
      </c>
      <c r="L816">
        <v>1</v>
      </c>
      <c r="M816">
        <v>9.4</v>
      </c>
      <c r="N816">
        <v>3.7</v>
      </c>
      <c r="O816">
        <v>1</v>
      </c>
      <c r="P816" t="s">
        <v>1615</v>
      </c>
      <c r="Q816" t="s">
        <v>1475</v>
      </c>
      <c r="R816" t="s">
        <v>3200</v>
      </c>
      <c r="T816">
        <v>1000378</v>
      </c>
      <c r="V816">
        <v>0</v>
      </c>
      <c r="X816">
        <v>0</v>
      </c>
      <c r="Z816">
        <v>0</v>
      </c>
      <c r="AB816">
        <v>0</v>
      </c>
      <c r="AD816">
        <v>0</v>
      </c>
      <c r="AE816" t="s">
        <v>57</v>
      </c>
      <c r="AF816">
        <v>0</v>
      </c>
      <c r="AG816" t="s">
        <v>3201</v>
      </c>
      <c r="AH816">
        <v>662302</v>
      </c>
      <c r="AI816" t="s">
        <v>1653</v>
      </c>
      <c r="AJ816" s="1">
        <v>6170</v>
      </c>
      <c r="AK816">
        <v>15.5</v>
      </c>
      <c r="AL816" s="2">
        <v>0</v>
      </c>
      <c r="AM816">
        <v>0.88888888888888884</v>
      </c>
      <c r="AN816" t="s">
        <v>3200</v>
      </c>
      <c r="AO816" t="s">
        <v>3202</v>
      </c>
      <c r="AP816" t="b">
        <v>0</v>
      </c>
      <c r="AQ816" t="b">
        <v>0</v>
      </c>
      <c r="AR816" t="b">
        <v>0</v>
      </c>
    </row>
    <row r="817" spans="1:45" x14ac:dyDescent="0.3">
      <c r="A817" t="s">
        <v>1621</v>
      </c>
      <c r="B817" t="s">
        <v>1621</v>
      </c>
      <c r="C817" t="s">
        <v>3203</v>
      </c>
      <c r="D817" t="s">
        <v>796</v>
      </c>
      <c r="E817" t="s">
        <v>797</v>
      </c>
      <c r="F817" t="s">
        <v>56</v>
      </c>
      <c r="G817">
        <v>8.3000000000000007</v>
      </c>
      <c r="H817">
        <v>3.7</v>
      </c>
      <c r="I817">
        <v>4.2</v>
      </c>
      <c r="J817">
        <v>3.1</v>
      </c>
      <c r="K817">
        <v>16.7</v>
      </c>
      <c r="L817">
        <v>2.2000000000000002</v>
      </c>
      <c r="M817">
        <v>18.5</v>
      </c>
      <c r="N817">
        <v>6.2</v>
      </c>
      <c r="O817">
        <v>1.1000000000000001</v>
      </c>
      <c r="P817" t="s">
        <v>1615</v>
      </c>
      <c r="Q817" t="s">
        <v>1068</v>
      </c>
      <c r="R817" t="s">
        <v>3204</v>
      </c>
      <c r="S817" t="s">
        <v>1070</v>
      </c>
      <c r="T817">
        <v>16850</v>
      </c>
      <c r="U817">
        <v>16.5</v>
      </c>
      <c r="V817">
        <v>1660</v>
      </c>
      <c r="W817">
        <v>22.9</v>
      </c>
      <c r="X817">
        <v>689</v>
      </c>
      <c r="Y817">
        <v>19.2</v>
      </c>
      <c r="Z817">
        <v>1697</v>
      </c>
      <c r="AA817">
        <v>55</v>
      </c>
      <c r="AB817">
        <v>723</v>
      </c>
      <c r="AC817">
        <v>30.7</v>
      </c>
      <c r="AD817">
        <v>1471</v>
      </c>
      <c r="AE817" t="s">
        <v>57</v>
      </c>
      <c r="AF817">
        <v>0</v>
      </c>
      <c r="AG817" t="s">
        <v>3205</v>
      </c>
      <c r="AH817">
        <v>589118</v>
      </c>
      <c r="AI817" t="s">
        <v>797</v>
      </c>
      <c r="AJ817" s="1">
        <v>25482</v>
      </c>
      <c r="AK817">
        <v>23</v>
      </c>
      <c r="AL817" s="2">
        <v>0.01</v>
      </c>
      <c r="AM817" s="3">
        <v>2.2000000000000002</v>
      </c>
      <c r="AN817" t="s">
        <v>3204</v>
      </c>
      <c r="AO817" t="s">
        <v>3206</v>
      </c>
      <c r="AP817" t="b">
        <v>0</v>
      </c>
      <c r="AQ817" t="b">
        <v>0</v>
      </c>
      <c r="AR817" t="b">
        <v>0</v>
      </c>
    </row>
    <row r="818" spans="1:45" x14ac:dyDescent="0.3">
      <c r="A818" t="s">
        <v>1621</v>
      </c>
      <c r="B818" t="s">
        <v>1621</v>
      </c>
      <c r="C818" t="s">
        <v>3207</v>
      </c>
      <c r="D818" t="s">
        <v>796</v>
      </c>
      <c r="E818" t="s">
        <v>797</v>
      </c>
      <c r="F818" t="s">
        <v>56</v>
      </c>
      <c r="G818">
        <v>8.5</v>
      </c>
      <c r="H818">
        <v>4.9000000000000004</v>
      </c>
      <c r="I818">
        <v>4.0999999999999996</v>
      </c>
      <c r="J818">
        <v>3.3</v>
      </c>
      <c r="K818">
        <v>2.8</v>
      </c>
      <c r="L818">
        <v>1.1000000000000001</v>
      </c>
      <c r="M818">
        <v>23.5</v>
      </c>
      <c r="N818">
        <v>2.5</v>
      </c>
      <c r="O818">
        <v>1.1000000000000001</v>
      </c>
      <c r="P818" t="s">
        <v>1615</v>
      </c>
      <c r="Q818" t="s">
        <v>621</v>
      </c>
      <c r="R818" t="s">
        <v>3207</v>
      </c>
      <c r="S818" t="s">
        <v>622</v>
      </c>
      <c r="T818">
        <v>13310</v>
      </c>
      <c r="U818">
        <v>16.2</v>
      </c>
      <c r="V818">
        <v>1684</v>
      </c>
      <c r="W818">
        <v>12.7</v>
      </c>
      <c r="X818">
        <v>1336</v>
      </c>
      <c r="Y818">
        <v>50.9</v>
      </c>
      <c r="Z818">
        <v>997</v>
      </c>
      <c r="AA818">
        <v>25.9</v>
      </c>
      <c r="AB818">
        <v>1304</v>
      </c>
      <c r="AC818">
        <v>28.7</v>
      </c>
      <c r="AD818">
        <v>1551</v>
      </c>
      <c r="AE818" t="s">
        <v>57</v>
      </c>
      <c r="AF818">
        <v>0</v>
      </c>
      <c r="AG818" t="s">
        <v>3208</v>
      </c>
      <c r="AH818">
        <v>131719</v>
      </c>
      <c r="AI818" t="s">
        <v>797</v>
      </c>
      <c r="AJ818" s="1">
        <v>28122</v>
      </c>
      <c r="AK818">
        <v>23.3</v>
      </c>
      <c r="AL818" s="2">
        <v>0</v>
      </c>
      <c r="AM818" s="3">
        <v>1.7902777777777779</v>
      </c>
      <c r="AN818" t="s">
        <v>3207</v>
      </c>
      <c r="AO818" t="s">
        <v>3209</v>
      </c>
      <c r="AP818" t="b">
        <v>0</v>
      </c>
      <c r="AQ818" t="b">
        <v>0</v>
      </c>
      <c r="AR818" t="b">
        <v>0</v>
      </c>
    </row>
    <row r="819" spans="1:45" x14ac:dyDescent="0.3">
      <c r="A819" t="s">
        <v>1621</v>
      </c>
      <c r="B819" t="s">
        <v>2369</v>
      </c>
      <c r="C819" t="s">
        <v>3210</v>
      </c>
      <c r="D819" t="s">
        <v>166</v>
      </c>
      <c r="E819" t="s">
        <v>167</v>
      </c>
      <c r="F819" t="s">
        <v>56</v>
      </c>
      <c r="G819">
        <v>3.6</v>
      </c>
      <c r="H819">
        <v>4</v>
      </c>
      <c r="I819">
        <v>35.299999999999997</v>
      </c>
      <c r="J819">
        <v>2.9</v>
      </c>
      <c r="K819">
        <v>4.9000000000000004</v>
      </c>
      <c r="L819">
        <v>31.1</v>
      </c>
      <c r="M819">
        <v>7.9</v>
      </c>
      <c r="N819">
        <v>2.9</v>
      </c>
      <c r="O819">
        <v>2.9</v>
      </c>
      <c r="P819" t="s">
        <v>1615</v>
      </c>
      <c r="Q819" t="s">
        <v>1068</v>
      </c>
      <c r="R819" t="s">
        <v>3211</v>
      </c>
      <c r="S819" t="s">
        <v>1070</v>
      </c>
      <c r="T819">
        <v>16920</v>
      </c>
      <c r="U819">
        <v>24.5</v>
      </c>
      <c r="V819">
        <v>1043</v>
      </c>
      <c r="W819">
        <v>14.3</v>
      </c>
      <c r="X819">
        <v>1178</v>
      </c>
      <c r="Y819">
        <v>20.100000000000001</v>
      </c>
      <c r="Z819">
        <v>1673</v>
      </c>
      <c r="AA819">
        <v>37</v>
      </c>
      <c r="AB819">
        <v>1048</v>
      </c>
      <c r="AC819">
        <v>36.1</v>
      </c>
      <c r="AD819">
        <v>1270</v>
      </c>
      <c r="AE819" t="s">
        <v>57</v>
      </c>
      <c r="AF819">
        <v>0</v>
      </c>
      <c r="AG819" t="s">
        <v>3212</v>
      </c>
      <c r="AH819">
        <v>624924</v>
      </c>
      <c r="AI819" t="s">
        <v>167</v>
      </c>
      <c r="AJ819" s="1">
        <v>17514</v>
      </c>
      <c r="AK819">
        <v>11.6</v>
      </c>
      <c r="AL819" s="2">
        <v>0.11</v>
      </c>
      <c r="AM819" s="3">
        <v>2.1180555555555554</v>
      </c>
      <c r="AN819" t="s">
        <v>3211</v>
      </c>
      <c r="AO819" t="s">
        <v>3213</v>
      </c>
      <c r="AP819" t="b">
        <v>0</v>
      </c>
      <c r="AQ819" t="b">
        <v>0</v>
      </c>
      <c r="AR819" t="b">
        <v>0</v>
      </c>
    </row>
    <row r="820" spans="1:45" x14ac:dyDescent="0.3">
      <c r="A820" t="s">
        <v>1621</v>
      </c>
      <c r="B820" t="s">
        <v>2357</v>
      </c>
      <c r="C820" t="s">
        <v>3214</v>
      </c>
      <c r="D820" t="s">
        <v>2454</v>
      </c>
      <c r="E820" t="s">
        <v>2455</v>
      </c>
      <c r="F820" t="s">
        <v>77</v>
      </c>
      <c r="G820">
        <v>6.9</v>
      </c>
      <c r="H820">
        <v>6</v>
      </c>
      <c r="I820">
        <v>4.8</v>
      </c>
      <c r="J820">
        <v>2</v>
      </c>
      <c r="M820">
        <v>55.3</v>
      </c>
      <c r="N820">
        <v>34.5</v>
      </c>
      <c r="O820">
        <v>2.2999999999999998</v>
      </c>
      <c r="P820" t="s">
        <v>1615</v>
      </c>
      <c r="Q820" t="s">
        <v>733</v>
      </c>
      <c r="R820" t="s">
        <v>3214</v>
      </c>
      <c r="S820" t="s">
        <v>735</v>
      </c>
      <c r="T820">
        <v>10970</v>
      </c>
      <c r="U820">
        <v>16.2</v>
      </c>
      <c r="V820">
        <v>1685</v>
      </c>
      <c r="W820">
        <v>20.7</v>
      </c>
      <c r="X820">
        <v>783</v>
      </c>
      <c r="Y820">
        <v>50.8</v>
      </c>
      <c r="Z820">
        <v>999</v>
      </c>
      <c r="AA820">
        <v>52</v>
      </c>
      <c r="AB820">
        <v>772</v>
      </c>
      <c r="AC820">
        <v>47.2</v>
      </c>
      <c r="AD820">
        <v>883</v>
      </c>
      <c r="AE820" t="s">
        <v>57</v>
      </c>
      <c r="AF820">
        <v>0</v>
      </c>
      <c r="AG820" t="s">
        <v>3215</v>
      </c>
      <c r="AH820">
        <v>699439</v>
      </c>
      <c r="AI820" t="s">
        <v>2455</v>
      </c>
      <c r="AJ820" s="1">
        <v>71529</v>
      </c>
      <c r="AK820">
        <v>60.8</v>
      </c>
      <c r="AL820" s="2">
        <v>0.01</v>
      </c>
      <c r="AM820" t="s">
        <v>1244</v>
      </c>
      <c r="AN820" t="s">
        <v>3214</v>
      </c>
      <c r="AO820" t="s">
        <v>3216</v>
      </c>
      <c r="AP820" t="b">
        <v>0</v>
      </c>
      <c r="AQ820" t="b">
        <v>0</v>
      </c>
      <c r="AR820" t="b">
        <v>0</v>
      </c>
    </row>
    <row r="821" spans="1:45" x14ac:dyDescent="0.3">
      <c r="A821" t="s">
        <v>1621</v>
      </c>
      <c r="B821" t="s">
        <v>2369</v>
      </c>
      <c r="C821" t="s">
        <v>3217</v>
      </c>
      <c r="D821" t="s">
        <v>175</v>
      </c>
      <c r="E821" t="s">
        <v>176</v>
      </c>
      <c r="F821" t="s">
        <v>388</v>
      </c>
      <c r="G821">
        <v>6.1</v>
      </c>
      <c r="H821">
        <v>3.9</v>
      </c>
      <c r="I821">
        <v>14.4</v>
      </c>
      <c r="J821">
        <v>11.7</v>
      </c>
      <c r="K821">
        <v>11.1</v>
      </c>
      <c r="L821">
        <v>9</v>
      </c>
      <c r="M821">
        <v>9.3000000000000007</v>
      </c>
      <c r="N821">
        <v>1.9</v>
      </c>
      <c r="O821">
        <v>1.1000000000000001</v>
      </c>
      <c r="P821" t="s">
        <v>1615</v>
      </c>
      <c r="Q821" t="s">
        <v>621</v>
      </c>
      <c r="R821" t="s">
        <v>3217</v>
      </c>
      <c r="S821" t="s">
        <v>622</v>
      </c>
      <c r="T821">
        <v>13340</v>
      </c>
      <c r="U821">
        <v>27.2</v>
      </c>
      <c r="V821">
        <v>863</v>
      </c>
      <c r="W821">
        <v>17.100000000000001</v>
      </c>
      <c r="X821">
        <v>962</v>
      </c>
      <c r="Y821">
        <v>15.2</v>
      </c>
      <c r="Z821">
        <v>1762</v>
      </c>
      <c r="AA821">
        <v>73.3</v>
      </c>
      <c r="AB821">
        <v>361</v>
      </c>
      <c r="AC821">
        <v>33.700000000000003</v>
      </c>
      <c r="AD821">
        <v>1363</v>
      </c>
      <c r="AE821" t="s">
        <v>57</v>
      </c>
      <c r="AF821">
        <v>0</v>
      </c>
      <c r="AG821" t="s">
        <v>3218</v>
      </c>
      <c r="AH821">
        <v>609345</v>
      </c>
      <c r="AI821" t="s">
        <v>176</v>
      </c>
      <c r="AJ821" s="1">
        <v>3943</v>
      </c>
      <c r="AK821">
        <v>13.8</v>
      </c>
      <c r="AL821" s="2">
        <v>0.06</v>
      </c>
      <c r="AM821" t="s">
        <v>410</v>
      </c>
      <c r="AN821" t="s">
        <v>3217</v>
      </c>
      <c r="AO821" t="s">
        <v>3219</v>
      </c>
      <c r="AP821" t="b">
        <v>0</v>
      </c>
      <c r="AQ821" t="b">
        <v>0</v>
      </c>
      <c r="AR821" t="b">
        <v>0</v>
      </c>
    </row>
    <row r="822" spans="1:45" x14ac:dyDescent="0.3">
      <c r="A822" t="s">
        <v>1621</v>
      </c>
      <c r="B822" t="s">
        <v>1621</v>
      </c>
      <c r="C822" t="s">
        <v>3220</v>
      </c>
      <c r="D822" t="s">
        <v>45</v>
      </c>
      <c r="E822" t="s">
        <v>46</v>
      </c>
      <c r="F822" t="s">
        <v>47</v>
      </c>
      <c r="G822">
        <v>3.4</v>
      </c>
      <c r="H822">
        <v>2.4</v>
      </c>
      <c r="I822">
        <v>21.1</v>
      </c>
      <c r="J822">
        <v>9.1</v>
      </c>
      <c r="K822">
        <v>6.2</v>
      </c>
      <c r="L822">
        <v>2.7</v>
      </c>
      <c r="M822">
        <v>35.6</v>
      </c>
      <c r="N822">
        <v>11.2</v>
      </c>
      <c r="O822">
        <v>1.2</v>
      </c>
      <c r="P822" t="s">
        <v>1615</v>
      </c>
      <c r="Q822" t="s">
        <v>679</v>
      </c>
      <c r="R822" t="s">
        <v>3220</v>
      </c>
      <c r="S822" t="s">
        <v>680</v>
      </c>
      <c r="T822">
        <v>9210</v>
      </c>
      <c r="U822">
        <v>36.9</v>
      </c>
      <c r="V822">
        <v>392</v>
      </c>
      <c r="W822">
        <v>18.2</v>
      </c>
      <c r="X822">
        <v>908</v>
      </c>
      <c r="Y822">
        <v>54</v>
      </c>
      <c r="Z822">
        <v>914</v>
      </c>
      <c r="AA822">
        <v>49.3</v>
      </c>
      <c r="AB822">
        <v>822</v>
      </c>
      <c r="AC822">
        <v>33.1</v>
      </c>
      <c r="AD822">
        <v>1384</v>
      </c>
      <c r="AE822" t="s">
        <v>49</v>
      </c>
      <c r="AF822">
        <v>0</v>
      </c>
      <c r="AG822" t="s">
        <v>3221</v>
      </c>
      <c r="AH822">
        <v>594980</v>
      </c>
      <c r="AI822" t="s">
        <v>46</v>
      </c>
      <c r="AJ822" s="1">
        <v>10317</v>
      </c>
      <c r="AK822">
        <v>12.2</v>
      </c>
      <c r="AL822" s="2">
        <v>0.03</v>
      </c>
      <c r="AM822" s="3">
        <v>2.4458333333333333</v>
      </c>
      <c r="AN822" t="s">
        <v>3220</v>
      </c>
      <c r="AO822" t="s">
        <v>3222</v>
      </c>
      <c r="AP822" t="b">
        <v>0</v>
      </c>
      <c r="AQ822" t="b">
        <v>0</v>
      </c>
      <c r="AR822" t="b">
        <v>0</v>
      </c>
      <c r="AS822" t="s">
        <v>3223</v>
      </c>
    </row>
    <row r="823" spans="1:45" x14ac:dyDescent="0.3">
      <c r="A823" t="s">
        <v>1621</v>
      </c>
      <c r="B823" t="s">
        <v>2369</v>
      </c>
      <c r="C823" t="s">
        <v>3224</v>
      </c>
      <c r="D823" t="s">
        <v>175</v>
      </c>
      <c r="E823" t="s">
        <v>176</v>
      </c>
      <c r="F823" t="s">
        <v>77</v>
      </c>
      <c r="G823">
        <v>6.7</v>
      </c>
      <c r="H823">
        <v>19.2</v>
      </c>
      <c r="I823">
        <v>4.4000000000000004</v>
      </c>
      <c r="J823">
        <v>1.6</v>
      </c>
      <c r="K823">
        <v>10.5</v>
      </c>
      <c r="L823">
        <v>4.5999999999999996</v>
      </c>
      <c r="M823">
        <v>13.4</v>
      </c>
      <c r="N823">
        <v>17.3</v>
      </c>
      <c r="O823">
        <v>1.1000000000000001</v>
      </c>
      <c r="P823" t="s">
        <v>1615</v>
      </c>
      <c r="Q823" t="s">
        <v>1068</v>
      </c>
      <c r="R823" t="s">
        <v>3224</v>
      </c>
      <c r="S823" t="s">
        <v>1070</v>
      </c>
      <c r="T823">
        <v>17200</v>
      </c>
      <c r="U823">
        <v>16.3</v>
      </c>
      <c r="V823">
        <v>1679</v>
      </c>
      <c r="W823">
        <v>12.1</v>
      </c>
      <c r="X823">
        <v>1399</v>
      </c>
      <c r="Y823">
        <v>13.5</v>
      </c>
      <c r="Z823">
        <v>1794</v>
      </c>
      <c r="AA823">
        <v>40.799999999999997</v>
      </c>
      <c r="AB823">
        <v>961</v>
      </c>
      <c r="AC823">
        <v>31.4</v>
      </c>
      <c r="AD823">
        <v>1447</v>
      </c>
      <c r="AE823" t="s">
        <v>57</v>
      </c>
      <c r="AF823">
        <v>0</v>
      </c>
      <c r="AG823" t="s">
        <v>3225</v>
      </c>
      <c r="AH823">
        <v>589097</v>
      </c>
      <c r="AI823" t="s">
        <v>176</v>
      </c>
      <c r="AJ823" s="1">
        <v>32810</v>
      </c>
      <c r="AK823">
        <v>34</v>
      </c>
      <c r="AL823" s="2">
        <v>0.05</v>
      </c>
      <c r="AM823" t="s">
        <v>445</v>
      </c>
      <c r="AN823" t="s">
        <v>3224</v>
      </c>
      <c r="AO823" t="s">
        <v>3226</v>
      </c>
      <c r="AP823" t="b">
        <v>0</v>
      </c>
      <c r="AQ823" t="b">
        <v>0</v>
      </c>
      <c r="AR823" t="b">
        <v>0</v>
      </c>
    </row>
    <row r="824" spans="1:45" x14ac:dyDescent="0.3">
      <c r="A824" t="s">
        <v>1621</v>
      </c>
      <c r="B824" t="s">
        <v>1621</v>
      </c>
      <c r="C824" t="s">
        <v>3227</v>
      </c>
      <c r="D824" t="s">
        <v>378</v>
      </c>
      <c r="E824" t="s">
        <v>379</v>
      </c>
      <c r="F824" t="s">
        <v>47</v>
      </c>
      <c r="G824">
        <v>4.5</v>
      </c>
      <c r="H824">
        <v>3.9</v>
      </c>
      <c r="I824">
        <v>24.2</v>
      </c>
      <c r="J824">
        <v>2.8</v>
      </c>
      <c r="K824">
        <v>1.1000000000000001</v>
      </c>
      <c r="L824">
        <v>9.1</v>
      </c>
      <c r="M824">
        <v>15.3</v>
      </c>
      <c r="N824">
        <v>8.8000000000000007</v>
      </c>
      <c r="O824">
        <v>1</v>
      </c>
      <c r="P824" t="s">
        <v>1615</v>
      </c>
      <c r="Q824" t="s">
        <v>1068</v>
      </c>
      <c r="R824" t="s">
        <v>3227</v>
      </c>
      <c r="S824" t="s">
        <v>1070</v>
      </c>
      <c r="T824">
        <v>17220</v>
      </c>
      <c r="U824">
        <v>19.600000000000001</v>
      </c>
      <c r="V824">
        <v>1413</v>
      </c>
      <c r="W824">
        <v>14.1</v>
      </c>
      <c r="X824">
        <v>1197</v>
      </c>
      <c r="Y824">
        <v>14.3</v>
      </c>
      <c r="Z824">
        <v>1779</v>
      </c>
      <c r="AA824">
        <v>43.4</v>
      </c>
      <c r="AB824">
        <v>916</v>
      </c>
      <c r="AC824">
        <v>23.6</v>
      </c>
      <c r="AD824">
        <v>1755</v>
      </c>
      <c r="AE824" t="s">
        <v>57</v>
      </c>
      <c r="AF824">
        <v>0</v>
      </c>
      <c r="AG824" t="s">
        <v>3228</v>
      </c>
      <c r="AH824">
        <v>624087</v>
      </c>
      <c r="AI824" t="s">
        <v>381</v>
      </c>
      <c r="AJ824" s="1">
        <v>7338</v>
      </c>
      <c r="AK824">
        <v>14.9</v>
      </c>
      <c r="AL824" s="2">
        <v>0.06</v>
      </c>
      <c r="AM824" s="3">
        <v>2.3638888888888889</v>
      </c>
      <c r="AN824" t="s">
        <v>3227</v>
      </c>
      <c r="AO824" t="s">
        <v>3229</v>
      </c>
      <c r="AP824" t="b">
        <v>0</v>
      </c>
      <c r="AQ824" t="b">
        <v>0</v>
      </c>
      <c r="AR824" t="b">
        <v>1</v>
      </c>
    </row>
    <row r="825" spans="1:45" x14ac:dyDescent="0.3">
      <c r="A825" t="s">
        <v>1621</v>
      </c>
      <c r="B825" t="s">
        <v>1621</v>
      </c>
      <c r="C825" t="s">
        <v>3230</v>
      </c>
      <c r="D825" t="s">
        <v>45</v>
      </c>
      <c r="E825" t="s">
        <v>46</v>
      </c>
      <c r="F825" t="s">
        <v>56</v>
      </c>
      <c r="G825">
        <v>3.8</v>
      </c>
      <c r="H825">
        <v>5.4</v>
      </c>
      <c r="I825">
        <v>6.2</v>
      </c>
      <c r="J825">
        <v>7.8</v>
      </c>
      <c r="K825">
        <v>3.4</v>
      </c>
      <c r="L825">
        <v>5.5</v>
      </c>
      <c r="M825">
        <v>25.3</v>
      </c>
      <c r="N825">
        <v>26.1</v>
      </c>
      <c r="O825">
        <v>2.2000000000000002</v>
      </c>
      <c r="P825" t="s">
        <v>1615</v>
      </c>
      <c r="Q825" t="s">
        <v>292</v>
      </c>
      <c r="R825" t="s">
        <v>1079</v>
      </c>
      <c r="S825" t="s">
        <v>293</v>
      </c>
      <c r="T825">
        <v>2250</v>
      </c>
      <c r="U825">
        <v>48.5</v>
      </c>
      <c r="V825">
        <v>153</v>
      </c>
      <c r="W825">
        <v>34.700000000000003</v>
      </c>
      <c r="X825">
        <v>357</v>
      </c>
      <c r="Y825">
        <v>83.2</v>
      </c>
      <c r="Z825">
        <v>252</v>
      </c>
      <c r="AA825">
        <v>80.400000000000006</v>
      </c>
      <c r="AB825">
        <v>258</v>
      </c>
      <c r="AC825">
        <v>67.5</v>
      </c>
      <c r="AD825">
        <v>439</v>
      </c>
      <c r="AE825" t="s">
        <v>49</v>
      </c>
      <c r="AF825">
        <v>0</v>
      </c>
      <c r="AG825" t="s">
        <v>1080</v>
      </c>
      <c r="AH825">
        <v>636</v>
      </c>
      <c r="AI825" t="s">
        <v>46</v>
      </c>
      <c r="AJ825" s="1">
        <v>17060</v>
      </c>
      <c r="AK825">
        <v>10.4</v>
      </c>
      <c r="AL825" s="2">
        <v>0.14000000000000001</v>
      </c>
      <c r="AM825" s="3">
        <v>2.2819444444444446</v>
      </c>
      <c r="AN825" t="s">
        <v>1079</v>
      </c>
      <c r="AO825" t="s">
        <v>1081</v>
      </c>
      <c r="AP825" t="b">
        <v>0</v>
      </c>
      <c r="AQ825" t="b">
        <v>0</v>
      </c>
      <c r="AR825" t="b">
        <v>0</v>
      </c>
      <c r="AS825" t="s">
        <v>1082</v>
      </c>
    </row>
    <row r="826" spans="1:45" x14ac:dyDescent="0.3">
      <c r="A826" t="s">
        <v>1621</v>
      </c>
      <c r="B826" t="s">
        <v>1621</v>
      </c>
      <c r="C826" t="s">
        <v>3231</v>
      </c>
      <c r="D826" t="s">
        <v>175</v>
      </c>
      <c r="E826" t="s">
        <v>176</v>
      </c>
      <c r="F826" t="s">
        <v>47</v>
      </c>
      <c r="G826">
        <v>5.7</v>
      </c>
      <c r="H826">
        <v>2.6</v>
      </c>
      <c r="I826">
        <v>7.5</v>
      </c>
      <c r="J826">
        <v>14.5</v>
      </c>
      <c r="K826">
        <v>5.0999999999999996</v>
      </c>
      <c r="L826">
        <v>4.0999999999999996</v>
      </c>
      <c r="M826">
        <v>18.3</v>
      </c>
      <c r="N826">
        <v>6</v>
      </c>
      <c r="O826">
        <v>1</v>
      </c>
      <c r="P826" t="s">
        <v>1615</v>
      </c>
      <c r="Q826" t="s">
        <v>621</v>
      </c>
      <c r="R826" t="s">
        <v>3232</v>
      </c>
      <c r="S826" t="s">
        <v>622</v>
      </c>
      <c r="T826">
        <v>13630</v>
      </c>
      <c r="U826">
        <v>21.5</v>
      </c>
      <c r="V826">
        <v>1269</v>
      </c>
      <c r="W826">
        <v>20.3</v>
      </c>
      <c r="X826">
        <v>797</v>
      </c>
      <c r="Y826">
        <v>23</v>
      </c>
      <c r="Z826">
        <v>1612</v>
      </c>
      <c r="AA826">
        <v>73.2</v>
      </c>
      <c r="AB826">
        <v>365</v>
      </c>
      <c r="AC826">
        <v>31.4</v>
      </c>
      <c r="AD826">
        <v>1448</v>
      </c>
      <c r="AE826" t="s">
        <v>57</v>
      </c>
      <c r="AF826">
        <v>0</v>
      </c>
      <c r="AG826" t="s">
        <v>3233</v>
      </c>
      <c r="AH826">
        <v>589352</v>
      </c>
      <c r="AI826" t="s">
        <v>176</v>
      </c>
      <c r="AJ826" s="1">
        <v>5760</v>
      </c>
      <c r="AK826">
        <v>16.100000000000001</v>
      </c>
      <c r="AL826" s="2">
        <v>0.05</v>
      </c>
      <c r="AM826">
        <v>0.76597222222222228</v>
      </c>
      <c r="AN826" t="s">
        <v>3232</v>
      </c>
      <c r="AO826" t="s">
        <v>3234</v>
      </c>
      <c r="AP826" t="b">
        <v>0</v>
      </c>
      <c r="AQ826" t="b">
        <v>0</v>
      </c>
      <c r="AR826" t="b">
        <v>0</v>
      </c>
    </row>
    <row r="827" spans="1:45" x14ac:dyDescent="0.3">
      <c r="A827" t="s">
        <v>1621</v>
      </c>
      <c r="B827" t="s">
        <v>1621</v>
      </c>
      <c r="C827" t="s">
        <v>3235</v>
      </c>
      <c r="D827" t="s">
        <v>297</v>
      </c>
      <c r="E827" t="s">
        <v>298</v>
      </c>
      <c r="F827" t="s">
        <v>47</v>
      </c>
      <c r="G827">
        <v>9.1999999999999993</v>
      </c>
      <c r="H827">
        <v>4.5</v>
      </c>
      <c r="I827">
        <v>6.3</v>
      </c>
      <c r="J827">
        <v>5.4</v>
      </c>
      <c r="K827">
        <v>4.9000000000000004</v>
      </c>
      <c r="L827">
        <v>10.199999999999999</v>
      </c>
      <c r="M827">
        <v>9.6999999999999993</v>
      </c>
      <c r="N827">
        <v>2</v>
      </c>
      <c r="O827">
        <v>1.3</v>
      </c>
      <c r="P827" t="s">
        <v>1615</v>
      </c>
      <c r="Q827" t="s">
        <v>621</v>
      </c>
      <c r="R827" t="s">
        <v>3235</v>
      </c>
      <c r="S827" t="s">
        <v>622</v>
      </c>
      <c r="T827">
        <v>13710</v>
      </c>
      <c r="U827">
        <v>19.100000000000001</v>
      </c>
      <c r="V827">
        <v>1459</v>
      </c>
      <c r="W827">
        <v>23.8</v>
      </c>
      <c r="X827">
        <v>664</v>
      </c>
      <c r="Y827">
        <v>26.3</v>
      </c>
      <c r="Z827">
        <v>1534</v>
      </c>
      <c r="AA827">
        <v>33.5</v>
      </c>
      <c r="AB827">
        <v>1122</v>
      </c>
      <c r="AC827">
        <v>48.6</v>
      </c>
      <c r="AD827">
        <v>848</v>
      </c>
      <c r="AE827" t="s">
        <v>57</v>
      </c>
      <c r="AF827">
        <v>11</v>
      </c>
      <c r="AG827" t="s">
        <v>3236</v>
      </c>
      <c r="AH827">
        <v>623850</v>
      </c>
      <c r="AI827" t="s">
        <v>298</v>
      </c>
      <c r="AJ827" s="1">
        <v>9970</v>
      </c>
      <c r="AK827">
        <v>18.600000000000001</v>
      </c>
      <c r="AL827" s="2">
        <v>0.09</v>
      </c>
      <c r="AM827" s="3">
        <v>2.2000000000000002</v>
      </c>
      <c r="AN827" t="s">
        <v>3237</v>
      </c>
      <c r="AO827" t="s">
        <v>3238</v>
      </c>
      <c r="AP827" t="b">
        <v>0</v>
      </c>
      <c r="AQ827" t="b">
        <v>0</v>
      </c>
      <c r="AR827" t="b">
        <v>0</v>
      </c>
    </row>
    <row r="828" spans="1:45" x14ac:dyDescent="0.3">
      <c r="A828" t="s">
        <v>1621</v>
      </c>
      <c r="B828" t="s">
        <v>1621</v>
      </c>
      <c r="C828" t="s">
        <v>3239</v>
      </c>
      <c r="D828" t="s">
        <v>297</v>
      </c>
      <c r="E828" t="s">
        <v>298</v>
      </c>
      <c r="F828" t="s">
        <v>47</v>
      </c>
      <c r="G828">
        <v>7.6</v>
      </c>
      <c r="H828">
        <v>4.5</v>
      </c>
      <c r="I828">
        <v>7.8</v>
      </c>
      <c r="J828">
        <v>2.8</v>
      </c>
      <c r="K828">
        <v>2.6</v>
      </c>
      <c r="L828">
        <v>4.5</v>
      </c>
      <c r="M828">
        <v>5</v>
      </c>
      <c r="N828">
        <v>18.899999999999999</v>
      </c>
      <c r="O828">
        <v>1.1000000000000001</v>
      </c>
      <c r="P828" t="s">
        <v>1615</v>
      </c>
      <c r="Q828" t="s">
        <v>1068</v>
      </c>
      <c r="R828" t="s">
        <v>3239</v>
      </c>
      <c r="S828" t="s">
        <v>1070</v>
      </c>
      <c r="T828">
        <v>17560</v>
      </c>
      <c r="U828">
        <v>20.6</v>
      </c>
      <c r="V828">
        <v>1331</v>
      </c>
      <c r="W828">
        <v>15.1</v>
      </c>
      <c r="X828">
        <v>1115</v>
      </c>
      <c r="Y828">
        <v>22.4</v>
      </c>
      <c r="Z828">
        <v>1626</v>
      </c>
      <c r="AA828">
        <v>23.3</v>
      </c>
      <c r="AB828">
        <v>1386</v>
      </c>
      <c r="AC828">
        <v>30.5</v>
      </c>
      <c r="AD828">
        <v>1478</v>
      </c>
      <c r="AE828" t="s">
        <v>57</v>
      </c>
      <c r="AF828">
        <v>0</v>
      </c>
      <c r="AG828" t="s">
        <v>3240</v>
      </c>
      <c r="AH828">
        <v>957</v>
      </c>
      <c r="AI828" t="s">
        <v>298</v>
      </c>
      <c r="AJ828" s="1">
        <v>8386</v>
      </c>
      <c r="AK828">
        <v>15.7</v>
      </c>
      <c r="AL828" s="2">
        <v>0.06</v>
      </c>
      <c r="AM828" s="3">
        <v>2.3229166666666665</v>
      </c>
      <c r="AN828" t="s">
        <v>3239</v>
      </c>
      <c r="AO828" t="s">
        <v>3241</v>
      </c>
      <c r="AP828" t="b">
        <v>0</v>
      </c>
      <c r="AQ828" t="b">
        <v>0</v>
      </c>
      <c r="AR828" t="b">
        <v>0</v>
      </c>
    </row>
    <row r="829" spans="1:45" x14ac:dyDescent="0.3">
      <c r="A829" t="s">
        <v>1621</v>
      </c>
      <c r="B829" t="s">
        <v>1621</v>
      </c>
      <c r="C829" t="s">
        <v>3242</v>
      </c>
      <c r="D829" t="s">
        <v>297</v>
      </c>
      <c r="E829" t="s">
        <v>298</v>
      </c>
      <c r="F829" t="s">
        <v>47</v>
      </c>
      <c r="G829">
        <v>6</v>
      </c>
      <c r="H829">
        <v>3.2</v>
      </c>
      <c r="I829">
        <v>11.9</v>
      </c>
      <c r="J829">
        <v>10.8</v>
      </c>
      <c r="K829">
        <v>7.5</v>
      </c>
      <c r="L829">
        <v>7.6</v>
      </c>
      <c r="M829">
        <v>22.6</v>
      </c>
      <c r="N829">
        <v>3.3</v>
      </c>
      <c r="O829">
        <v>17.5</v>
      </c>
      <c r="P829" t="s">
        <v>1615</v>
      </c>
      <c r="Q829" t="s">
        <v>621</v>
      </c>
      <c r="R829" t="s">
        <v>3242</v>
      </c>
      <c r="S829" t="s">
        <v>622</v>
      </c>
      <c r="T829">
        <v>13750</v>
      </c>
      <c r="U829">
        <v>19.7</v>
      </c>
      <c r="V829">
        <v>1403</v>
      </c>
      <c r="W829">
        <v>25</v>
      </c>
      <c r="X829">
        <v>612</v>
      </c>
      <c r="Y829">
        <v>30.2</v>
      </c>
      <c r="Z829">
        <v>1438</v>
      </c>
      <c r="AA829">
        <v>63</v>
      </c>
      <c r="AB829">
        <v>591</v>
      </c>
      <c r="AC829">
        <v>34.700000000000003</v>
      </c>
      <c r="AD829">
        <v>1331</v>
      </c>
      <c r="AE829" t="s">
        <v>57</v>
      </c>
      <c r="AF829">
        <v>0</v>
      </c>
      <c r="AG829" t="s">
        <v>3243</v>
      </c>
      <c r="AH829">
        <v>844</v>
      </c>
      <c r="AI829" t="s">
        <v>298</v>
      </c>
      <c r="AJ829" s="1">
        <v>8244</v>
      </c>
      <c r="AK829">
        <v>16.2</v>
      </c>
      <c r="AL829" s="2">
        <v>0.08</v>
      </c>
      <c r="AM829" t="s">
        <v>357</v>
      </c>
      <c r="AN829" t="s">
        <v>3242</v>
      </c>
      <c r="AO829" t="s">
        <v>3244</v>
      </c>
      <c r="AP829" t="b">
        <v>0</v>
      </c>
      <c r="AQ829" t="b">
        <v>0</v>
      </c>
      <c r="AR829" t="b">
        <v>0</v>
      </c>
    </row>
    <row r="830" spans="1:45" x14ac:dyDescent="0.3">
      <c r="A830" t="s">
        <v>1621</v>
      </c>
      <c r="B830" t="s">
        <v>2369</v>
      </c>
      <c r="C830" t="s">
        <v>3245</v>
      </c>
      <c r="D830" t="s">
        <v>378</v>
      </c>
      <c r="E830" t="s">
        <v>379</v>
      </c>
      <c r="F830" t="s">
        <v>47</v>
      </c>
      <c r="G830">
        <v>6</v>
      </c>
      <c r="H830">
        <v>6.4</v>
      </c>
      <c r="I830">
        <v>27.6</v>
      </c>
      <c r="J830">
        <v>1.7</v>
      </c>
      <c r="K830">
        <v>1.4</v>
      </c>
      <c r="L830">
        <v>41.7</v>
      </c>
      <c r="M830">
        <v>8.4</v>
      </c>
      <c r="N830">
        <v>5.7</v>
      </c>
      <c r="O830">
        <v>1</v>
      </c>
      <c r="P830" t="s">
        <v>1615</v>
      </c>
      <c r="Q830" t="s">
        <v>1068</v>
      </c>
      <c r="R830" t="s">
        <v>3245</v>
      </c>
      <c r="S830" t="s">
        <v>1070</v>
      </c>
      <c r="T830">
        <v>17700</v>
      </c>
      <c r="U830">
        <v>20.2</v>
      </c>
      <c r="V830">
        <v>1360</v>
      </c>
      <c r="W830">
        <v>12.4</v>
      </c>
      <c r="X830">
        <v>1369</v>
      </c>
      <c r="Y830">
        <v>12.8</v>
      </c>
      <c r="Z830">
        <v>1801</v>
      </c>
      <c r="AA830">
        <v>23.2</v>
      </c>
      <c r="AB830">
        <v>1392</v>
      </c>
      <c r="AC830">
        <v>36.1</v>
      </c>
      <c r="AD830">
        <v>1271</v>
      </c>
      <c r="AE830" t="s">
        <v>57</v>
      </c>
      <c r="AF830">
        <v>0</v>
      </c>
      <c r="AG830" t="s">
        <v>3246</v>
      </c>
      <c r="AH830">
        <v>587832</v>
      </c>
      <c r="AI830" t="s">
        <v>381</v>
      </c>
      <c r="AJ830" s="1">
        <v>12615</v>
      </c>
      <c r="AK830">
        <v>14.6</v>
      </c>
      <c r="AL830" s="2">
        <v>0.17</v>
      </c>
      <c r="AM830" t="s">
        <v>789</v>
      </c>
      <c r="AN830" t="s">
        <v>3245</v>
      </c>
      <c r="AO830" t="s">
        <v>3247</v>
      </c>
      <c r="AP830" t="b">
        <v>0</v>
      </c>
      <c r="AQ830" t="b">
        <v>0</v>
      </c>
      <c r="AR830" t="b">
        <v>1</v>
      </c>
    </row>
    <row r="831" spans="1:45" x14ac:dyDescent="0.3">
      <c r="A831" t="s">
        <v>1621</v>
      </c>
      <c r="B831" t="s">
        <v>1621</v>
      </c>
      <c r="C831" t="s">
        <v>3248</v>
      </c>
      <c r="D831" t="s">
        <v>1678</v>
      </c>
      <c r="E831" t="s">
        <v>1679</v>
      </c>
      <c r="F831" t="s">
        <v>47</v>
      </c>
      <c r="G831">
        <v>5.5</v>
      </c>
      <c r="H831">
        <v>4.9000000000000004</v>
      </c>
      <c r="I831">
        <v>2.5</v>
      </c>
      <c r="J831">
        <v>7.8</v>
      </c>
      <c r="K831">
        <v>17.899999999999999</v>
      </c>
      <c r="L831">
        <v>7.6</v>
      </c>
      <c r="M831">
        <v>29.1</v>
      </c>
      <c r="N831">
        <v>3.8</v>
      </c>
      <c r="O831">
        <v>1</v>
      </c>
      <c r="P831" t="s">
        <v>1615</v>
      </c>
      <c r="Q831" t="s">
        <v>733</v>
      </c>
      <c r="R831" t="s">
        <v>3248</v>
      </c>
      <c r="S831" t="s">
        <v>735</v>
      </c>
      <c r="T831">
        <v>11330</v>
      </c>
      <c r="U831">
        <v>14.4</v>
      </c>
      <c r="V831">
        <v>1782</v>
      </c>
      <c r="W831">
        <v>16.399999999999999</v>
      </c>
      <c r="X831">
        <v>1019</v>
      </c>
      <c r="Y831">
        <v>55.7</v>
      </c>
      <c r="Z831">
        <v>870</v>
      </c>
      <c r="AA831">
        <v>20.7</v>
      </c>
      <c r="AB831">
        <v>1501</v>
      </c>
      <c r="AC831">
        <v>42.6</v>
      </c>
      <c r="AD831">
        <v>1029</v>
      </c>
      <c r="AE831" t="s">
        <v>57</v>
      </c>
      <c r="AF831">
        <v>0</v>
      </c>
      <c r="AG831" t="s">
        <v>3249</v>
      </c>
      <c r="AH831">
        <v>653504</v>
      </c>
      <c r="AI831" t="s">
        <v>1679</v>
      </c>
      <c r="AJ831" s="1">
        <v>10997</v>
      </c>
      <c r="AK831">
        <v>34.4</v>
      </c>
      <c r="AL831" s="2">
        <v>7.0000000000000007E-2</v>
      </c>
      <c r="AM831">
        <v>0.97083333333333333</v>
      </c>
      <c r="AN831" t="s">
        <v>3248</v>
      </c>
      <c r="AO831" t="s">
        <v>3250</v>
      </c>
      <c r="AP831" t="b">
        <v>0</v>
      </c>
      <c r="AQ831" t="b">
        <v>0</v>
      </c>
      <c r="AR831" t="b">
        <v>0</v>
      </c>
    </row>
    <row r="832" spans="1:45" x14ac:dyDescent="0.3">
      <c r="A832" t="s">
        <v>1621</v>
      </c>
      <c r="B832" t="s">
        <v>2369</v>
      </c>
      <c r="C832" t="s">
        <v>3251</v>
      </c>
      <c r="D832" t="s">
        <v>2028</v>
      </c>
      <c r="E832" t="s">
        <v>2029</v>
      </c>
      <c r="F832" t="s">
        <v>47</v>
      </c>
      <c r="G832">
        <v>3.9</v>
      </c>
      <c r="H832">
        <v>2.2999999999999998</v>
      </c>
      <c r="I832">
        <v>55.4</v>
      </c>
      <c r="J832">
        <v>1.3</v>
      </c>
      <c r="K832">
        <v>1.8</v>
      </c>
      <c r="L832">
        <v>3.3</v>
      </c>
      <c r="M832">
        <v>10.3</v>
      </c>
      <c r="N832">
        <v>6.3</v>
      </c>
      <c r="O832">
        <v>1</v>
      </c>
      <c r="P832" t="s">
        <v>1615</v>
      </c>
      <c r="Q832" t="s">
        <v>1475</v>
      </c>
      <c r="R832" t="s">
        <v>3252</v>
      </c>
      <c r="T832">
        <v>1000525</v>
      </c>
      <c r="V832">
        <v>0</v>
      </c>
      <c r="X832">
        <v>0</v>
      </c>
      <c r="Z832">
        <v>0</v>
      </c>
      <c r="AB832">
        <v>0</v>
      </c>
      <c r="AD832">
        <v>0</v>
      </c>
      <c r="AE832" t="s">
        <v>57</v>
      </c>
      <c r="AF832">
        <v>0</v>
      </c>
      <c r="AG832" t="s">
        <v>3253</v>
      </c>
      <c r="AH832">
        <v>710222</v>
      </c>
      <c r="AI832" t="s">
        <v>2029</v>
      </c>
      <c r="AJ832" s="1">
        <v>5198</v>
      </c>
      <c r="AK832">
        <v>7.2</v>
      </c>
      <c r="AL832" s="2">
        <v>0.03</v>
      </c>
      <c r="AM832" s="3">
        <v>2.9784722222222224</v>
      </c>
      <c r="AN832" t="s">
        <v>3252</v>
      </c>
      <c r="AO832" t="s">
        <v>3254</v>
      </c>
      <c r="AP832" t="b">
        <v>0</v>
      </c>
      <c r="AQ832" t="b">
        <v>0</v>
      </c>
      <c r="AR832" t="b">
        <v>0</v>
      </c>
    </row>
    <row r="833" spans="1:45" x14ac:dyDescent="0.3">
      <c r="A833" t="s">
        <v>1621</v>
      </c>
      <c r="B833" t="s">
        <v>1621</v>
      </c>
      <c r="C833" t="s">
        <v>3255</v>
      </c>
      <c r="D833" t="s">
        <v>758</v>
      </c>
      <c r="E833" t="s">
        <v>759</v>
      </c>
      <c r="F833" t="s">
        <v>47</v>
      </c>
      <c r="G833">
        <v>5.4</v>
      </c>
      <c r="H833">
        <v>3.7</v>
      </c>
      <c r="I833">
        <v>3.5</v>
      </c>
      <c r="J833">
        <v>21</v>
      </c>
      <c r="L833">
        <v>5.4</v>
      </c>
      <c r="M833">
        <v>17.2</v>
      </c>
      <c r="N833">
        <v>7.2</v>
      </c>
      <c r="O833">
        <v>1</v>
      </c>
      <c r="P833" t="s">
        <v>1615</v>
      </c>
      <c r="Q833" t="s">
        <v>621</v>
      </c>
      <c r="R833" t="s">
        <v>3256</v>
      </c>
      <c r="S833" t="s">
        <v>622</v>
      </c>
      <c r="T833">
        <v>13840</v>
      </c>
      <c r="U833">
        <v>33.9</v>
      </c>
      <c r="V833">
        <v>496</v>
      </c>
      <c r="W833">
        <v>16.3</v>
      </c>
      <c r="X833">
        <v>1025</v>
      </c>
      <c r="Y833">
        <v>31.1</v>
      </c>
      <c r="Z833">
        <v>1421</v>
      </c>
      <c r="AA833">
        <v>27.7</v>
      </c>
      <c r="AB833">
        <v>1244</v>
      </c>
      <c r="AC833">
        <v>21.4</v>
      </c>
      <c r="AD833">
        <v>1828</v>
      </c>
      <c r="AE833" t="s">
        <v>57</v>
      </c>
      <c r="AF833">
        <v>0</v>
      </c>
      <c r="AG833" t="s">
        <v>3257</v>
      </c>
      <c r="AH833">
        <v>587967</v>
      </c>
      <c r="AI833" t="s">
        <v>759</v>
      </c>
      <c r="AJ833" s="1">
        <v>10520</v>
      </c>
      <c r="AK833">
        <v>25.7</v>
      </c>
      <c r="AL833" s="2">
        <v>0.03</v>
      </c>
      <c r="AM833" t="s">
        <v>699</v>
      </c>
      <c r="AN833" t="s">
        <v>3256</v>
      </c>
      <c r="AO833" t="s">
        <v>3258</v>
      </c>
      <c r="AP833" t="b">
        <v>0</v>
      </c>
      <c r="AQ833" t="b">
        <v>0</v>
      </c>
      <c r="AR833" t="b">
        <v>0</v>
      </c>
    </row>
    <row r="834" spans="1:45" x14ac:dyDescent="0.3">
      <c r="A834" t="s">
        <v>1621</v>
      </c>
      <c r="B834" t="s">
        <v>1621</v>
      </c>
      <c r="C834" t="s">
        <v>3259</v>
      </c>
      <c r="D834" t="s">
        <v>758</v>
      </c>
      <c r="E834" t="s">
        <v>759</v>
      </c>
      <c r="F834" t="s">
        <v>47</v>
      </c>
      <c r="G834">
        <v>4.0999999999999996</v>
      </c>
      <c r="H834">
        <v>2.1</v>
      </c>
      <c r="I834">
        <v>5.4</v>
      </c>
      <c r="J834">
        <v>16.5</v>
      </c>
      <c r="K834">
        <v>1.9</v>
      </c>
      <c r="L834">
        <v>1.1000000000000001</v>
      </c>
      <c r="M834">
        <v>21.1</v>
      </c>
      <c r="N834">
        <v>2.7</v>
      </c>
      <c r="O834">
        <v>5.8</v>
      </c>
      <c r="P834" t="s">
        <v>1615</v>
      </c>
      <c r="Q834" t="s">
        <v>733</v>
      </c>
      <c r="R834" t="s">
        <v>3259</v>
      </c>
      <c r="S834" t="s">
        <v>735</v>
      </c>
      <c r="T834">
        <v>11410</v>
      </c>
      <c r="U834">
        <v>33.5</v>
      </c>
      <c r="V834">
        <v>521</v>
      </c>
      <c r="W834">
        <v>18.399999999999999</v>
      </c>
      <c r="X834">
        <v>897</v>
      </c>
      <c r="Y834">
        <v>38.299999999999997</v>
      </c>
      <c r="Z834">
        <v>1253</v>
      </c>
      <c r="AA834">
        <v>42.5</v>
      </c>
      <c r="AB834">
        <v>931</v>
      </c>
      <c r="AC834">
        <v>19.399999999999999</v>
      </c>
      <c r="AD834">
        <v>1880</v>
      </c>
      <c r="AE834" t="s">
        <v>57</v>
      </c>
      <c r="AF834">
        <v>0</v>
      </c>
      <c r="AG834" t="s">
        <v>3260</v>
      </c>
      <c r="AH834">
        <v>624612</v>
      </c>
      <c r="AI834" t="s">
        <v>759</v>
      </c>
      <c r="AJ834" s="1">
        <v>8187</v>
      </c>
      <c r="AK834">
        <v>21.5</v>
      </c>
      <c r="AL834" s="2">
        <v>0.01</v>
      </c>
      <c r="AM834" s="3">
        <v>1.9541666666666666</v>
      </c>
      <c r="AN834" t="s">
        <v>3259</v>
      </c>
      <c r="AO834" t="s">
        <v>3261</v>
      </c>
      <c r="AP834" t="b">
        <v>0</v>
      </c>
      <c r="AQ834" t="b">
        <v>0</v>
      </c>
      <c r="AR834" t="b">
        <v>0</v>
      </c>
    </row>
    <row r="835" spans="1:45" x14ac:dyDescent="0.3">
      <c r="A835" t="s">
        <v>1621</v>
      </c>
      <c r="B835" t="s">
        <v>1621</v>
      </c>
      <c r="C835" t="s">
        <v>3262</v>
      </c>
      <c r="D835" t="s">
        <v>45</v>
      </c>
      <c r="E835" t="s">
        <v>46</v>
      </c>
      <c r="F835" t="s">
        <v>56</v>
      </c>
      <c r="G835">
        <v>4.0999999999999996</v>
      </c>
      <c r="H835">
        <v>1.7</v>
      </c>
      <c r="I835">
        <v>9.3000000000000007</v>
      </c>
      <c r="J835">
        <v>9.1999999999999993</v>
      </c>
      <c r="K835">
        <v>1.6</v>
      </c>
      <c r="L835">
        <v>6.1</v>
      </c>
      <c r="M835">
        <v>44.4</v>
      </c>
      <c r="N835">
        <v>9.6999999999999993</v>
      </c>
      <c r="O835">
        <v>6.8</v>
      </c>
      <c r="P835" t="s">
        <v>1615</v>
      </c>
      <c r="Q835" t="s">
        <v>679</v>
      </c>
      <c r="R835" t="s">
        <v>3262</v>
      </c>
      <c r="S835" t="s">
        <v>680</v>
      </c>
      <c r="T835">
        <v>9510</v>
      </c>
      <c r="U835">
        <v>22.1</v>
      </c>
      <c r="V835">
        <v>1224</v>
      </c>
      <c r="W835">
        <v>23.2</v>
      </c>
      <c r="X835">
        <v>679</v>
      </c>
      <c r="Y835">
        <v>55.7</v>
      </c>
      <c r="Z835">
        <v>871</v>
      </c>
      <c r="AA835">
        <v>54.7</v>
      </c>
      <c r="AB835">
        <v>733</v>
      </c>
      <c r="AC835">
        <v>35</v>
      </c>
      <c r="AD835">
        <v>1319</v>
      </c>
      <c r="AE835" t="s">
        <v>208</v>
      </c>
      <c r="AF835">
        <v>0</v>
      </c>
      <c r="AG835" t="s">
        <v>3263</v>
      </c>
      <c r="AH835">
        <v>131485</v>
      </c>
      <c r="AI835" t="s">
        <v>46</v>
      </c>
      <c r="AJ835" s="1">
        <v>18763</v>
      </c>
      <c r="AK835">
        <v>20.5</v>
      </c>
      <c r="AL835" s="2">
        <v>0.05</v>
      </c>
      <c r="AM835" s="3">
        <v>2.4458333333333333</v>
      </c>
      <c r="AN835" t="s">
        <v>3262</v>
      </c>
      <c r="AO835" t="s">
        <v>3264</v>
      </c>
      <c r="AP835" t="b">
        <v>0</v>
      </c>
      <c r="AQ835" t="b">
        <v>0</v>
      </c>
      <c r="AR835" t="b">
        <v>0</v>
      </c>
      <c r="AS835" t="s">
        <v>3265</v>
      </c>
    </row>
    <row r="836" spans="1:45" x14ac:dyDescent="0.3">
      <c r="A836" t="s">
        <v>1621</v>
      </c>
      <c r="B836" t="s">
        <v>1621</v>
      </c>
      <c r="C836" t="s">
        <v>3266</v>
      </c>
      <c r="D836" t="s">
        <v>166</v>
      </c>
      <c r="E836" t="s">
        <v>167</v>
      </c>
      <c r="F836" t="s">
        <v>56</v>
      </c>
      <c r="G836">
        <v>5.7</v>
      </c>
      <c r="H836">
        <v>3.1</v>
      </c>
      <c r="I836">
        <v>12.7</v>
      </c>
      <c r="J836">
        <v>7</v>
      </c>
      <c r="K836">
        <v>6.2</v>
      </c>
      <c r="L836">
        <v>7.1</v>
      </c>
      <c r="M836">
        <v>32.299999999999997</v>
      </c>
      <c r="N836">
        <v>1.6</v>
      </c>
      <c r="O836">
        <v>28.4</v>
      </c>
      <c r="P836" t="s">
        <v>1615</v>
      </c>
      <c r="Q836" t="s">
        <v>621</v>
      </c>
      <c r="R836" t="s">
        <v>3267</v>
      </c>
      <c r="S836" t="s">
        <v>622</v>
      </c>
      <c r="T836">
        <v>14010</v>
      </c>
      <c r="U836">
        <v>26.7</v>
      </c>
      <c r="V836">
        <v>894</v>
      </c>
      <c r="W836">
        <v>13.9</v>
      </c>
      <c r="X836">
        <v>1213</v>
      </c>
      <c r="Y836">
        <v>28.5</v>
      </c>
      <c r="Z836">
        <v>1484</v>
      </c>
      <c r="AA836">
        <v>39</v>
      </c>
      <c r="AB836">
        <v>1007</v>
      </c>
      <c r="AC836">
        <v>36.4</v>
      </c>
      <c r="AD836">
        <v>1264</v>
      </c>
      <c r="AE836" t="s">
        <v>57</v>
      </c>
      <c r="AF836">
        <v>0</v>
      </c>
      <c r="AG836" t="s">
        <v>3268</v>
      </c>
      <c r="AH836">
        <v>625224</v>
      </c>
      <c r="AI836" t="s">
        <v>167</v>
      </c>
      <c r="AJ836" s="1">
        <v>16563</v>
      </c>
      <c r="AK836">
        <v>11.4</v>
      </c>
      <c r="AL836" s="2">
        <v>0.1</v>
      </c>
      <c r="AM836" s="3">
        <v>2.2000000000000002</v>
      </c>
      <c r="AN836" t="s">
        <v>3267</v>
      </c>
      <c r="AO836" t="s">
        <v>3269</v>
      </c>
      <c r="AP836" t="b">
        <v>0</v>
      </c>
      <c r="AQ836" t="b">
        <v>0</v>
      </c>
      <c r="AR836" t="b">
        <v>0</v>
      </c>
    </row>
    <row r="837" spans="1:45" x14ac:dyDescent="0.3">
      <c r="A837" t="s">
        <v>1621</v>
      </c>
      <c r="B837" t="s">
        <v>2357</v>
      </c>
      <c r="C837" t="s">
        <v>3270</v>
      </c>
      <c r="D837" t="s">
        <v>1652</v>
      </c>
      <c r="E837" t="s">
        <v>1653</v>
      </c>
      <c r="F837" t="s">
        <v>56</v>
      </c>
      <c r="G837">
        <v>10.4</v>
      </c>
      <c r="H837">
        <v>9.8000000000000007</v>
      </c>
      <c r="I837">
        <v>3.9</v>
      </c>
      <c r="J837">
        <v>3</v>
      </c>
      <c r="K837">
        <v>1</v>
      </c>
      <c r="L837">
        <v>1.1000000000000001</v>
      </c>
      <c r="M837">
        <v>16.399999999999999</v>
      </c>
      <c r="N837">
        <v>3.7</v>
      </c>
      <c r="O837">
        <v>1.1000000000000001</v>
      </c>
      <c r="P837" t="s">
        <v>1615</v>
      </c>
      <c r="Q837" t="s">
        <v>733</v>
      </c>
      <c r="R837" t="s">
        <v>3271</v>
      </c>
      <c r="S837" t="s">
        <v>735</v>
      </c>
      <c r="T837">
        <v>11450</v>
      </c>
      <c r="U837">
        <v>15.9</v>
      </c>
      <c r="V837">
        <v>1706</v>
      </c>
      <c r="W837">
        <v>9.3000000000000007</v>
      </c>
      <c r="X837">
        <v>1750</v>
      </c>
      <c r="Y837">
        <v>59.3</v>
      </c>
      <c r="Z837">
        <v>798</v>
      </c>
      <c r="AA837">
        <v>17.600000000000001</v>
      </c>
      <c r="AB837">
        <v>1694</v>
      </c>
      <c r="AC837">
        <v>39.6</v>
      </c>
      <c r="AD837">
        <v>1130</v>
      </c>
      <c r="AE837" t="s">
        <v>57</v>
      </c>
      <c r="AF837">
        <v>0</v>
      </c>
      <c r="AG837" t="s">
        <v>3272</v>
      </c>
      <c r="AH837">
        <v>626010</v>
      </c>
      <c r="AI837" t="s">
        <v>1653</v>
      </c>
      <c r="AJ837" s="1">
        <v>22042</v>
      </c>
      <c r="AK837">
        <v>20.399999999999999</v>
      </c>
      <c r="AL837" s="2">
        <v>0</v>
      </c>
      <c r="AM837" t="s">
        <v>318</v>
      </c>
      <c r="AN837" t="s">
        <v>3271</v>
      </c>
      <c r="AO837" t="s">
        <v>3273</v>
      </c>
      <c r="AP837" t="b">
        <v>0</v>
      </c>
      <c r="AQ837" t="b">
        <v>0</v>
      </c>
      <c r="AR837" t="b">
        <v>0</v>
      </c>
    </row>
    <row r="838" spans="1:45" x14ac:dyDescent="0.3">
      <c r="A838" t="s">
        <v>1621</v>
      </c>
      <c r="B838" t="s">
        <v>1621</v>
      </c>
      <c r="C838" t="s">
        <v>3274</v>
      </c>
      <c r="D838" t="s">
        <v>175</v>
      </c>
      <c r="E838" t="s">
        <v>176</v>
      </c>
      <c r="F838" t="s">
        <v>56</v>
      </c>
      <c r="G838">
        <v>4</v>
      </c>
      <c r="H838">
        <v>9.6</v>
      </c>
      <c r="I838">
        <v>8.1999999999999993</v>
      </c>
      <c r="J838">
        <v>2.1</v>
      </c>
      <c r="K838">
        <v>23.7</v>
      </c>
      <c r="L838">
        <v>5.6</v>
      </c>
      <c r="M838">
        <v>13.7</v>
      </c>
      <c r="N838">
        <v>5.8</v>
      </c>
      <c r="O838">
        <v>1.2</v>
      </c>
      <c r="P838" t="s">
        <v>1615</v>
      </c>
      <c r="Q838" t="s">
        <v>621</v>
      </c>
      <c r="R838" t="s">
        <v>3274</v>
      </c>
      <c r="S838" t="s">
        <v>622</v>
      </c>
      <c r="T838">
        <v>14040</v>
      </c>
      <c r="U838">
        <v>18.600000000000001</v>
      </c>
      <c r="V838">
        <v>1496</v>
      </c>
      <c r="W838">
        <v>9.3000000000000007</v>
      </c>
      <c r="X838">
        <v>1751</v>
      </c>
      <c r="Y838">
        <v>34</v>
      </c>
      <c r="Z838">
        <v>1350</v>
      </c>
      <c r="AA838">
        <v>19.7</v>
      </c>
      <c r="AB838">
        <v>1550</v>
      </c>
      <c r="AC838">
        <v>58.4</v>
      </c>
      <c r="AD838">
        <v>617</v>
      </c>
      <c r="AE838" t="s">
        <v>57</v>
      </c>
      <c r="AF838">
        <v>0</v>
      </c>
      <c r="AG838" t="s">
        <v>3275</v>
      </c>
      <c r="AH838">
        <v>609279</v>
      </c>
      <c r="AI838" t="s">
        <v>176</v>
      </c>
      <c r="AJ838" s="1">
        <v>19783</v>
      </c>
      <c r="AK838">
        <v>14.4</v>
      </c>
      <c r="AL838" s="2">
        <v>0.04</v>
      </c>
      <c r="AN838" t="s">
        <v>3274</v>
      </c>
      <c r="AO838" t="s">
        <v>3276</v>
      </c>
      <c r="AP838" t="b">
        <v>0</v>
      </c>
      <c r="AQ838" t="b">
        <v>0</v>
      </c>
      <c r="AR838" t="b">
        <v>0</v>
      </c>
    </row>
    <row r="839" spans="1:45" x14ac:dyDescent="0.3">
      <c r="A839" t="s">
        <v>1621</v>
      </c>
      <c r="B839" t="s">
        <v>1621</v>
      </c>
      <c r="C839" t="s">
        <v>3277</v>
      </c>
      <c r="D839" t="s">
        <v>175</v>
      </c>
      <c r="E839" t="s">
        <v>176</v>
      </c>
      <c r="F839" t="s">
        <v>47</v>
      </c>
      <c r="G839">
        <v>4.9000000000000004</v>
      </c>
      <c r="H839">
        <v>1.6</v>
      </c>
      <c r="I839">
        <v>11.5</v>
      </c>
      <c r="J839">
        <v>6.8</v>
      </c>
      <c r="K839">
        <v>9.6999999999999993</v>
      </c>
      <c r="L839">
        <v>4.9000000000000004</v>
      </c>
      <c r="M839">
        <v>18.100000000000001</v>
      </c>
      <c r="N839">
        <v>1.8</v>
      </c>
      <c r="O839">
        <v>1.1000000000000001</v>
      </c>
      <c r="P839" t="s">
        <v>1615</v>
      </c>
      <c r="Q839" t="s">
        <v>1068</v>
      </c>
      <c r="R839" t="s">
        <v>3277</v>
      </c>
      <c r="S839" t="s">
        <v>1070</v>
      </c>
      <c r="T839">
        <v>18240</v>
      </c>
      <c r="U839">
        <v>22.9</v>
      </c>
      <c r="V839">
        <v>1160</v>
      </c>
      <c r="W839">
        <v>15.5</v>
      </c>
      <c r="X839">
        <v>1084</v>
      </c>
      <c r="Y839">
        <v>19.399999999999999</v>
      </c>
      <c r="Z839">
        <v>1691</v>
      </c>
      <c r="AA839">
        <v>41.2</v>
      </c>
      <c r="AB839">
        <v>951</v>
      </c>
      <c r="AC839">
        <v>41.5</v>
      </c>
      <c r="AD839">
        <v>1067</v>
      </c>
      <c r="AE839" t="s">
        <v>57</v>
      </c>
      <c r="AF839">
        <v>0</v>
      </c>
      <c r="AG839" t="s">
        <v>3278</v>
      </c>
      <c r="AH839">
        <v>131763</v>
      </c>
      <c r="AI839" t="s">
        <v>176</v>
      </c>
      <c r="AJ839" s="1">
        <v>8321</v>
      </c>
      <c r="AK839">
        <v>15.3</v>
      </c>
      <c r="AL839" s="2">
        <v>0.06</v>
      </c>
      <c r="AM839" t="s">
        <v>357</v>
      </c>
      <c r="AN839" t="s">
        <v>3277</v>
      </c>
      <c r="AO839" t="s">
        <v>3279</v>
      </c>
      <c r="AP839" t="b">
        <v>0</v>
      </c>
      <c r="AQ839" t="b">
        <v>0</v>
      </c>
      <c r="AR839" t="b">
        <v>0</v>
      </c>
    </row>
    <row r="840" spans="1:45" x14ac:dyDescent="0.3">
      <c r="A840" t="s">
        <v>1621</v>
      </c>
      <c r="B840" t="s">
        <v>2369</v>
      </c>
      <c r="C840" t="s">
        <v>3280</v>
      </c>
      <c r="D840" t="s">
        <v>166</v>
      </c>
      <c r="E840" t="s">
        <v>167</v>
      </c>
      <c r="F840" t="s">
        <v>47</v>
      </c>
      <c r="G840">
        <v>6.4</v>
      </c>
      <c r="H840">
        <v>3.6</v>
      </c>
      <c r="I840">
        <v>12.8</v>
      </c>
      <c r="J840">
        <v>10.3</v>
      </c>
      <c r="K840">
        <v>9.6</v>
      </c>
      <c r="L840">
        <v>11.9</v>
      </c>
      <c r="M840">
        <v>12.4</v>
      </c>
      <c r="N840">
        <v>1.9</v>
      </c>
      <c r="O840">
        <v>9.8000000000000007</v>
      </c>
      <c r="P840" t="s">
        <v>1615</v>
      </c>
      <c r="Q840" t="s">
        <v>696</v>
      </c>
      <c r="R840" t="s">
        <v>3281</v>
      </c>
      <c r="S840" t="s">
        <v>697</v>
      </c>
      <c r="T840">
        <v>7190</v>
      </c>
      <c r="U840">
        <v>25.1</v>
      </c>
      <c r="V840">
        <v>994</v>
      </c>
      <c r="W840">
        <v>19.399999999999999</v>
      </c>
      <c r="X840">
        <v>845</v>
      </c>
      <c r="Y840">
        <v>71.2</v>
      </c>
      <c r="Z840">
        <v>531</v>
      </c>
      <c r="AA840">
        <v>34.9</v>
      </c>
      <c r="AB840">
        <v>1093</v>
      </c>
      <c r="AC840">
        <v>55.1</v>
      </c>
      <c r="AD840">
        <v>672</v>
      </c>
      <c r="AE840" t="s">
        <v>57</v>
      </c>
      <c r="AF840">
        <v>0</v>
      </c>
      <c r="AG840" t="s">
        <v>3282</v>
      </c>
      <c r="AH840">
        <v>1040</v>
      </c>
      <c r="AI840" t="s">
        <v>737</v>
      </c>
      <c r="AJ840" s="1">
        <v>12212</v>
      </c>
      <c r="AK840">
        <v>9.3000000000000007</v>
      </c>
      <c r="AL840" s="2">
        <v>0.05</v>
      </c>
      <c r="AM840" t="s">
        <v>318</v>
      </c>
      <c r="AN840" t="s">
        <v>3281</v>
      </c>
      <c r="AO840" t="s">
        <v>3283</v>
      </c>
      <c r="AP840" t="b">
        <v>0</v>
      </c>
      <c r="AQ840" t="b">
        <v>0</v>
      </c>
      <c r="AR840" t="b">
        <v>0</v>
      </c>
    </row>
    <row r="841" spans="1:45" x14ac:dyDescent="0.3">
      <c r="A841" t="s">
        <v>1621</v>
      </c>
      <c r="B841" t="s">
        <v>2357</v>
      </c>
      <c r="C841" t="s">
        <v>3284</v>
      </c>
      <c r="D841" t="s">
        <v>1652</v>
      </c>
      <c r="E841" t="s">
        <v>1653</v>
      </c>
      <c r="F841" t="s">
        <v>47</v>
      </c>
      <c r="G841">
        <v>7.6</v>
      </c>
      <c r="H841">
        <v>11.8</v>
      </c>
      <c r="I841">
        <v>11.8</v>
      </c>
      <c r="J841">
        <v>5.3</v>
      </c>
      <c r="M841">
        <v>12.8</v>
      </c>
      <c r="N841">
        <v>3.9</v>
      </c>
      <c r="O841">
        <v>1</v>
      </c>
      <c r="P841" t="s">
        <v>1615</v>
      </c>
      <c r="Q841" t="s">
        <v>621</v>
      </c>
      <c r="R841" t="s">
        <v>3284</v>
      </c>
      <c r="S841" t="s">
        <v>622</v>
      </c>
      <c r="T841">
        <v>14200</v>
      </c>
      <c r="U841">
        <v>13.2</v>
      </c>
      <c r="V841">
        <v>1836</v>
      </c>
      <c r="W841">
        <v>8.4</v>
      </c>
      <c r="X841">
        <v>1859</v>
      </c>
      <c r="Y841">
        <v>43.4</v>
      </c>
      <c r="Z841">
        <v>1156</v>
      </c>
      <c r="AA841">
        <v>16.600000000000001</v>
      </c>
      <c r="AB841">
        <v>1800</v>
      </c>
      <c r="AC841">
        <v>44.8</v>
      </c>
      <c r="AD841">
        <v>964</v>
      </c>
      <c r="AE841" t="s">
        <v>57</v>
      </c>
      <c r="AF841">
        <v>0</v>
      </c>
      <c r="AG841" t="s">
        <v>3285</v>
      </c>
      <c r="AH841">
        <v>718668</v>
      </c>
      <c r="AI841" t="s">
        <v>1653</v>
      </c>
      <c r="AJ841" s="1">
        <v>9585</v>
      </c>
      <c r="AK841">
        <v>17.8</v>
      </c>
      <c r="AL841" s="2">
        <v>0</v>
      </c>
      <c r="AM841" t="s">
        <v>234</v>
      </c>
      <c r="AN841" t="s">
        <v>3284</v>
      </c>
      <c r="AO841" t="s">
        <v>3286</v>
      </c>
      <c r="AP841" t="b">
        <v>0</v>
      </c>
      <c r="AQ841" t="b">
        <v>0</v>
      </c>
      <c r="AR841" t="b">
        <v>0</v>
      </c>
    </row>
    <row r="842" spans="1:45" x14ac:dyDescent="0.3">
      <c r="A842" t="s">
        <v>1621</v>
      </c>
      <c r="B842" t="s">
        <v>1621</v>
      </c>
      <c r="C842" t="s">
        <v>3287</v>
      </c>
      <c r="D842" t="s">
        <v>1159</v>
      </c>
      <c r="E842" t="s">
        <v>1160</v>
      </c>
      <c r="F842" t="s">
        <v>77</v>
      </c>
      <c r="G842">
        <v>4.0999999999999996</v>
      </c>
      <c r="H842">
        <v>2.6</v>
      </c>
      <c r="I842">
        <v>13.1</v>
      </c>
      <c r="J842">
        <v>2.2999999999999998</v>
      </c>
      <c r="K842">
        <v>2.1</v>
      </c>
      <c r="L842">
        <v>1.8</v>
      </c>
      <c r="M842">
        <v>48.9</v>
      </c>
      <c r="N842">
        <v>2.4</v>
      </c>
      <c r="O842">
        <v>8.3000000000000007</v>
      </c>
      <c r="P842" t="s">
        <v>1615</v>
      </c>
      <c r="Q842" t="s">
        <v>733</v>
      </c>
      <c r="R842" t="s">
        <v>3287</v>
      </c>
      <c r="S842" t="s">
        <v>735</v>
      </c>
      <c r="T842">
        <v>11700</v>
      </c>
      <c r="U842">
        <v>19.7</v>
      </c>
      <c r="V842">
        <v>1404</v>
      </c>
      <c r="W842">
        <v>8.8000000000000007</v>
      </c>
      <c r="X842">
        <v>1823</v>
      </c>
      <c r="Y842">
        <v>57.6</v>
      </c>
      <c r="Z842">
        <v>829</v>
      </c>
      <c r="AA842">
        <v>28.3</v>
      </c>
      <c r="AB842">
        <v>1228</v>
      </c>
      <c r="AC842">
        <v>50.6</v>
      </c>
      <c r="AD842">
        <v>787</v>
      </c>
      <c r="AE842" t="s">
        <v>57</v>
      </c>
      <c r="AF842">
        <v>0</v>
      </c>
      <c r="AG842" t="s">
        <v>3288</v>
      </c>
      <c r="AH842">
        <v>131354</v>
      </c>
      <c r="AI842" t="s">
        <v>1160</v>
      </c>
      <c r="AJ842" s="1">
        <v>45981</v>
      </c>
      <c r="AK842">
        <v>13.1</v>
      </c>
      <c r="AL842" s="2">
        <v>0.01</v>
      </c>
      <c r="AM842" s="3">
        <v>2.2000000000000002</v>
      </c>
      <c r="AN842" t="s">
        <v>3287</v>
      </c>
      <c r="AO842" t="s">
        <v>3289</v>
      </c>
      <c r="AP842" t="b">
        <v>0</v>
      </c>
      <c r="AQ842" t="b">
        <v>0</v>
      </c>
      <c r="AR842" t="b">
        <v>0</v>
      </c>
    </row>
    <row r="843" spans="1:45" x14ac:dyDescent="0.3">
      <c r="A843" t="s">
        <v>1621</v>
      </c>
      <c r="B843" t="s">
        <v>1621</v>
      </c>
      <c r="C843" t="s">
        <v>3290</v>
      </c>
      <c r="D843" t="s">
        <v>962</v>
      </c>
      <c r="E843" t="s">
        <v>963</v>
      </c>
      <c r="F843" t="s">
        <v>77</v>
      </c>
      <c r="G843">
        <v>7.1</v>
      </c>
      <c r="H843">
        <v>5.3</v>
      </c>
      <c r="I843">
        <v>3.9</v>
      </c>
      <c r="J843">
        <v>2.4</v>
      </c>
      <c r="K843">
        <v>1.7</v>
      </c>
      <c r="L843">
        <v>4.5999999999999996</v>
      </c>
      <c r="M843">
        <v>27.3</v>
      </c>
      <c r="N843">
        <v>2</v>
      </c>
      <c r="O843">
        <v>1</v>
      </c>
      <c r="P843" t="s">
        <v>1615</v>
      </c>
      <c r="Q843" t="s">
        <v>1475</v>
      </c>
      <c r="R843" t="s">
        <v>3290</v>
      </c>
      <c r="T843">
        <v>1000650</v>
      </c>
      <c r="V843">
        <v>0</v>
      </c>
      <c r="X843">
        <v>0</v>
      </c>
      <c r="Z843">
        <v>0</v>
      </c>
      <c r="AB843">
        <v>0</v>
      </c>
      <c r="AD843">
        <v>0</v>
      </c>
      <c r="AE843" t="s">
        <v>57</v>
      </c>
      <c r="AF843">
        <v>0</v>
      </c>
      <c r="AG843" t="s">
        <v>3291</v>
      </c>
      <c r="AH843">
        <v>702046</v>
      </c>
      <c r="AI843" t="s">
        <v>620</v>
      </c>
      <c r="AJ843" s="1">
        <v>7319</v>
      </c>
      <c r="AK843">
        <v>22.7</v>
      </c>
      <c r="AL843" s="2">
        <v>0</v>
      </c>
      <c r="AM843" s="3">
        <v>2.2409722222222221</v>
      </c>
      <c r="AN843" t="s">
        <v>3290</v>
      </c>
      <c r="AO843" t="s">
        <v>3292</v>
      </c>
      <c r="AP843" t="b">
        <v>0</v>
      </c>
      <c r="AQ843" t="b">
        <v>0</v>
      </c>
      <c r="AR843" t="b">
        <v>0</v>
      </c>
    </row>
    <row r="844" spans="1:45" x14ac:dyDescent="0.3">
      <c r="A844" t="s">
        <v>1621</v>
      </c>
      <c r="B844" t="s">
        <v>1621</v>
      </c>
      <c r="C844" t="s">
        <v>3293</v>
      </c>
      <c r="D844" t="s">
        <v>796</v>
      </c>
      <c r="E844" t="s">
        <v>797</v>
      </c>
      <c r="F844" t="s">
        <v>56</v>
      </c>
      <c r="G844">
        <v>6.4</v>
      </c>
      <c r="H844">
        <v>2.8</v>
      </c>
      <c r="I844">
        <v>3.7</v>
      </c>
      <c r="J844">
        <v>9.6</v>
      </c>
      <c r="K844">
        <v>5.8</v>
      </c>
      <c r="L844">
        <v>1.6</v>
      </c>
      <c r="M844">
        <v>30</v>
      </c>
      <c r="N844">
        <v>2.7</v>
      </c>
      <c r="O844">
        <v>1.3</v>
      </c>
      <c r="P844" t="s">
        <v>1615</v>
      </c>
      <c r="Q844" t="s">
        <v>621</v>
      </c>
      <c r="R844" t="s">
        <v>3294</v>
      </c>
      <c r="S844" t="s">
        <v>622</v>
      </c>
      <c r="T844">
        <v>14450</v>
      </c>
      <c r="U844">
        <v>21.9</v>
      </c>
      <c r="V844">
        <v>1243</v>
      </c>
      <c r="W844">
        <v>20.9</v>
      </c>
      <c r="X844">
        <v>777</v>
      </c>
      <c r="Y844">
        <v>27.7</v>
      </c>
      <c r="Z844">
        <v>1501</v>
      </c>
      <c r="AA844">
        <v>54.9</v>
      </c>
      <c r="AB844">
        <v>725</v>
      </c>
      <c r="AC844">
        <v>37.9</v>
      </c>
      <c r="AD844">
        <v>1202</v>
      </c>
      <c r="AE844" t="s">
        <v>57</v>
      </c>
      <c r="AF844">
        <v>1</v>
      </c>
      <c r="AG844" t="s">
        <v>3295</v>
      </c>
      <c r="AH844">
        <v>131291</v>
      </c>
      <c r="AI844" t="s">
        <v>797</v>
      </c>
      <c r="AJ844" s="1">
        <v>14265</v>
      </c>
      <c r="AK844">
        <v>26.2</v>
      </c>
      <c r="AL844" s="2">
        <v>0.01</v>
      </c>
      <c r="AM844" s="3">
        <v>2.2819444444444446</v>
      </c>
      <c r="AN844" t="s">
        <v>3296</v>
      </c>
      <c r="AO844" t="s">
        <v>3297</v>
      </c>
      <c r="AP844" t="b">
        <v>0</v>
      </c>
      <c r="AQ844" t="b">
        <v>0</v>
      </c>
      <c r="AR844" t="b">
        <v>0</v>
      </c>
    </row>
    <row r="845" spans="1:45" x14ac:dyDescent="0.3">
      <c r="A845" t="s">
        <v>1621</v>
      </c>
      <c r="B845" t="s">
        <v>1621</v>
      </c>
      <c r="C845" t="s">
        <v>3298</v>
      </c>
      <c r="D845" t="s">
        <v>297</v>
      </c>
      <c r="E845" t="s">
        <v>298</v>
      </c>
      <c r="F845" t="s">
        <v>56</v>
      </c>
      <c r="G845">
        <v>5.7</v>
      </c>
      <c r="H845">
        <v>4.9000000000000004</v>
      </c>
      <c r="I845">
        <v>4</v>
      </c>
      <c r="J845">
        <v>5</v>
      </c>
      <c r="K845">
        <v>6</v>
      </c>
      <c r="L845">
        <v>7.4</v>
      </c>
      <c r="M845">
        <v>14.2</v>
      </c>
      <c r="N845">
        <v>29.2</v>
      </c>
      <c r="O845">
        <v>10.1</v>
      </c>
      <c r="P845" t="s">
        <v>1615</v>
      </c>
      <c r="Q845" t="s">
        <v>621</v>
      </c>
      <c r="R845" t="s">
        <v>3298</v>
      </c>
      <c r="S845" t="s">
        <v>622</v>
      </c>
      <c r="T845">
        <v>14480</v>
      </c>
      <c r="U845">
        <v>15.3</v>
      </c>
      <c r="V845">
        <v>1740</v>
      </c>
      <c r="W845">
        <v>12.7</v>
      </c>
      <c r="X845">
        <v>1338</v>
      </c>
      <c r="Y845">
        <v>34.1</v>
      </c>
      <c r="Z845">
        <v>1347</v>
      </c>
      <c r="AA845">
        <v>43.6</v>
      </c>
      <c r="AB845">
        <v>912</v>
      </c>
      <c r="AC845">
        <v>42.9</v>
      </c>
      <c r="AD845">
        <v>1022</v>
      </c>
      <c r="AE845" t="s">
        <v>57</v>
      </c>
      <c r="AF845">
        <v>0</v>
      </c>
      <c r="AG845" t="s">
        <v>3299</v>
      </c>
      <c r="AH845">
        <v>131693</v>
      </c>
      <c r="AI845" t="s">
        <v>298</v>
      </c>
      <c r="AJ845" s="1">
        <v>23600</v>
      </c>
      <c r="AK845">
        <v>22.5</v>
      </c>
      <c r="AL845" s="2">
        <v>7.0000000000000007E-2</v>
      </c>
      <c r="AM845" s="3">
        <v>1.9951388888888888</v>
      </c>
      <c r="AN845" t="s">
        <v>3298</v>
      </c>
      <c r="AO845" t="s">
        <v>3300</v>
      </c>
      <c r="AP845" t="b">
        <v>0</v>
      </c>
      <c r="AQ845" t="b">
        <v>0</v>
      </c>
      <c r="AR845" t="b">
        <v>0</v>
      </c>
    </row>
    <row r="846" spans="1:45" x14ac:dyDescent="0.3">
      <c r="A846" t="s">
        <v>1621</v>
      </c>
      <c r="B846" t="s">
        <v>1621</v>
      </c>
      <c r="C846" t="s">
        <v>3301</v>
      </c>
      <c r="D846" t="s">
        <v>1159</v>
      </c>
      <c r="E846" t="s">
        <v>1160</v>
      </c>
      <c r="F846" t="s">
        <v>77</v>
      </c>
      <c r="G846">
        <v>6.9</v>
      </c>
      <c r="H846">
        <v>5.5</v>
      </c>
      <c r="I846">
        <v>4.5</v>
      </c>
      <c r="J846">
        <v>2.2000000000000002</v>
      </c>
      <c r="K846">
        <v>1.5</v>
      </c>
      <c r="L846">
        <v>1.5</v>
      </c>
      <c r="M846">
        <v>65.2</v>
      </c>
      <c r="N846">
        <v>4.3</v>
      </c>
      <c r="O846">
        <v>3.1</v>
      </c>
      <c r="P846" t="s">
        <v>1615</v>
      </c>
      <c r="Q846" t="s">
        <v>733</v>
      </c>
      <c r="R846" t="s">
        <v>3302</v>
      </c>
      <c r="S846" t="s">
        <v>735</v>
      </c>
      <c r="T846">
        <v>11760</v>
      </c>
      <c r="U846">
        <v>20.399999999999999</v>
      </c>
      <c r="V846">
        <v>1344</v>
      </c>
      <c r="W846">
        <v>9.1</v>
      </c>
      <c r="X846">
        <v>1787</v>
      </c>
      <c r="Y846">
        <v>62.6</v>
      </c>
      <c r="Z846">
        <v>717</v>
      </c>
      <c r="AA846">
        <v>20</v>
      </c>
      <c r="AB846">
        <v>1534</v>
      </c>
      <c r="AC846">
        <v>47.8</v>
      </c>
      <c r="AD846">
        <v>871</v>
      </c>
      <c r="AE846" t="s">
        <v>57</v>
      </c>
      <c r="AF846">
        <v>0</v>
      </c>
      <c r="AG846" t="s">
        <v>3303</v>
      </c>
      <c r="AH846">
        <v>626190</v>
      </c>
      <c r="AI846" t="s">
        <v>1160</v>
      </c>
      <c r="AJ846" s="1">
        <v>123577</v>
      </c>
      <c r="AK846">
        <v>17.3</v>
      </c>
      <c r="AL846" s="2">
        <v>0.01</v>
      </c>
      <c r="AM846" s="3">
        <v>2.4048611111111109</v>
      </c>
      <c r="AN846" t="s">
        <v>3302</v>
      </c>
      <c r="AO846" t="s">
        <v>3304</v>
      </c>
      <c r="AP846" t="b">
        <v>0</v>
      </c>
      <c r="AQ846" t="b">
        <v>0</v>
      </c>
      <c r="AR846" t="b">
        <v>0</v>
      </c>
    </row>
    <row r="847" spans="1:45" x14ac:dyDescent="0.3">
      <c r="A847" t="s">
        <v>1621</v>
      </c>
      <c r="B847" t="s">
        <v>1621</v>
      </c>
      <c r="C847" t="s">
        <v>3305</v>
      </c>
      <c r="D847" t="s">
        <v>2192</v>
      </c>
      <c r="E847" t="s">
        <v>2193</v>
      </c>
      <c r="F847" t="s">
        <v>56</v>
      </c>
      <c r="G847">
        <v>4.5999999999999996</v>
      </c>
      <c r="H847">
        <v>7.1</v>
      </c>
      <c r="I847">
        <v>7.6</v>
      </c>
      <c r="J847">
        <v>3.9</v>
      </c>
      <c r="K847">
        <v>2.1</v>
      </c>
      <c r="L847">
        <v>2.7</v>
      </c>
      <c r="M847">
        <v>38.1</v>
      </c>
      <c r="N847">
        <v>3.8</v>
      </c>
      <c r="O847">
        <v>2.1</v>
      </c>
      <c r="P847" t="s">
        <v>1615</v>
      </c>
      <c r="Q847" t="s">
        <v>621</v>
      </c>
      <c r="R847" t="s">
        <v>3305</v>
      </c>
      <c r="S847" t="s">
        <v>622</v>
      </c>
      <c r="T847">
        <v>14510</v>
      </c>
      <c r="U847">
        <v>17</v>
      </c>
      <c r="V847">
        <v>1627</v>
      </c>
      <c r="W847">
        <v>13.2</v>
      </c>
      <c r="X847">
        <v>1288</v>
      </c>
      <c r="Y847">
        <v>39.299999999999997</v>
      </c>
      <c r="Z847">
        <v>1230</v>
      </c>
      <c r="AA847">
        <v>29.5</v>
      </c>
      <c r="AB847">
        <v>1194</v>
      </c>
      <c r="AC847">
        <v>25</v>
      </c>
      <c r="AD847">
        <v>1709</v>
      </c>
      <c r="AE847" t="s">
        <v>57</v>
      </c>
      <c r="AF847">
        <v>0</v>
      </c>
      <c r="AG847" t="s">
        <v>3306</v>
      </c>
      <c r="AH847">
        <v>670557</v>
      </c>
      <c r="AI847" t="s">
        <v>2193</v>
      </c>
      <c r="AJ847" s="1">
        <v>19065</v>
      </c>
      <c r="AK847">
        <v>20.5</v>
      </c>
      <c r="AL847" s="2">
        <v>0.02</v>
      </c>
      <c r="AM847" t="s">
        <v>153</v>
      </c>
      <c r="AN847" t="s">
        <v>3305</v>
      </c>
      <c r="AO847" t="s">
        <v>3307</v>
      </c>
      <c r="AP847" t="b">
        <v>0</v>
      </c>
      <c r="AQ847" t="b">
        <v>0</v>
      </c>
      <c r="AR847" t="b">
        <v>0</v>
      </c>
    </row>
    <row r="848" spans="1:45" x14ac:dyDescent="0.3">
      <c r="A848" t="s">
        <v>1621</v>
      </c>
      <c r="B848" t="s">
        <v>2369</v>
      </c>
      <c r="C848" t="s">
        <v>3308</v>
      </c>
      <c r="D848" t="s">
        <v>849</v>
      </c>
      <c r="E848" t="s">
        <v>850</v>
      </c>
      <c r="F848" t="s">
        <v>47</v>
      </c>
      <c r="G848">
        <v>3.9</v>
      </c>
      <c r="H848">
        <v>2.2000000000000002</v>
      </c>
      <c r="I848">
        <v>37.6</v>
      </c>
      <c r="J848">
        <v>4.5999999999999996</v>
      </c>
      <c r="K848">
        <v>11.2</v>
      </c>
      <c r="L848">
        <v>8.6999999999999993</v>
      </c>
      <c r="M848">
        <v>25.5</v>
      </c>
      <c r="N848">
        <v>1.7</v>
      </c>
      <c r="O848">
        <v>1</v>
      </c>
      <c r="P848" t="s">
        <v>1615</v>
      </c>
      <c r="Q848" t="s">
        <v>1068</v>
      </c>
      <c r="R848" t="s">
        <v>3308</v>
      </c>
      <c r="S848" t="s">
        <v>1070</v>
      </c>
      <c r="T848">
        <v>18640</v>
      </c>
      <c r="U848">
        <v>21</v>
      </c>
      <c r="V848">
        <v>1302</v>
      </c>
      <c r="W848">
        <v>18.899999999999999</v>
      </c>
      <c r="X848">
        <v>872</v>
      </c>
      <c r="Y848">
        <v>18.2</v>
      </c>
      <c r="Z848">
        <v>1711</v>
      </c>
      <c r="AA848">
        <v>34.5</v>
      </c>
      <c r="AB848">
        <v>1102</v>
      </c>
      <c r="AC848">
        <v>44.2</v>
      </c>
      <c r="AD848">
        <v>983</v>
      </c>
      <c r="AE848" t="s">
        <v>57</v>
      </c>
      <c r="AF848">
        <v>0</v>
      </c>
      <c r="AG848" t="s">
        <v>3309</v>
      </c>
      <c r="AH848">
        <v>131345</v>
      </c>
      <c r="AI848" t="s">
        <v>850</v>
      </c>
      <c r="AJ848" s="1">
        <v>5303</v>
      </c>
      <c r="AK848">
        <v>13.3</v>
      </c>
      <c r="AL848" s="2">
        <v>0.1</v>
      </c>
      <c r="AM848" s="3">
        <v>2.2819444444444446</v>
      </c>
      <c r="AN848" t="s">
        <v>3308</v>
      </c>
      <c r="AO848" t="s">
        <v>3310</v>
      </c>
      <c r="AP848" t="b">
        <v>0</v>
      </c>
      <c r="AQ848" t="b">
        <v>0</v>
      </c>
      <c r="AR848" t="b">
        <v>0</v>
      </c>
    </row>
    <row r="849" spans="1:44" x14ac:dyDescent="0.3">
      <c r="A849" t="s">
        <v>1621</v>
      </c>
      <c r="B849" t="s">
        <v>1621</v>
      </c>
      <c r="C849" t="s">
        <v>3311</v>
      </c>
      <c r="D849" t="s">
        <v>2192</v>
      </c>
      <c r="E849" t="s">
        <v>2193</v>
      </c>
      <c r="F849" t="s">
        <v>56</v>
      </c>
      <c r="G849">
        <v>5.3</v>
      </c>
      <c r="H849">
        <v>9.6999999999999993</v>
      </c>
      <c r="I849">
        <v>2.4</v>
      </c>
      <c r="J849">
        <v>6</v>
      </c>
      <c r="L849">
        <v>4.5999999999999996</v>
      </c>
      <c r="M849">
        <v>34.1</v>
      </c>
      <c r="N849">
        <v>4</v>
      </c>
      <c r="O849">
        <v>1</v>
      </c>
      <c r="P849" t="s">
        <v>1615</v>
      </c>
      <c r="Q849" t="s">
        <v>1068</v>
      </c>
      <c r="R849" t="s">
        <v>3312</v>
      </c>
      <c r="S849" t="s">
        <v>1070</v>
      </c>
      <c r="T849">
        <v>16310</v>
      </c>
      <c r="U849">
        <v>15.9</v>
      </c>
      <c r="V849">
        <v>1703</v>
      </c>
      <c r="W849">
        <v>9.6</v>
      </c>
      <c r="X849">
        <v>1699</v>
      </c>
      <c r="Y849">
        <v>23.2</v>
      </c>
      <c r="Z849">
        <v>1602</v>
      </c>
      <c r="AA849">
        <v>26.2</v>
      </c>
      <c r="AB849">
        <v>1288</v>
      </c>
      <c r="AC849">
        <v>32.1</v>
      </c>
      <c r="AD849">
        <v>1420</v>
      </c>
      <c r="AE849" t="s">
        <v>57</v>
      </c>
      <c r="AF849">
        <v>0</v>
      </c>
      <c r="AG849" t="s">
        <v>3313</v>
      </c>
      <c r="AH849">
        <v>709502</v>
      </c>
      <c r="AI849" t="s">
        <v>2193</v>
      </c>
      <c r="AJ849" s="1">
        <v>13357</v>
      </c>
      <c r="AK849">
        <v>20.8</v>
      </c>
      <c r="AL849" s="2">
        <v>0.09</v>
      </c>
      <c r="AM849" t="s">
        <v>410</v>
      </c>
      <c r="AN849" t="s">
        <v>3312</v>
      </c>
      <c r="AO849" t="s">
        <v>3314</v>
      </c>
      <c r="AP849" t="b">
        <v>0</v>
      </c>
      <c r="AQ849" t="b">
        <v>0</v>
      </c>
      <c r="AR849" t="b">
        <v>0</v>
      </c>
    </row>
    <row r="850" spans="1:44" x14ac:dyDescent="0.3">
      <c r="A850" t="s">
        <v>1621</v>
      </c>
      <c r="B850" t="s">
        <v>1621</v>
      </c>
      <c r="C850" t="s">
        <v>3315</v>
      </c>
      <c r="D850" t="s">
        <v>378</v>
      </c>
      <c r="E850" t="s">
        <v>379</v>
      </c>
      <c r="F850" t="s">
        <v>56</v>
      </c>
      <c r="G850">
        <v>3.8</v>
      </c>
      <c r="H850">
        <v>2</v>
      </c>
      <c r="I850">
        <v>20.100000000000001</v>
      </c>
      <c r="J850">
        <v>1.2</v>
      </c>
      <c r="K850">
        <v>1.4</v>
      </c>
      <c r="L850">
        <v>41.1</v>
      </c>
      <c r="M850">
        <v>12.7</v>
      </c>
      <c r="N850">
        <v>5.5</v>
      </c>
      <c r="O850">
        <v>1</v>
      </c>
      <c r="P850" t="s">
        <v>1615</v>
      </c>
      <c r="Q850" t="s">
        <v>1068</v>
      </c>
      <c r="R850" t="s">
        <v>3316</v>
      </c>
      <c r="S850" t="s">
        <v>1070</v>
      </c>
      <c r="T850">
        <v>16440</v>
      </c>
      <c r="U850">
        <v>20.2</v>
      </c>
      <c r="V850">
        <v>1356</v>
      </c>
      <c r="W850">
        <v>11.5</v>
      </c>
      <c r="X850">
        <v>1463</v>
      </c>
      <c r="Y850">
        <v>9.8000000000000007</v>
      </c>
      <c r="Z850">
        <v>1858</v>
      </c>
      <c r="AA850">
        <v>17.600000000000001</v>
      </c>
      <c r="AB850">
        <v>1691</v>
      </c>
      <c r="AC850">
        <v>39.200000000000003</v>
      </c>
      <c r="AD850">
        <v>1141</v>
      </c>
      <c r="AE850" t="s">
        <v>57</v>
      </c>
      <c r="AF850">
        <v>0</v>
      </c>
      <c r="AG850" t="s">
        <v>3317</v>
      </c>
      <c r="AH850">
        <v>624057</v>
      </c>
      <c r="AI850" t="s">
        <v>381</v>
      </c>
      <c r="AJ850" s="1">
        <v>15645</v>
      </c>
      <c r="AK850">
        <v>15.4</v>
      </c>
      <c r="AL850" s="2">
        <v>0.18</v>
      </c>
      <c r="AM850" s="3">
        <v>3.1423611111111112</v>
      </c>
      <c r="AN850" t="s">
        <v>3316</v>
      </c>
      <c r="AO850" t="s">
        <v>3318</v>
      </c>
      <c r="AP850" t="b">
        <v>0</v>
      </c>
      <c r="AQ850" t="b">
        <v>0</v>
      </c>
      <c r="AR850" t="b">
        <v>1</v>
      </c>
    </row>
    <row r="851" spans="1:44" x14ac:dyDescent="0.3">
      <c r="A851" t="s">
        <v>1621</v>
      </c>
      <c r="B851" t="s">
        <v>2369</v>
      </c>
      <c r="C851" t="s">
        <v>3319</v>
      </c>
      <c r="D851" t="s">
        <v>175</v>
      </c>
      <c r="E851" t="s">
        <v>176</v>
      </c>
      <c r="F851" t="s">
        <v>56</v>
      </c>
      <c r="G851">
        <v>10.5</v>
      </c>
      <c r="H851">
        <v>5.8</v>
      </c>
      <c r="I851">
        <v>13.6</v>
      </c>
      <c r="J851">
        <v>2.8</v>
      </c>
      <c r="K851">
        <v>5.6</v>
      </c>
      <c r="L851">
        <v>2.9</v>
      </c>
      <c r="M851">
        <v>24.5</v>
      </c>
      <c r="N851">
        <v>1.8</v>
      </c>
      <c r="O851">
        <v>1.3</v>
      </c>
      <c r="P851" t="s">
        <v>1615</v>
      </c>
      <c r="Q851" t="s">
        <v>621</v>
      </c>
      <c r="R851" t="s">
        <v>3319</v>
      </c>
      <c r="S851" t="s">
        <v>622</v>
      </c>
      <c r="T851">
        <v>14620</v>
      </c>
      <c r="U851">
        <v>18.3</v>
      </c>
      <c r="V851">
        <v>1533</v>
      </c>
      <c r="W851">
        <v>12</v>
      </c>
      <c r="X851">
        <v>1411</v>
      </c>
      <c r="Y851">
        <v>36.5</v>
      </c>
      <c r="Z851">
        <v>1292</v>
      </c>
      <c r="AA851">
        <v>46</v>
      </c>
      <c r="AB851">
        <v>880</v>
      </c>
      <c r="AC851">
        <v>30.4</v>
      </c>
      <c r="AD851">
        <v>1486</v>
      </c>
      <c r="AE851" t="s">
        <v>57</v>
      </c>
      <c r="AF851">
        <v>0</v>
      </c>
      <c r="AG851" t="s">
        <v>3320</v>
      </c>
      <c r="AH851">
        <v>131413</v>
      </c>
      <c r="AI851" t="s">
        <v>176</v>
      </c>
      <c r="AJ851" s="1">
        <v>28334</v>
      </c>
      <c r="AK851">
        <v>16</v>
      </c>
      <c r="AL851" s="2">
        <v>0.04</v>
      </c>
      <c r="AM851" t="s">
        <v>761</v>
      </c>
      <c r="AN851" t="s">
        <v>3319</v>
      </c>
      <c r="AO851" t="s">
        <v>3321</v>
      </c>
      <c r="AP851" t="b">
        <v>0</v>
      </c>
      <c r="AQ851" t="b">
        <v>0</v>
      </c>
      <c r="AR851" t="b">
        <v>0</v>
      </c>
    </row>
    <row r="852" spans="1:44" x14ac:dyDescent="0.3">
      <c r="A852" t="s">
        <v>1621</v>
      </c>
      <c r="B852" t="s">
        <v>2369</v>
      </c>
      <c r="C852" t="s">
        <v>3322</v>
      </c>
      <c r="D852" t="s">
        <v>849</v>
      </c>
      <c r="E852" t="s">
        <v>850</v>
      </c>
      <c r="F852" t="s">
        <v>47</v>
      </c>
      <c r="G852">
        <v>4.5</v>
      </c>
      <c r="H852">
        <v>8.4</v>
      </c>
      <c r="I852">
        <v>9.3000000000000007</v>
      </c>
      <c r="J852">
        <v>5.5</v>
      </c>
      <c r="K852">
        <v>23.6</v>
      </c>
      <c r="L852">
        <v>18.8</v>
      </c>
      <c r="M852">
        <v>25.8</v>
      </c>
      <c r="N852">
        <v>4</v>
      </c>
      <c r="O852">
        <v>1.1000000000000001</v>
      </c>
      <c r="P852" t="s">
        <v>1615</v>
      </c>
      <c r="Q852" t="s">
        <v>621</v>
      </c>
      <c r="R852" t="s">
        <v>3323</v>
      </c>
      <c r="S852" t="s">
        <v>622</v>
      </c>
      <c r="T852">
        <v>14660</v>
      </c>
      <c r="U852">
        <v>18.100000000000001</v>
      </c>
      <c r="V852">
        <v>1546</v>
      </c>
      <c r="W852">
        <v>21</v>
      </c>
      <c r="X852">
        <v>771</v>
      </c>
      <c r="Y852">
        <v>31.8</v>
      </c>
      <c r="Z852">
        <v>1404</v>
      </c>
      <c r="AA852">
        <v>26.1</v>
      </c>
      <c r="AB852">
        <v>1298</v>
      </c>
      <c r="AC852">
        <v>51.3</v>
      </c>
      <c r="AD852">
        <v>763</v>
      </c>
      <c r="AE852" t="s">
        <v>57</v>
      </c>
      <c r="AF852">
        <v>0</v>
      </c>
      <c r="AG852" t="s">
        <v>3324</v>
      </c>
      <c r="AH852">
        <v>589364</v>
      </c>
      <c r="AI852" t="s">
        <v>850</v>
      </c>
      <c r="AJ852" s="1">
        <v>9642</v>
      </c>
      <c r="AK852">
        <v>20.100000000000001</v>
      </c>
      <c r="AL852" s="2">
        <v>0.11</v>
      </c>
      <c r="AM852" s="3">
        <v>2.3638888888888889</v>
      </c>
      <c r="AN852" t="s">
        <v>3323</v>
      </c>
      <c r="AO852" t="s">
        <v>3325</v>
      </c>
      <c r="AP852" t="b">
        <v>0</v>
      </c>
      <c r="AQ852" t="b">
        <v>0</v>
      </c>
      <c r="AR852" t="b">
        <v>0</v>
      </c>
    </row>
    <row r="853" spans="1:44" x14ac:dyDescent="0.3">
      <c r="A853" t="s">
        <v>1621</v>
      </c>
      <c r="B853" t="s">
        <v>1621</v>
      </c>
      <c r="C853" t="s">
        <v>3326</v>
      </c>
      <c r="D853" t="s">
        <v>619</v>
      </c>
      <c r="E853" t="s">
        <v>620</v>
      </c>
      <c r="F853" t="s">
        <v>47</v>
      </c>
      <c r="G853">
        <v>8.5</v>
      </c>
      <c r="H853">
        <v>4.8</v>
      </c>
      <c r="I853">
        <v>17.8</v>
      </c>
      <c r="J853">
        <v>1.2</v>
      </c>
      <c r="K853">
        <v>6.8</v>
      </c>
      <c r="L853">
        <v>3.1</v>
      </c>
      <c r="M853">
        <v>3.9</v>
      </c>
      <c r="N853">
        <v>3.3</v>
      </c>
      <c r="O853">
        <v>1</v>
      </c>
      <c r="P853" t="s">
        <v>1615</v>
      </c>
      <c r="Q853" t="s">
        <v>1475</v>
      </c>
      <c r="R853" t="s">
        <v>3326</v>
      </c>
      <c r="T853">
        <v>1000705</v>
      </c>
      <c r="V853">
        <v>0</v>
      </c>
      <c r="X853">
        <v>0</v>
      </c>
      <c r="Z853">
        <v>0</v>
      </c>
      <c r="AB853">
        <v>0</v>
      </c>
      <c r="AD853">
        <v>0</v>
      </c>
      <c r="AE853" t="s">
        <v>57</v>
      </c>
      <c r="AF853">
        <v>0</v>
      </c>
      <c r="AG853" t="s">
        <v>3327</v>
      </c>
      <c r="AH853">
        <v>624024</v>
      </c>
      <c r="AI853" t="s">
        <v>620</v>
      </c>
      <c r="AJ853" s="1">
        <v>8732</v>
      </c>
      <c r="AK853">
        <v>14.1</v>
      </c>
      <c r="AL853" s="2">
        <v>0.02</v>
      </c>
      <c r="AN853" t="s">
        <v>3326</v>
      </c>
      <c r="AO853" t="s">
        <v>3328</v>
      </c>
      <c r="AP853" t="b">
        <v>0</v>
      </c>
      <c r="AQ853" t="b">
        <v>0</v>
      </c>
      <c r="AR853" t="b">
        <v>0</v>
      </c>
    </row>
    <row r="854" spans="1:44" x14ac:dyDescent="0.3">
      <c r="A854" t="s">
        <v>1621</v>
      </c>
      <c r="B854" t="s">
        <v>1621</v>
      </c>
      <c r="C854" t="s">
        <v>3329</v>
      </c>
      <c r="D854" t="s">
        <v>2192</v>
      </c>
      <c r="E854" t="s">
        <v>2193</v>
      </c>
      <c r="F854" t="s">
        <v>56</v>
      </c>
      <c r="G854">
        <v>6.4</v>
      </c>
      <c r="H854">
        <v>5.5</v>
      </c>
      <c r="I854">
        <v>5.0999999999999996</v>
      </c>
      <c r="J854">
        <v>3.7</v>
      </c>
      <c r="K854">
        <v>5.4</v>
      </c>
      <c r="L854">
        <v>2.1</v>
      </c>
      <c r="M854">
        <v>48.1</v>
      </c>
      <c r="N854">
        <v>4</v>
      </c>
      <c r="O854">
        <v>1</v>
      </c>
      <c r="P854" t="s">
        <v>1615</v>
      </c>
      <c r="Q854" t="s">
        <v>621</v>
      </c>
      <c r="R854" t="s">
        <v>3330</v>
      </c>
      <c r="S854" t="s">
        <v>622</v>
      </c>
      <c r="T854">
        <v>14680</v>
      </c>
      <c r="U854">
        <v>15.4</v>
      </c>
      <c r="V854">
        <v>1735</v>
      </c>
      <c r="W854">
        <v>11.5</v>
      </c>
      <c r="X854">
        <v>1473</v>
      </c>
      <c r="Y854">
        <v>49.8</v>
      </c>
      <c r="Z854">
        <v>1025</v>
      </c>
      <c r="AA854">
        <v>18.7</v>
      </c>
      <c r="AB854">
        <v>1613</v>
      </c>
      <c r="AC854">
        <v>36.9</v>
      </c>
      <c r="AD854">
        <v>1249</v>
      </c>
      <c r="AE854" t="s">
        <v>57</v>
      </c>
      <c r="AF854">
        <v>0</v>
      </c>
      <c r="AG854" t="s">
        <v>3331</v>
      </c>
      <c r="AH854">
        <v>678543</v>
      </c>
      <c r="AI854" t="s">
        <v>2193</v>
      </c>
      <c r="AJ854" s="1">
        <v>20075</v>
      </c>
      <c r="AK854">
        <v>20.399999999999999</v>
      </c>
      <c r="AL854" s="2">
        <v>0.01</v>
      </c>
      <c r="AM854" s="3">
        <v>2.2000000000000002</v>
      </c>
      <c r="AN854" t="s">
        <v>3330</v>
      </c>
      <c r="AO854" t="s">
        <v>3332</v>
      </c>
      <c r="AP854" t="b">
        <v>0</v>
      </c>
      <c r="AQ854" t="b">
        <v>0</v>
      </c>
      <c r="AR854" t="b">
        <v>0</v>
      </c>
    </row>
    <row r="855" spans="1:44" x14ac:dyDescent="0.3">
      <c r="A855" t="s">
        <v>1621</v>
      </c>
      <c r="B855" t="s">
        <v>1621</v>
      </c>
      <c r="C855" t="s">
        <v>3333</v>
      </c>
      <c r="D855" t="s">
        <v>297</v>
      </c>
      <c r="E855" t="s">
        <v>298</v>
      </c>
      <c r="F855" t="s">
        <v>56</v>
      </c>
      <c r="G855">
        <v>6.5</v>
      </c>
      <c r="H855">
        <v>5.4</v>
      </c>
      <c r="I855">
        <v>4.5999999999999996</v>
      </c>
      <c r="J855">
        <v>5.4</v>
      </c>
      <c r="K855">
        <v>8.4</v>
      </c>
      <c r="L855">
        <v>8.8000000000000007</v>
      </c>
      <c r="M855">
        <v>24.4</v>
      </c>
      <c r="N855">
        <v>13.8</v>
      </c>
      <c r="O855">
        <v>7.9</v>
      </c>
      <c r="P855" t="s">
        <v>1615</v>
      </c>
      <c r="Q855" t="s">
        <v>621</v>
      </c>
      <c r="R855" t="s">
        <v>3333</v>
      </c>
      <c r="S855" t="s">
        <v>622</v>
      </c>
      <c r="T855">
        <v>14700</v>
      </c>
      <c r="U855">
        <v>16.5</v>
      </c>
      <c r="V855">
        <v>1664</v>
      </c>
      <c r="W855">
        <v>14.4</v>
      </c>
      <c r="X855">
        <v>1171</v>
      </c>
      <c r="Y855">
        <v>37.799999999999997</v>
      </c>
      <c r="Z855">
        <v>1262</v>
      </c>
      <c r="AA855">
        <v>49.4</v>
      </c>
      <c r="AB855">
        <v>821</v>
      </c>
      <c r="AC855">
        <v>46.6</v>
      </c>
      <c r="AD855">
        <v>913</v>
      </c>
      <c r="AE855" t="s">
        <v>57</v>
      </c>
      <c r="AF855">
        <v>0</v>
      </c>
      <c r="AG855" t="s">
        <v>3334</v>
      </c>
      <c r="AH855">
        <v>621585</v>
      </c>
      <c r="AI855" t="s">
        <v>298</v>
      </c>
      <c r="AJ855" s="1">
        <v>15201</v>
      </c>
      <c r="AK855">
        <v>20.399999999999999</v>
      </c>
      <c r="AL855" s="2">
        <v>0.1</v>
      </c>
      <c r="AM855" s="3">
        <v>2.3229166666666665</v>
      </c>
      <c r="AN855" t="s">
        <v>3333</v>
      </c>
      <c r="AO855" t="s">
        <v>3335</v>
      </c>
      <c r="AP855" t="b">
        <v>0</v>
      </c>
      <c r="AQ855" t="b">
        <v>0</v>
      </c>
      <c r="AR855" t="b">
        <v>0</v>
      </c>
    </row>
    <row r="856" spans="1:44" x14ac:dyDescent="0.3">
      <c r="A856" t="s">
        <v>1621</v>
      </c>
      <c r="B856" t="s">
        <v>2369</v>
      </c>
      <c r="C856" t="s">
        <v>3336</v>
      </c>
      <c r="D856" t="s">
        <v>1994</v>
      </c>
      <c r="E856" t="s">
        <v>1995</v>
      </c>
      <c r="F856" t="s">
        <v>77</v>
      </c>
      <c r="G856">
        <v>3.2</v>
      </c>
      <c r="H856">
        <v>6</v>
      </c>
      <c r="I856">
        <v>45.2</v>
      </c>
      <c r="J856">
        <v>1.4</v>
      </c>
      <c r="K856">
        <v>2</v>
      </c>
      <c r="L856">
        <v>1.6</v>
      </c>
      <c r="M856">
        <v>8.3000000000000007</v>
      </c>
      <c r="N856">
        <v>2.1</v>
      </c>
      <c r="O856">
        <v>5.8</v>
      </c>
      <c r="P856" t="s">
        <v>1615</v>
      </c>
      <c r="Q856" t="s">
        <v>1068</v>
      </c>
      <c r="R856" t="s">
        <v>3337</v>
      </c>
      <c r="S856" t="s">
        <v>1070</v>
      </c>
      <c r="T856">
        <v>15350</v>
      </c>
      <c r="U856">
        <v>19.2</v>
      </c>
      <c r="V856">
        <v>1450</v>
      </c>
      <c r="W856">
        <v>9.6</v>
      </c>
      <c r="X856">
        <v>1696</v>
      </c>
      <c r="Y856">
        <v>11.1</v>
      </c>
      <c r="Z856">
        <v>1837</v>
      </c>
      <c r="AA856">
        <v>18.100000000000001</v>
      </c>
      <c r="AB856">
        <v>1656</v>
      </c>
      <c r="AC856">
        <v>26.4</v>
      </c>
      <c r="AD856">
        <v>1645</v>
      </c>
      <c r="AE856" t="s">
        <v>57</v>
      </c>
      <c r="AF856">
        <v>0</v>
      </c>
      <c r="AG856" t="s">
        <v>3338</v>
      </c>
      <c r="AH856">
        <v>584760</v>
      </c>
      <c r="AI856" t="s">
        <v>1995</v>
      </c>
      <c r="AJ856" s="1">
        <v>38732</v>
      </c>
      <c r="AK856">
        <v>19.5</v>
      </c>
      <c r="AL856" s="2">
        <v>0</v>
      </c>
      <c r="AM856" s="3">
        <v>2.4458333333333333</v>
      </c>
      <c r="AN856" t="s">
        <v>3337</v>
      </c>
      <c r="AO856" t="s">
        <v>3339</v>
      </c>
      <c r="AP856" t="b">
        <v>0</v>
      </c>
      <c r="AQ856" t="b">
        <v>0</v>
      </c>
      <c r="AR856" t="b">
        <v>0</v>
      </c>
    </row>
    <row r="857" spans="1:44" x14ac:dyDescent="0.3">
      <c r="A857" t="s">
        <v>1621</v>
      </c>
      <c r="B857" t="s">
        <v>2369</v>
      </c>
      <c r="C857" t="s">
        <v>3340</v>
      </c>
      <c r="D857" t="s">
        <v>2544</v>
      </c>
      <c r="E857" t="s">
        <v>2545</v>
      </c>
      <c r="F857" t="s">
        <v>56</v>
      </c>
      <c r="G857">
        <v>9.6999999999999993</v>
      </c>
      <c r="H857">
        <v>14.8</v>
      </c>
      <c r="I857">
        <v>4.5999999999999996</v>
      </c>
      <c r="J857">
        <v>2.1</v>
      </c>
      <c r="K857">
        <v>4.0999999999999996</v>
      </c>
      <c r="L857">
        <v>1.4</v>
      </c>
      <c r="M857">
        <v>12.4</v>
      </c>
      <c r="N857">
        <v>9</v>
      </c>
      <c r="O857">
        <v>1.3</v>
      </c>
      <c r="P857" t="s">
        <v>1615</v>
      </c>
      <c r="Q857" t="s">
        <v>1068</v>
      </c>
      <c r="R857" t="s">
        <v>3341</v>
      </c>
      <c r="S857" t="s">
        <v>1070</v>
      </c>
      <c r="T857">
        <v>16510</v>
      </c>
      <c r="U857">
        <v>14.4</v>
      </c>
      <c r="V857">
        <v>1780</v>
      </c>
      <c r="W857">
        <v>12.2</v>
      </c>
      <c r="X857">
        <v>1387</v>
      </c>
      <c r="Y857">
        <v>11.6</v>
      </c>
      <c r="Z857">
        <v>1831</v>
      </c>
      <c r="AA857">
        <v>31.5</v>
      </c>
      <c r="AB857">
        <v>1148</v>
      </c>
      <c r="AC857">
        <v>38</v>
      </c>
      <c r="AD857">
        <v>1196</v>
      </c>
      <c r="AE857" t="s">
        <v>57</v>
      </c>
      <c r="AF857">
        <v>0</v>
      </c>
      <c r="AG857" t="s">
        <v>3342</v>
      </c>
      <c r="AH857">
        <v>623517</v>
      </c>
      <c r="AI857" t="s">
        <v>2545</v>
      </c>
      <c r="AJ857" s="1">
        <v>21413</v>
      </c>
      <c r="AK857">
        <v>23.4</v>
      </c>
      <c r="AL857" s="2">
        <v>0.01</v>
      </c>
      <c r="AM857" s="3">
        <v>1.9131944444444444</v>
      </c>
      <c r="AN857" t="s">
        <v>3341</v>
      </c>
      <c r="AO857" t="s">
        <v>3343</v>
      </c>
      <c r="AP857" t="b">
        <v>0</v>
      </c>
      <c r="AQ857" t="b">
        <v>0</v>
      </c>
      <c r="AR857" t="b">
        <v>0</v>
      </c>
    </row>
    <row r="858" spans="1:44" x14ac:dyDescent="0.3">
      <c r="A858" t="s">
        <v>1621</v>
      </c>
      <c r="B858" t="s">
        <v>1621</v>
      </c>
      <c r="C858" t="s">
        <v>3344</v>
      </c>
      <c r="D858" t="s">
        <v>3345</v>
      </c>
      <c r="E858" t="s">
        <v>3346</v>
      </c>
      <c r="F858" t="s">
        <v>77</v>
      </c>
      <c r="G858">
        <v>12.7</v>
      </c>
      <c r="H858">
        <v>5.7</v>
      </c>
      <c r="I858">
        <v>2.2000000000000002</v>
      </c>
      <c r="J858">
        <v>2.5</v>
      </c>
      <c r="K858">
        <v>5</v>
      </c>
      <c r="L858">
        <v>1.2</v>
      </c>
      <c r="M858">
        <v>24.5</v>
      </c>
      <c r="N858">
        <v>3.7</v>
      </c>
      <c r="O858">
        <v>5.0999999999999996</v>
      </c>
      <c r="P858" t="s">
        <v>1615</v>
      </c>
      <c r="Q858" t="s">
        <v>1068</v>
      </c>
      <c r="R858" t="s">
        <v>3344</v>
      </c>
      <c r="S858" t="s">
        <v>1070</v>
      </c>
      <c r="T858">
        <v>17400</v>
      </c>
      <c r="U858">
        <v>12</v>
      </c>
      <c r="V858">
        <v>1876</v>
      </c>
      <c r="W858">
        <v>9.4</v>
      </c>
      <c r="X858">
        <v>1736</v>
      </c>
      <c r="Y858">
        <v>16.899999999999999</v>
      </c>
      <c r="Z858">
        <v>1733</v>
      </c>
      <c r="AA858">
        <v>24.1</v>
      </c>
      <c r="AB858">
        <v>1365</v>
      </c>
      <c r="AC858">
        <v>29.2</v>
      </c>
      <c r="AD858">
        <v>1532</v>
      </c>
      <c r="AE858" t="s">
        <v>57</v>
      </c>
      <c r="AF858">
        <v>0</v>
      </c>
      <c r="AG858" t="s">
        <v>3347</v>
      </c>
      <c r="AH858">
        <v>624330</v>
      </c>
      <c r="AI858" t="s">
        <v>3346</v>
      </c>
      <c r="AJ858" s="1">
        <v>50145</v>
      </c>
      <c r="AK858">
        <v>35.200000000000003</v>
      </c>
      <c r="AL858" s="2">
        <v>0</v>
      </c>
      <c r="AM858" s="3">
        <v>2.6506944444444445</v>
      </c>
      <c r="AN858" t="s">
        <v>3344</v>
      </c>
      <c r="AO858" t="s">
        <v>3348</v>
      </c>
      <c r="AP858" t="b">
        <v>0</v>
      </c>
      <c r="AQ858" t="b">
        <v>0</v>
      </c>
      <c r="AR858" t="b">
        <v>0</v>
      </c>
    </row>
    <row r="859" spans="1:44" x14ac:dyDescent="0.3">
      <c r="A859" t="s">
        <v>1621</v>
      </c>
      <c r="B859" t="s">
        <v>2369</v>
      </c>
      <c r="C859" t="s">
        <v>3349</v>
      </c>
      <c r="D859" t="s">
        <v>1192</v>
      </c>
      <c r="E859" t="s">
        <v>1193</v>
      </c>
      <c r="F859" t="s">
        <v>77</v>
      </c>
      <c r="G859">
        <v>11.3</v>
      </c>
      <c r="H859">
        <v>22.6</v>
      </c>
      <c r="I859">
        <v>3</v>
      </c>
      <c r="J859">
        <v>1.1000000000000001</v>
      </c>
      <c r="K859">
        <v>13.6</v>
      </c>
      <c r="L859">
        <v>1.5</v>
      </c>
      <c r="M859">
        <v>8</v>
      </c>
      <c r="N859">
        <v>3.9</v>
      </c>
      <c r="O859">
        <v>1.1000000000000001</v>
      </c>
      <c r="P859" t="s">
        <v>1615</v>
      </c>
      <c r="Q859" t="s">
        <v>1068</v>
      </c>
      <c r="R859" t="s">
        <v>3350</v>
      </c>
      <c r="S859" t="s">
        <v>1070</v>
      </c>
      <c r="T859">
        <v>17980</v>
      </c>
      <c r="U859">
        <v>13.5</v>
      </c>
      <c r="V859">
        <v>1822</v>
      </c>
      <c r="W859">
        <v>8.6999999999999993</v>
      </c>
      <c r="X859">
        <v>1834</v>
      </c>
      <c r="Y859">
        <v>10.1</v>
      </c>
      <c r="Z859">
        <v>1854</v>
      </c>
      <c r="AA859">
        <v>15.6</v>
      </c>
      <c r="AB859">
        <v>1901</v>
      </c>
      <c r="AC859">
        <v>26.5</v>
      </c>
      <c r="AD859">
        <v>1641</v>
      </c>
      <c r="AE859" t="s">
        <v>57</v>
      </c>
      <c r="AF859">
        <v>0</v>
      </c>
      <c r="AG859" t="s">
        <v>3351</v>
      </c>
      <c r="AH859">
        <v>625590</v>
      </c>
      <c r="AI859" t="s">
        <v>1193</v>
      </c>
      <c r="AJ859" s="1">
        <v>56595</v>
      </c>
      <c r="AK859">
        <v>21.1</v>
      </c>
      <c r="AL859" s="2">
        <v>0.01</v>
      </c>
      <c r="AM859" s="3">
        <v>2.1180555555555554</v>
      </c>
      <c r="AN859" t="s">
        <v>3350</v>
      </c>
      <c r="AO859" t="s">
        <v>3352</v>
      </c>
      <c r="AP859" t="b">
        <v>0</v>
      </c>
      <c r="AQ859" t="b">
        <v>0</v>
      </c>
      <c r="AR859" t="b">
        <v>0</v>
      </c>
    </row>
    <row r="860" spans="1:44" x14ac:dyDescent="0.3">
      <c r="A860" t="s">
        <v>1621</v>
      </c>
      <c r="B860" t="s">
        <v>1621</v>
      </c>
      <c r="C860" t="s">
        <v>3353</v>
      </c>
      <c r="D860" t="s">
        <v>1999</v>
      </c>
      <c r="E860" t="s">
        <v>2000</v>
      </c>
      <c r="F860" t="s">
        <v>77</v>
      </c>
      <c r="G860">
        <v>9.5</v>
      </c>
      <c r="H860">
        <v>5.0999999999999996</v>
      </c>
      <c r="I860">
        <v>17.399999999999999</v>
      </c>
      <c r="J860">
        <v>2.5</v>
      </c>
      <c r="K860">
        <v>3.5</v>
      </c>
      <c r="L860">
        <v>1.2</v>
      </c>
      <c r="M860">
        <v>35.700000000000003</v>
      </c>
      <c r="N860">
        <v>18.2</v>
      </c>
      <c r="O860">
        <v>1.3</v>
      </c>
      <c r="P860" t="s">
        <v>1615</v>
      </c>
      <c r="Q860" t="s">
        <v>621</v>
      </c>
      <c r="R860" t="s">
        <v>3353</v>
      </c>
      <c r="S860" t="s">
        <v>622</v>
      </c>
      <c r="T860">
        <v>12640</v>
      </c>
      <c r="U860">
        <v>31.8</v>
      </c>
      <c r="V860">
        <v>594</v>
      </c>
      <c r="W860">
        <v>13.5</v>
      </c>
      <c r="X860">
        <v>1250</v>
      </c>
      <c r="Y860">
        <v>24.6</v>
      </c>
      <c r="Z860">
        <v>1570</v>
      </c>
      <c r="AA860">
        <v>26.3</v>
      </c>
      <c r="AB860">
        <v>1285</v>
      </c>
      <c r="AC860">
        <v>30.4</v>
      </c>
      <c r="AD860">
        <v>1483</v>
      </c>
      <c r="AE860" t="s">
        <v>57</v>
      </c>
      <c r="AF860">
        <v>0</v>
      </c>
      <c r="AG860" t="s">
        <v>3354</v>
      </c>
      <c r="AH860">
        <v>131279</v>
      </c>
      <c r="AI860" t="s">
        <v>2000</v>
      </c>
      <c r="AJ860" s="1">
        <v>22879</v>
      </c>
      <c r="AK860">
        <v>9.4</v>
      </c>
      <c r="AL860" s="2">
        <v>0</v>
      </c>
      <c r="AM860" s="3">
        <v>2.3638888888888889</v>
      </c>
      <c r="AN860" t="s">
        <v>3353</v>
      </c>
      <c r="AO860" t="s">
        <v>3355</v>
      </c>
      <c r="AP860" t="b">
        <v>0</v>
      </c>
      <c r="AQ860" t="b">
        <v>0</v>
      </c>
      <c r="AR860" t="b">
        <v>0</v>
      </c>
    </row>
    <row r="861" spans="1:44" x14ac:dyDescent="0.3">
      <c r="A861" t="s">
        <v>1621</v>
      </c>
      <c r="B861" t="s">
        <v>1621</v>
      </c>
      <c r="C861" t="s">
        <v>3356</v>
      </c>
      <c r="D861" t="s">
        <v>1999</v>
      </c>
      <c r="E861" t="s">
        <v>2000</v>
      </c>
      <c r="F861" t="s">
        <v>77</v>
      </c>
      <c r="G861">
        <v>9</v>
      </c>
      <c r="H861">
        <v>2.7</v>
      </c>
      <c r="I861">
        <v>8.5</v>
      </c>
      <c r="J861">
        <v>3.1</v>
      </c>
      <c r="K861">
        <v>5.0999999999999996</v>
      </c>
      <c r="L861">
        <v>1.4</v>
      </c>
      <c r="M861">
        <v>48.8</v>
      </c>
      <c r="N861">
        <v>12.4</v>
      </c>
      <c r="O861">
        <v>2.5</v>
      </c>
      <c r="P861" t="s">
        <v>1615</v>
      </c>
      <c r="Q861" t="s">
        <v>621</v>
      </c>
      <c r="R861" t="s">
        <v>3356</v>
      </c>
      <c r="S861" t="s">
        <v>622</v>
      </c>
      <c r="T861">
        <v>12670</v>
      </c>
      <c r="U861">
        <v>27.5</v>
      </c>
      <c r="V861">
        <v>841</v>
      </c>
      <c r="W861">
        <v>12.3</v>
      </c>
      <c r="X861">
        <v>1375</v>
      </c>
      <c r="Y861">
        <v>30.5</v>
      </c>
      <c r="Z861">
        <v>1426</v>
      </c>
      <c r="AA861">
        <v>19.7</v>
      </c>
      <c r="AB861">
        <v>1546</v>
      </c>
      <c r="AC861">
        <v>28.4</v>
      </c>
      <c r="AD861">
        <v>1561</v>
      </c>
      <c r="AE861" t="s">
        <v>57</v>
      </c>
      <c r="AF861">
        <v>0</v>
      </c>
      <c r="AG861" t="s">
        <v>3357</v>
      </c>
      <c r="AH861">
        <v>131825</v>
      </c>
      <c r="AI861" t="s">
        <v>2000</v>
      </c>
      <c r="AJ861" s="1">
        <v>51291</v>
      </c>
      <c r="AK861">
        <v>19.899999999999999</v>
      </c>
      <c r="AL861" s="2">
        <v>0</v>
      </c>
      <c r="AM861" s="3">
        <v>1.7493055555555554</v>
      </c>
      <c r="AN861" t="s">
        <v>3356</v>
      </c>
      <c r="AO861" t="s">
        <v>3358</v>
      </c>
      <c r="AP861" t="b">
        <v>0</v>
      </c>
      <c r="AQ861" t="b">
        <v>0</v>
      </c>
      <c r="AR861" t="b">
        <v>0</v>
      </c>
    </row>
    <row r="862" spans="1:44" x14ac:dyDescent="0.3">
      <c r="A862" t="s">
        <v>1621</v>
      </c>
      <c r="B862" t="s">
        <v>1621</v>
      </c>
      <c r="C862" t="s">
        <v>3359</v>
      </c>
      <c r="D862" t="s">
        <v>1999</v>
      </c>
      <c r="E862" t="s">
        <v>2000</v>
      </c>
      <c r="F862" t="s">
        <v>56</v>
      </c>
      <c r="G862">
        <v>3.8</v>
      </c>
      <c r="H862">
        <v>2</v>
      </c>
      <c r="I862">
        <v>30.3</v>
      </c>
      <c r="J862">
        <v>2.8</v>
      </c>
      <c r="M862">
        <v>35.200000000000003</v>
      </c>
      <c r="N862">
        <v>1.3</v>
      </c>
      <c r="O862">
        <v>1</v>
      </c>
      <c r="P862" t="s">
        <v>1615</v>
      </c>
      <c r="Q862" t="s">
        <v>1068</v>
      </c>
      <c r="R862" t="s">
        <v>3360</v>
      </c>
      <c r="S862" t="s">
        <v>1070</v>
      </c>
      <c r="T862">
        <v>16130</v>
      </c>
      <c r="U862">
        <v>18.5</v>
      </c>
      <c r="V862">
        <v>1505</v>
      </c>
      <c r="W862">
        <v>12.1</v>
      </c>
      <c r="X862">
        <v>1398</v>
      </c>
      <c r="Y862">
        <v>27.5</v>
      </c>
      <c r="Z862">
        <v>1505</v>
      </c>
      <c r="AA862">
        <v>18.600000000000001</v>
      </c>
      <c r="AB862">
        <v>1618</v>
      </c>
      <c r="AC862">
        <v>29.8</v>
      </c>
      <c r="AD862">
        <v>1500</v>
      </c>
      <c r="AE862" t="s">
        <v>57</v>
      </c>
      <c r="AF862">
        <v>0</v>
      </c>
      <c r="AG862" t="s">
        <v>3361</v>
      </c>
      <c r="AH862">
        <v>621432</v>
      </c>
      <c r="AI862" t="s">
        <v>2000</v>
      </c>
      <c r="AJ862" s="1">
        <v>26483</v>
      </c>
      <c r="AK862">
        <v>16.600000000000001</v>
      </c>
      <c r="AL862" s="2">
        <v>0</v>
      </c>
      <c r="AM862" s="3">
        <v>2.1180555555555554</v>
      </c>
      <c r="AN862" t="s">
        <v>3360</v>
      </c>
      <c r="AO862" t="s">
        <v>3362</v>
      </c>
      <c r="AP862" t="b">
        <v>0</v>
      </c>
      <c r="AQ862" t="b">
        <v>0</v>
      </c>
      <c r="AR862" t="b">
        <v>0</v>
      </c>
    </row>
    <row r="863" spans="1:44" x14ac:dyDescent="0.3">
      <c r="A863" t="s">
        <v>1621</v>
      </c>
      <c r="B863" t="s">
        <v>1621</v>
      </c>
      <c r="C863" t="s">
        <v>3363</v>
      </c>
      <c r="D863" t="s">
        <v>1999</v>
      </c>
      <c r="E863" t="s">
        <v>2000</v>
      </c>
      <c r="F863" t="s">
        <v>56</v>
      </c>
      <c r="G863">
        <v>6.4</v>
      </c>
      <c r="H863">
        <v>1.5</v>
      </c>
      <c r="I863">
        <v>17.5</v>
      </c>
      <c r="J863">
        <v>5.2</v>
      </c>
      <c r="K863">
        <v>2.5</v>
      </c>
      <c r="L863">
        <v>1.4</v>
      </c>
      <c r="M863">
        <v>37.9</v>
      </c>
      <c r="N863">
        <v>6.3</v>
      </c>
      <c r="O863">
        <v>11.5</v>
      </c>
      <c r="P863" t="s">
        <v>1615</v>
      </c>
      <c r="Q863" t="s">
        <v>679</v>
      </c>
      <c r="R863" t="s">
        <v>2213</v>
      </c>
      <c r="S863" t="s">
        <v>680</v>
      </c>
      <c r="T863">
        <v>8580</v>
      </c>
      <c r="U863">
        <v>32.5</v>
      </c>
      <c r="V863">
        <v>569</v>
      </c>
      <c r="W863">
        <v>21.6</v>
      </c>
      <c r="X863">
        <v>746</v>
      </c>
      <c r="Y863">
        <v>41.6</v>
      </c>
      <c r="Z863">
        <v>1191</v>
      </c>
      <c r="AA863">
        <v>64.2</v>
      </c>
      <c r="AB863">
        <v>562</v>
      </c>
      <c r="AC863">
        <v>35.299999999999997</v>
      </c>
      <c r="AD863">
        <v>1307</v>
      </c>
      <c r="AE863" t="s">
        <v>57</v>
      </c>
      <c r="AF863">
        <v>0</v>
      </c>
      <c r="AG863" t="s">
        <v>2214</v>
      </c>
      <c r="AH863">
        <v>131416</v>
      </c>
      <c r="AI863" t="s">
        <v>2000</v>
      </c>
      <c r="AJ863" s="1">
        <v>42576</v>
      </c>
      <c r="AK863">
        <v>17.7</v>
      </c>
      <c r="AL863" s="2">
        <v>0.02</v>
      </c>
      <c r="AM863" s="3">
        <v>2.0770833333333334</v>
      </c>
      <c r="AN863" t="s">
        <v>2213</v>
      </c>
      <c r="AO863" t="s">
        <v>2215</v>
      </c>
      <c r="AP863" t="b">
        <v>0</v>
      </c>
      <c r="AQ863" t="b">
        <v>0</v>
      </c>
      <c r="AR863" t="b">
        <v>0</v>
      </c>
    </row>
    <row r="864" spans="1:44" x14ac:dyDescent="0.3">
      <c r="A864" t="s">
        <v>1621</v>
      </c>
      <c r="B864" t="s">
        <v>1621</v>
      </c>
      <c r="C864" t="s">
        <v>3364</v>
      </c>
      <c r="D864" t="s">
        <v>1999</v>
      </c>
      <c r="E864" t="s">
        <v>2000</v>
      </c>
      <c r="F864" t="s">
        <v>77</v>
      </c>
      <c r="G864">
        <v>7.4</v>
      </c>
      <c r="H864">
        <v>2.8</v>
      </c>
      <c r="I864">
        <v>6.3</v>
      </c>
      <c r="J864">
        <v>5.3</v>
      </c>
      <c r="K864">
        <v>1.3</v>
      </c>
      <c r="L864">
        <v>1.2</v>
      </c>
      <c r="M864">
        <v>43.4</v>
      </c>
      <c r="N864">
        <v>3.7</v>
      </c>
      <c r="O864">
        <v>2</v>
      </c>
      <c r="P864" t="s">
        <v>1615</v>
      </c>
      <c r="Q864" t="s">
        <v>621</v>
      </c>
      <c r="R864" t="s">
        <v>3364</v>
      </c>
      <c r="S864" t="s">
        <v>622</v>
      </c>
      <c r="T864">
        <v>12680</v>
      </c>
      <c r="U864">
        <v>24.2</v>
      </c>
      <c r="V864">
        <v>1068</v>
      </c>
      <c r="W864">
        <v>16.600000000000001</v>
      </c>
      <c r="X864">
        <v>1000</v>
      </c>
      <c r="Y864">
        <v>24.6</v>
      </c>
      <c r="Z864">
        <v>1571</v>
      </c>
      <c r="AA864">
        <v>44.5</v>
      </c>
      <c r="AB864">
        <v>902</v>
      </c>
      <c r="AC864">
        <v>27.2</v>
      </c>
      <c r="AD864">
        <v>1607</v>
      </c>
      <c r="AE864" t="s">
        <v>57</v>
      </c>
      <c r="AF864">
        <v>0</v>
      </c>
      <c r="AG864" t="s">
        <v>3365</v>
      </c>
      <c r="AH864">
        <v>131288</v>
      </c>
      <c r="AI864" t="s">
        <v>2000</v>
      </c>
      <c r="AJ864" s="1">
        <v>40899</v>
      </c>
      <c r="AK864">
        <v>19.8</v>
      </c>
      <c r="AL864" s="2">
        <v>0.01</v>
      </c>
      <c r="AM864" s="3">
        <v>1.8722222222222222</v>
      </c>
      <c r="AN864" t="s">
        <v>3364</v>
      </c>
      <c r="AO864" t="s">
        <v>3366</v>
      </c>
      <c r="AP864" t="b">
        <v>0</v>
      </c>
      <c r="AQ864" t="b">
        <v>0</v>
      </c>
      <c r="AR864" t="b">
        <v>0</v>
      </c>
    </row>
    <row r="865" spans="1:45" x14ac:dyDescent="0.3">
      <c r="A865" t="s">
        <v>1621</v>
      </c>
      <c r="B865" t="s">
        <v>2357</v>
      </c>
      <c r="C865" t="s">
        <v>3367</v>
      </c>
      <c r="D865" t="s">
        <v>1999</v>
      </c>
      <c r="E865" t="s">
        <v>2000</v>
      </c>
      <c r="F865" t="s">
        <v>77</v>
      </c>
      <c r="G865">
        <v>5.2</v>
      </c>
      <c r="H865">
        <v>1.2</v>
      </c>
      <c r="I865">
        <v>9.5</v>
      </c>
      <c r="J865">
        <v>3.4</v>
      </c>
      <c r="M865">
        <v>45</v>
      </c>
      <c r="N865">
        <v>1.3</v>
      </c>
      <c r="O865">
        <v>1.4</v>
      </c>
      <c r="P865" t="s">
        <v>1615</v>
      </c>
      <c r="Q865" t="s">
        <v>696</v>
      </c>
      <c r="R865" t="s">
        <v>2001</v>
      </c>
      <c r="S865" t="s">
        <v>697</v>
      </c>
      <c r="T865">
        <v>6540</v>
      </c>
      <c r="U865">
        <v>36.4</v>
      </c>
      <c r="V865">
        <v>415</v>
      </c>
      <c r="W865">
        <v>22.5</v>
      </c>
      <c r="X865">
        <v>707</v>
      </c>
      <c r="Y865">
        <v>54.1</v>
      </c>
      <c r="Z865">
        <v>912</v>
      </c>
      <c r="AA865">
        <v>52.9</v>
      </c>
      <c r="AB865">
        <v>753</v>
      </c>
      <c r="AC865">
        <v>34.1</v>
      </c>
      <c r="AD865">
        <v>1350</v>
      </c>
      <c r="AE865" t="s">
        <v>57</v>
      </c>
      <c r="AF865">
        <v>0</v>
      </c>
      <c r="AG865" t="s">
        <v>2002</v>
      </c>
      <c r="AH865">
        <v>131512</v>
      </c>
      <c r="AI865" t="s">
        <v>2000</v>
      </c>
      <c r="AJ865" s="1">
        <v>45760</v>
      </c>
      <c r="AK865">
        <v>16.5</v>
      </c>
      <c r="AL865" s="2">
        <v>0.01</v>
      </c>
      <c r="AM865" s="3">
        <v>2.1590277777777778</v>
      </c>
      <c r="AN865" t="s">
        <v>2001</v>
      </c>
      <c r="AO865" t="s">
        <v>2003</v>
      </c>
      <c r="AP865" t="b">
        <v>0</v>
      </c>
      <c r="AQ865" t="b">
        <v>0</v>
      </c>
      <c r="AR865" t="b">
        <v>0</v>
      </c>
    </row>
    <row r="866" spans="1:45" x14ac:dyDescent="0.3">
      <c r="A866" t="s">
        <v>1621</v>
      </c>
      <c r="B866" t="s">
        <v>1621</v>
      </c>
      <c r="C866" t="s">
        <v>3368</v>
      </c>
      <c r="D866" t="s">
        <v>878</v>
      </c>
      <c r="E866" t="s">
        <v>879</v>
      </c>
      <c r="F866" t="s">
        <v>56</v>
      </c>
      <c r="G866">
        <v>6.6</v>
      </c>
      <c r="H866">
        <v>2.8</v>
      </c>
      <c r="I866">
        <v>3.2</v>
      </c>
      <c r="J866">
        <v>1.4</v>
      </c>
      <c r="K866">
        <v>57.9</v>
      </c>
      <c r="L866">
        <v>1.9</v>
      </c>
      <c r="M866">
        <v>7.9</v>
      </c>
      <c r="N866">
        <v>2.2999999999999998</v>
      </c>
      <c r="O866">
        <v>1.2</v>
      </c>
      <c r="P866" t="s">
        <v>1615</v>
      </c>
      <c r="Q866" t="s">
        <v>1475</v>
      </c>
      <c r="R866" t="s">
        <v>3368</v>
      </c>
      <c r="T866">
        <v>1000471</v>
      </c>
      <c r="V866">
        <v>0</v>
      </c>
      <c r="X866">
        <v>0</v>
      </c>
      <c r="Z866">
        <v>0</v>
      </c>
      <c r="AB866">
        <v>0</v>
      </c>
      <c r="AD866">
        <v>0</v>
      </c>
      <c r="AE866" t="s">
        <v>57</v>
      </c>
      <c r="AF866">
        <v>0</v>
      </c>
      <c r="AG866" t="s">
        <v>3369</v>
      </c>
      <c r="AH866">
        <v>701563</v>
      </c>
      <c r="AI866" t="s">
        <v>879</v>
      </c>
      <c r="AJ866" s="1">
        <v>21043</v>
      </c>
      <c r="AK866">
        <v>29.4</v>
      </c>
      <c r="AL866" s="2">
        <v>0.01</v>
      </c>
      <c r="AM866" s="3">
        <v>2.0770833333333334</v>
      </c>
      <c r="AN866" t="s">
        <v>3368</v>
      </c>
      <c r="AO866" t="s">
        <v>3370</v>
      </c>
      <c r="AP866" t="b">
        <v>0</v>
      </c>
      <c r="AQ866" t="b">
        <v>0</v>
      </c>
      <c r="AR866" t="b">
        <v>0</v>
      </c>
    </row>
    <row r="867" spans="1:45" x14ac:dyDescent="0.3">
      <c r="A867" t="s">
        <v>1621</v>
      </c>
      <c r="B867" t="s">
        <v>1621</v>
      </c>
      <c r="C867" t="s">
        <v>3371</v>
      </c>
      <c r="D867" t="s">
        <v>878</v>
      </c>
      <c r="E867" t="s">
        <v>879</v>
      </c>
      <c r="F867" t="s">
        <v>77</v>
      </c>
      <c r="G867">
        <v>10.9</v>
      </c>
      <c r="H867">
        <v>4.0999999999999996</v>
      </c>
      <c r="I867">
        <v>12</v>
      </c>
      <c r="J867">
        <v>1.4</v>
      </c>
      <c r="K867">
        <v>13.2</v>
      </c>
      <c r="L867">
        <v>1.6</v>
      </c>
      <c r="M867">
        <v>13.1</v>
      </c>
      <c r="N867">
        <v>2.2999999999999998</v>
      </c>
      <c r="O867">
        <v>3.3</v>
      </c>
      <c r="P867" t="s">
        <v>1615</v>
      </c>
      <c r="Q867" t="s">
        <v>1068</v>
      </c>
      <c r="R867" t="s">
        <v>3371</v>
      </c>
      <c r="S867" t="s">
        <v>1070</v>
      </c>
      <c r="T867">
        <v>17930</v>
      </c>
      <c r="U867">
        <v>19.8</v>
      </c>
      <c r="V867">
        <v>1391</v>
      </c>
      <c r="W867">
        <v>12.1</v>
      </c>
      <c r="X867">
        <v>1401</v>
      </c>
      <c r="Y867">
        <v>33</v>
      </c>
      <c r="Z867">
        <v>1375</v>
      </c>
      <c r="AA867">
        <v>16.3</v>
      </c>
      <c r="AB867">
        <v>1829</v>
      </c>
      <c r="AC867">
        <v>23.9</v>
      </c>
      <c r="AD867">
        <v>1745</v>
      </c>
      <c r="AE867" t="s">
        <v>57</v>
      </c>
      <c r="AF867">
        <v>0</v>
      </c>
      <c r="AG867" t="s">
        <v>3372</v>
      </c>
      <c r="AH867">
        <v>691819</v>
      </c>
      <c r="AI867" t="s">
        <v>879</v>
      </c>
      <c r="AJ867" s="1">
        <v>32713</v>
      </c>
      <c r="AK867">
        <v>18.5</v>
      </c>
      <c r="AL867" s="2">
        <v>0.01</v>
      </c>
      <c r="AM867" s="3">
        <v>2.5687500000000001</v>
      </c>
      <c r="AN867" t="s">
        <v>3371</v>
      </c>
      <c r="AO867" t="s">
        <v>3373</v>
      </c>
      <c r="AP867" t="b">
        <v>0</v>
      </c>
      <c r="AQ867" t="b">
        <v>0</v>
      </c>
      <c r="AR867" t="b">
        <v>0</v>
      </c>
    </row>
    <row r="868" spans="1:45" x14ac:dyDescent="0.3">
      <c r="A868" t="s">
        <v>1621</v>
      </c>
      <c r="B868" t="s">
        <v>1621</v>
      </c>
      <c r="C868" t="s">
        <v>3374</v>
      </c>
      <c r="D868" t="s">
        <v>878</v>
      </c>
      <c r="E868" t="s">
        <v>879</v>
      </c>
      <c r="F868" t="s">
        <v>77</v>
      </c>
      <c r="G868">
        <v>8.8000000000000007</v>
      </c>
      <c r="H868">
        <v>8</v>
      </c>
      <c r="I868">
        <v>24.9</v>
      </c>
      <c r="J868">
        <v>1.3</v>
      </c>
      <c r="K868">
        <v>12.6</v>
      </c>
      <c r="L868">
        <v>2.5</v>
      </c>
      <c r="M868">
        <v>18.3</v>
      </c>
      <c r="N868">
        <v>5.5</v>
      </c>
      <c r="O868">
        <v>4.5999999999999996</v>
      </c>
      <c r="P868" t="s">
        <v>1615</v>
      </c>
      <c r="Q868" t="s">
        <v>1068</v>
      </c>
      <c r="R868" t="s">
        <v>3374</v>
      </c>
      <c r="S868" t="s">
        <v>1070</v>
      </c>
      <c r="T868">
        <v>18610</v>
      </c>
      <c r="U868">
        <v>16.5</v>
      </c>
      <c r="V868">
        <v>1663</v>
      </c>
      <c r="W868">
        <v>10.5</v>
      </c>
      <c r="X868">
        <v>1593</v>
      </c>
      <c r="Y868">
        <v>26.6</v>
      </c>
      <c r="Z868">
        <v>1524</v>
      </c>
      <c r="AA868">
        <v>17.100000000000001</v>
      </c>
      <c r="AB868">
        <v>1749</v>
      </c>
      <c r="AC868">
        <v>27.6</v>
      </c>
      <c r="AD868">
        <v>1598</v>
      </c>
      <c r="AE868" t="s">
        <v>57</v>
      </c>
      <c r="AF868">
        <v>0</v>
      </c>
      <c r="AG868" t="s">
        <v>3375</v>
      </c>
      <c r="AH868">
        <v>704789</v>
      </c>
      <c r="AI868" t="s">
        <v>879</v>
      </c>
      <c r="AJ868" s="1">
        <v>35761</v>
      </c>
      <c r="AK868">
        <v>19.2</v>
      </c>
      <c r="AL868" s="2">
        <v>0.02</v>
      </c>
      <c r="AM868" s="3">
        <v>2.2819444444444446</v>
      </c>
      <c r="AN868" t="s">
        <v>3374</v>
      </c>
      <c r="AO868" t="s">
        <v>3376</v>
      </c>
      <c r="AP868" t="b">
        <v>0</v>
      </c>
      <c r="AQ868" t="b">
        <v>0</v>
      </c>
      <c r="AR868" t="b">
        <v>0</v>
      </c>
    </row>
    <row r="869" spans="1:45" x14ac:dyDescent="0.3">
      <c r="A869" t="s">
        <v>1621</v>
      </c>
      <c r="B869" t="s">
        <v>2369</v>
      </c>
      <c r="C869" t="s">
        <v>3377</v>
      </c>
      <c r="D869" t="s">
        <v>541</v>
      </c>
      <c r="E869" t="s">
        <v>542</v>
      </c>
      <c r="F869" t="s">
        <v>47</v>
      </c>
      <c r="G869">
        <v>7.8</v>
      </c>
      <c r="H869">
        <v>5.0999999999999996</v>
      </c>
      <c r="I869">
        <v>19.2</v>
      </c>
      <c r="J869">
        <v>6.7</v>
      </c>
      <c r="K869">
        <v>1.8</v>
      </c>
      <c r="L869">
        <v>3.5</v>
      </c>
      <c r="M869">
        <v>31.1</v>
      </c>
      <c r="N869">
        <v>3.9</v>
      </c>
      <c r="O869">
        <v>2.8</v>
      </c>
      <c r="P869" t="s">
        <v>1615</v>
      </c>
      <c r="Q869" t="s">
        <v>621</v>
      </c>
      <c r="R869" t="s">
        <v>3377</v>
      </c>
      <c r="S869" t="s">
        <v>622</v>
      </c>
      <c r="T869">
        <v>13410</v>
      </c>
      <c r="U869">
        <v>21.6</v>
      </c>
      <c r="V869">
        <v>1258</v>
      </c>
      <c r="W869">
        <v>12.5</v>
      </c>
      <c r="X869">
        <v>1359</v>
      </c>
      <c r="Y869">
        <v>46</v>
      </c>
      <c r="Z869">
        <v>1097</v>
      </c>
      <c r="AA869">
        <v>26</v>
      </c>
      <c r="AB869">
        <v>1300</v>
      </c>
      <c r="AC869">
        <v>33.299999999999997</v>
      </c>
      <c r="AD869">
        <v>1379</v>
      </c>
      <c r="AE869" t="s">
        <v>57</v>
      </c>
      <c r="AF869">
        <v>0</v>
      </c>
      <c r="AG869" t="s">
        <v>3378</v>
      </c>
      <c r="AH869">
        <v>625665</v>
      </c>
      <c r="AI869" t="s">
        <v>542</v>
      </c>
      <c r="AJ869" s="1">
        <v>10836</v>
      </c>
      <c r="AK869">
        <v>13.6</v>
      </c>
      <c r="AL869" s="2">
        <v>0.03</v>
      </c>
      <c r="AM869" s="3">
        <v>1.9951388888888888</v>
      </c>
      <c r="AN869" t="s">
        <v>3377</v>
      </c>
      <c r="AO869" t="s">
        <v>3379</v>
      </c>
      <c r="AP869" t="b">
        <v>0</v>
      </c>
      <c r="AQ869" t="b">
        <v>0</v>
      </c>
      <c r="AR869" t="b">
        <v>0</v>
      </c>
    </row>
    <row r="870" spans="1:45" x14ac:dyDescent="0.3">
      <c r="A870" t="s">
        <v>1621</v>
      </c>
      <c r="B870" t="s">
        <v>1621</v>
      </c>
      <c r="C870" t="s">
        <v>3380</v>
      </c>
      <c r="D870" t="s">
        <v>541</v>
      </c>
      <c r="E870" t="s">
        <v>542</v>
      </c>
      <c r="F870" t="s">
        <v>47</v>
      </c>
      <c r="G870">
        <v>6.3</v>
      </c>
      <c r="H870">
        <v>5.7</v>
      </c>
      <c r="I870">
        <v>10.6</v>
      </c>
      <c r="J870">
        <v>5.8</v>
      </c>
      <c r="K870">
        <v>3.9</v>
      </c>
      <c r="L870">
        <v>4.8</v>
      </c>
      <c r="M870">
        <v>18.899999999999999</v>
      </c>
      <c r="N870">
        <v>3.9</v>
      </c>
      <c r="O870">
        <v>2.5</v>
      </c>
      <c r="P870" t="s">
        <v>1615</v>
      </c>
      <c r="Q870" t="s">
        <v>621</v>
      </c>
      <c r="R870" t="s">
        <v>3380</v>
      </c>
      <c r="S870" t="s">
        <v>622</v>
      </c>
      <c r="T870">
        <v>14550</v>
      </c>
      <c r="U870">
        <v>20.100000000000001</v>
      </c>
      <c r="V870">
        <v>1369</v>
      </c>
      <c r="W870">
        <v>11.4</v>
      </c>
      <c r="X870">
        <v>1482</v>
      </c>
      <c r="Y870">
        <v>32.6</v>
      </c>
      <c r="Z870">
        <v>1389</v>
      </c>
      <c r="AA870">
        <v>19.600000000000001</v>
      </c>
      <c r="AB870">
        <v>1555</v>
      </c>
      <c r="AC870">
        <v>44.2</v>
      </c>
      <c r="AD870">
        <v>984</v>
      </c>
      <c r="AE870" t="s">
        <v>57</v>
      </c>
      <c r="AF870">
        <v>0</v>
      </c>
      <c r="AG870" t="s">
        <v>3381</v>
      </c>
      <c r="AH870">
        <v>693271</v>
      </c>
      <c r="AI870" t="s">
        <v>542</v>
      </c>
      <c r="AJ870" s="1">
        <v>11730</v>
      </c>
      <c r="AK870">
        <v>16.100000000000001</v>
      </c>
      <c r="AL870" s="2">
        <v>0.06</v>
      </c>
      <c r="AM870" t="s">
        <v>1244</v>
      </c>
      <c r="AN870" t="s">
        <v>3380</v>
      </c>
      <c r="AO870" t="s">
        <v>3382</v>
      </c>
      <c r="AP870" t="b">
        <v>0</v>
      </c>
      <c r="AQ870" t="b">
        <v>0</v>
      </c>
      <c r="AR870" t="b">
        <v>0</v>
      </c>
    </row>
    <row r="871" spans="1:45" x14ac:dyDescent="0.3">
      <c r="A871" t="s">
        <v>1621</v>
      </c>
      <c r="B871" t="s">
        <v>1621</v>
      </c>
      <c r="C871" t="s">
        <v>3383</v>
      </c>
      <c r="D871" t="s">
        <v>2339</v>
      </c>
      <c r="E871" t="s">
        <v>2340</v>
      </c>
      <c r="F871" t="s">
        <v>56</v>
      </c>
      <c r="G871">
        <v>4.5999999999999996</v>
      </c>
      <c r="H871">
        <v>9.8000000000000007</v>
      </c>
      <c r="I871">
        <v>14.5</v>
      </c>
      <c r="J871">
        <v>2</v>
      </c>
      <c r="K871">
        <v>1.1000000000000001</v>
      </c>
      <c r="L871">
        <v>1</v>
      </c>
      <c r="M871">
        <v>29.9</v>
      </c>
      <c r="N871">
        <v>4.3</v>
      </c>
      <c r="O871">
        <v>1.2</v>
      </c>
      <c r="P871" t="s">
        <v>1615</v>
      </c>
      <c r="Q871" t="s">
        <v>621</v>
      </c>
      <c r="R871" t="s">
        <v>3383</v>
      </c>
      <c r="S871" t="s">
        <v>622</v>
      </c>
      <c r="T871">
        <v>12220</v>
      </c>
      <c r="U871">
        <v>21.4</v>
      </c>
      <c r="V871">
        <v>1274</v>
      </c>
      <c r="W871">
        <v>8.1999999999999993</v>
      </c>
      <c r="X871">
        <v>1866</v>
      </c>
      <c r="Y871">
        <v>47.3</v>
      </c>
      <c r="Z871">
        <v>1072</v>
      </c>
      <c r="AA871">
        <v>30.3</v>
      </c>
      <c r="AB871">
        <v>1173</v>
      </c>
      <c r="AC871">
        <v>21.4</v>
      </c>
      <c r="AD871">
        <v>1826</v>
      </c>
      <c r="AE871" t="s">
        <v>57</v>
      </c>
      <c r="AF871">
        <v>0</v>
      </c>
      <c r="AG871" t="s">
        <v>3384</v>
      </c>
      <c r="AH871">
        <v>131722</v>
      </c>
      <c r="AI871" t="s">
        <v>2340</v>
      </c>
      <c r="AJ871" s="1">
        <v>30973</v>
      </c>
      <c r="AK871">
        <v>14.9</v>
      </c>
      <c r="AL871" s="2">
        <v>0</v>
      </c>
      <c r="AM871" s="3">
        <v>2.4868055555555557</v>
      </c>
      <c r="AN871" t="s">
        <v>3383</v>
      </c>
      <c r="AO871" t="s">
        <v>3385</v>
      </c>
      <c r="AP871" t="b">
        <v>0</v>
      </c>
      <c r="AQ871" t="b">
        <v>0</v>
      </c>
      <c r="AR871" t="b">
        <v>0</v>
      </c>
    </row>
    <row r="872" spans="1:45" x14ac:dyDescent="0.3">
      <c r="A872" t="s">
        <v>1621</v>
      </c>
      <c r="B872" t="s">
        <v>1621</v>
      </c>
      <c r="C872" t="s">
        <v>3386</v>
      </c>
      <c r="D872" t="s">
        <v>2339</v>
      </c>
      <c r="E872" t="s">
        <v>2340</v>
      </c>
      <c r="F872" t="s">
        <v>77</v>
      </c>
      <c r="G872">
        <v>5.5</v>
      </c>
      <c r="H872">
        <v>9.3000000000000007</v>
      </c>
      <c r="I872">
        <v>18.399999999999999</v>
      </c>
      <c r="J872">
        <v>1.4</v>
      </c>
      <c r="K872">
        <v>1.3</v>
      </c>
      <c r="L872">
        <v>1.1000000000000001</v>
      </c>
      <c r="M872">
        <v>33.700000000000003</v>
      </c>
      <c r="N872">
        <v>10</v>
      </c>
      <c r="O872">
        <v>1</v>
      </c>
      <c r="P872" t="s">
        <v>1615</v>
      </c>
      <c r="Q872" t="s">
        <v>1068</v>
      </c>
      <c r="R872" t="s">
        <v>3386</v>
      </c>
      <c r="S872" t="s">
        <v>1070</v>
      </c>
      <c r="T872">
        <v>15460</v>
      </c>
      <c r="U872">
        <v>23.4</v>
      </c>
      <c r="V872">
        <v>1117</v>
      </c>
      <c r="W872">
        <v>7.8</v>
      </c>
      <c r="X872">
        <v>1888</v>
      </c>
      <c r="Y872">
        <v>14.6</v>
      </c>
      <c r="Z872">
        <v>1773</v>
      </c>
      <c r="AA872">
        <v>16.2</v>
      </c>
      <c r="AB872">
        <v>1834</v>
      </c>
      <c r="AC872">
        <v>26.1</v>
      </c>
      <c r="AD872">
        <v>1659</v>
      </c>
      <c r="AE872" t="s">
        <v>57</v>
      </c>
      <c r="AF872">
        <v>0</v>
      </c>
      <c r="AG872" t="s">
        <v>3387</v>
      </c>
      <c r="AH872">
        <v>673359</v>
      </c>
      <c r="AI872" t="s">
        <v>2340</v>
      </c>
      <c r="AJ872" s="1">
        <v>42848</v>
      </c>
      <c r="AK872">
        <v>11.7</v>
      </c>
      <c r="AL872" s="2">
        <v>0</v>
      </c>
      <c r="AM872" s="3">
        <v>2.3229166666666665</v>
      </c>
      <c r="AN872" t="s">
        <v>3386</v>
      </c>
      <c r="AO872" t="s">
        <v>3388</v>
      </c>
      <c r="AP872" t="b">
        <v>0</v>
      </c>
      <c r="AQ872" t="b">
        <v>0</v>
      </c>
      <c r="AR872" t="b">
        <v>0</v>
      </c>
    </row>
    <row r="873" spans="1:45" x14ac:dyDescent="0.3">
      <c r="A873" t="s">
        <v>1621</v>
      </c>
      <c r="B873" t="s">
        <v>2357</v>
      </c>
      <c r="C873" t="s">
        <v>3389</v>
      </c>
      <c r="D873" t="s">
        <v>2103</v>
      </c>
      <c r="E873" t="s">
        <v>2104</v>
      </c>
      <c r="F873" t="s">
        <v>56</v>
      </c>
      <c r="G873">
        <v>3.9</v>
      </c>
      <c r="H873">
        <v>3</v>
      </c>
      <c r="I873">
        <v>8.5</v>
      </c>
      <c r="J873">
        <v>3.7</v>
      </c>
      <c r="K873">
        <v>1</v>
      </c>
      <c r="L873">
        <v>1.1000000000000001</v>
      </c>
      <c r="M873">
        <v>44.1</v>
      </c>
      <c r="N873">
        <v>9.3000000000000007</v>
      </c>
      <c r="O873">
        <v>1</v>
      </c>
      <c r="P873" t="s">
        <v>1615</v>
      </c>
      <c r="Q873" t="s">
        <v>733</v>
      </c>
      <c r="R873" t="s">
        <v>3389</v>
      </c>
      <c r="S873" t="s">
        <v>735</v>
      </c>
      <c r="T873">
        <v>10940</v>
      </c>
      <c r="U873">
        <v>23.8</v>
      </c>
      <c r="V873">
        <v>1092</v>
      </c>
      <c r="W873">
        <v>10.7</v>
      </c>
      <c r="X873">
        <v>1560</v>
      </c>
      <c r="Y873">
        <v>60</v>
      </c>
      <c r="Z873">
        <v>778</v>
      </c>
      <c r="AA873">
        <v>21.2</v>
      </c>
      <c r="AB873">
        <v>1475</v>
      </c>
      <c r="AC873">
        <v>31.8</v>
      </c>
      <c r="AD873">
        <v>1432</v>
      </c>
      <c r="AE873" t="s">
        <v>57</v>
      </c>
      <c r="AF873">
        <v>0</v>
      </c>
      <c r="AG873" t="s">
        <v>3390</v>
      </c>
      <c r="AH873">
        <v>709445</v>
      </c>
      <c r="AI873" t="s">
        <v>2104</v>
      </c>
      <c r="AJ873" s="1">
        <v>16543</v>
      </c>
      <c r="AK873">
        <v>13.7</v>
      </c>
      <c r="AL873" s="2">
        <v>0.01</v>
      </c>
      <c r="AM873" s="3">
        <v>2.6506944444444445</v>
      </c>
      <c r="AN873" t="s">
        <v>3389</v>
      </c>
      <c r="AO873" t="s">
        <v>3391</v>
      </c>
      <c r="AP873" t="b">
        <v>0</v>
      </c>
      <c r="AQ873" t="b">
        <v>0</v>
      </c>
      <c r="AR873" t="b">
        <v>0</v>
      </c>
    </row>
    <row r="874" spans="1:45" x14ac:dyDescent="0.3">
      <c r="A874" t="s">
        <v>1621</v>
      </c>
      <c r="B874" t="s">
        <v>1621</v>
      </c>
      <c r="C874" t="s">
        <v>3392</v>
      </c>
      <c r="D874" t="s">
        <v>2339</v>
      </c>
      <c r="E874" t="s">
        <v>2340</v>
      </c>
      <c r="F874" t="s">
        <v>56</v>
      </c>
      <c r="G874">
        <v>4.4000000000000004</v>
      </c>
      <c r="H874">
        <v>12.8</v>
      </c>
      <c r="I874">
        <v>29</v>
      </c>
      <c r="J874">
        <v>1.4</v>
      </c>
      <c r="K874">
        <v>4.4000000000000004</v>
      </c>
      <c r="L874">
        <v>1.1000000000000001</v>
      </c>
      <c r="M874">
        <v>16.399999999999999</v>
      </c>
      <c r="N874">
        <v>4.2</v>
      </c>
      <c r="O874">
        <v>1</v>
      </c>
      <c r="P874" t="s">
        <v>1615</v>
      </c>
      <c r="Q874" t="s">
        <v>1068</v>
      </c>
      <c r="R874" t="s">
        <v>3392</v>
      </c>
      <c r="S874" t="s">
        <v>1070</v>
      </c>
      <c r="T874">
        <v>16940</v>
      </c>
      <c r="U874">
        <v>20</v>
      </c>
      <c r="V874">
        <v>1375</v>
      </c>
      <c r="W874">
        <v>8.6999999999999993</v>
      </c>
      <c r="X874">
        <v>1829</v>
      </c>
      <c r="Y874">
        <v>18</v>
      </c>
      <c r="Z874">
        <v>1715</v>
      </c>
      <c r="AA874">
        <v>16.7</v>
      </c>
      <c r="AB874">
        <v>1785</v>
      </c>
      <c r="AC874">
        <v>29.5</v>
      </c>
      <c r="AD874">
        <v>1519</v>
      </c>
      <c r="AE874" t="s">
        <v>57</v>
      </c>
      <c r="AF874">
        <v>0</v>
      </c>
      <c r="AG874" t="s">
        <v>3393</v>
      </c>
      <c r="AH874">
        <v>131515</v>
      </c>
      <c r="AI874" t="s">
        <v>2340</v>
      </c>
      <c r="AJ874" s="1">
        <v>28175</v>
      </c>
      <c r="AK874">
        <v>12.3</v>
      </c>
      <c r="AL874" s="2">
        <v>0</v>
      </c>
      <c r="AM874" s="3">
        <v>2.7326388888888888</v>
      </c>
      <c r="AN874" t="s">
        <v>3392</v>
      </c>
      <c r="AO874" t="s">
        <v>3394</v>
      </c>
      <c r="AP874" t="b">
        <v>0</v>
      </c>
      <c r="AQ874" t="b">
        <v>0</v>
      </c>
      <c r="AR874" t="b">
        <v>0</v>
      </c>
    </row>
    <row r="875" spans="1:45" x14ac:dyDescent="0.3">
      <c r="A875" t="s">
        <v>1621</v>
      </c>
      <c r="B875" t="s">
        <v>1621</v>
      </c>
      <c r="C875" t="s">
        <v>3395</v>
      </c>
      <c r="D875" t="s">
        <v>45</v>
      </c>
      <c r="E875" t="s">
        <v>46</v>
      </c>
      <c r="F875" t="s">
        <v>56</v>
      </c>
      <c r="G875">
        <v>3.1</v>
      </c>
      <c r="H875">
        <v>2.5</v>
      </c>
      <c r="I875">
        <v>12.1</v>
      </c>
      <c r="J875">
        <v>8</v>
      </c>
      <c r="K875">
        <v>2.2000000000000002</v>
      </c>
      <c r="L875">
        <v>8.3000000000000007</v>
      </c>
      <c r="M875">
        <v>39.4</v>
      </c>
      <c r="N875">
        <v>7.6</v>
      </c>
      <c r="O875">
        <v>2.1</v>
      </c>
      <c r="P875" t="s">
        <v>1615</v>
      </c>
      <c r="Q875" t="s">
        <v>679</v>
      </c>
      <c r="R875" t="s">
        <v>3395</v>
      </c>
      <c r="S875" t="s">
        <v>680</v>
      </c>
      <c r="T875">
        <v>9240</v>
      </c>
      <c r="U875">
        <v>27.5</v>
      </c>
      <c r="V875">
        <v>845</v>
      </c>
      <c r="W875">
        <v>19</v>
      </c>
      <c r="X875">
        <v>863</v>
      </c>
      <c r="Y875">
        <v>55</v>
      </c>
      <c r="Z875">
        <v>887</v>
      </c>
      <c r="AA875">
        <v>63</v>
      </c>
      <c r="AB875">
        <v>589</v>
      </c>
      <c r="AC875">
        <v>35</v>
      </c>
      <c r="AD875">
        <v>1317</v>
      </c>
      <c r="AE875" t="s">
        <v>208</v>
      </c>
      <c r="AF875">
        <v>0</v>
      </c>
      <c r="AG875" t="s">
        <v>3396</v>
      </c>
      <c r="AH875">
        <v>594551</v>
      </c>
      <c r="AI875" t="s">
        <v>46</v>
      </c>
      <c r="AJ875" s="1">
        <v>16549</v>
      </c>
      <c r="AK875">
        <v>14.9</v>
      </c>
      <c r="AL875" s="2">
        <v>0.05</v>
      </c>
      <c r="AM875" s="3">
        <v>2.6097222222222221</v>
      </c>
      <c r="AN875" t="s">
        <v>3395</v>
      </c>
      <c r="AO875" t="s">
        <v>3397</v>
      </c>
      <c r="AP875" t="b">
        <v>0</v>
      </c>
      <c r="AQ875" t="b">
        <v>0</v>
      </c>
      <c r="AR875" t="b">
        <v>0</v>
      </c>
      <c r="AS875" t="s">
        <v>3398</v>
      </c>
    </row>
    <row r="876" spans="1:45" x14ac:dyDescent="0.3">
      <c r="A876" t="s">
        <v>1621</v>
      </c>
      <c r="B876" t="s">
        <v>1621</v>
      </c>
      <c r="C876" t="s">
        <v>3399</v>
      </c>
      <c r="D876" t="s">
        <v>1678</v>
      </c>
      <c r="E876" t="s">
        <v>1679</v>
      </c>
      <c r="F876" t="s">
        <v>47</v>
      </c>
      <c r="G876">
        <v>6.6</v>
      </c>
      <c r="H876">
        <v>5.7</v>
      </c>
      <c r="I876">
        <v>18.600000000000001</v>
      </c>
      <c r="J876">
        <v>2.4</v>
      </c>
      <c r="K876">
        <v>3.1</v>
      </c>
      <c r="L876">
        <v>3.8</v>
      </c>
      <c r="M876">
        <v>19.2</v>
      </c>
      <c r="N876">
        <v>13</v>
      </c>
      <c r="O876">
        <v>1</v>
      </c>
      <c r="P876" t="s">
        <v>1615</v>
      </c>
      <c r="Q876" t="s">
        <v>1068</v>
      </c>
      <c r="R876" t="s">
        <v>3400</v>
      </c>
      <c r="S876" t="s">
        <v>1070</v>
      </c>
      <c r="T876">
        <v>17270</v>
      </c>
      <c r="U876">
        <v>25.6</v>
      </c>
      <c r="V876">
        <v>967</v>
      </c>
      <c r="W876">
        <v>13.4</v>
      </c>
      <c r="X876">
        <v>1269</v>
      </c>
      <c r="Y876">
        <v>16.100000000000001</v>
      </c>
      <c r="Z876">
        <v>1742</v>
      </c>
      <c r="AA876">
        <v>21.7</v>
      </c>
      <c r="AB876">
        <v>1454</v>
      </c>
      <c r="AC876">
        <v>31.7</v>
      </c>
      <c r="AD876">
        <v>1439</v>
      </c>
      <c r="AE876" t="s">
        <v>57</v>
      </c>
      <c r="AF876">
        <v>0</v>
      </c>
      <c r="AG876" t="s">
        <v>3401</v>
      </c>
      <c r="AH876">
        <v>662317</v>
      </c>
      <c r="AI876" t="s">
        <v>1679</v>
      </c>
      <c r="AJ876" s="1">
        <v>7808</v>
      </c>
      <c r="AK876">
        <v>14.9</v>
      </c>
      <c r="AL876" s="2">
        <v>0.05</v>
      </c>
      <c r="AM876" s="3">
        <v>2.036111111111111</v>
      </c>
      <c r="AN876" t="s">
        <v>3400</v>
      </c>
      <c r="AO876" t="s">
        <v>3402</v>
      </c>
      <c r="AP876" t="b">
        <v>0</v>
      </c>
      <c r="AQ876" t="b">
        <v>0</v>
      </c>
      <c r="AR876" t="b">
        <v>0</v>
      </c>
    </row>
    <row r="877" spans="1:45" x14ac:dyDescent="0.3">
      <c r="A877" t="s">
        <v>1621</v>
      </c>
      <c r="B877" t="s">
        <v>1621</v>
      </c>
      <c r="C877" t="s">
        <v>3403</v>
      </c>
      <c r="D877" t="s">
        <v>849</v>
      </c>
      <c r="E877" t="s">
        <v>850</v>
      </c>
      <c r="F877" t="s">
        <v>47</v>
      </c>
      <c r="G877">
        <v>6.3</v>
      </c>
      <c r="H877">
        <v>1.1000000000000001</v>
      </c>
      <c r="I877">
        <v>15.6</v>
      </c>
      <c r="J877">
        <v>3.6</v>
      </c>
      <c r="K877">
        <v>27.7</v>
      </c>
      <c r="L877">
        <v>16.600000000000001</v>
      </c>
      <c r="M877">
        <v>27</v>
      </c>
      <c r="N877">
        <v>2.9</v>
      </c>
      <c r="O877">
        <v>1</v>
      </c>
      <c r="P877" t="s">
        <v>1615</v>
      </c>
      <c r="Q877" t="s">
        <v>1068</v>
      </c>
      <c r="R877" t="s">
        <v>3403</v>
      </c>
      <c r="S877" t="s">
        <v>1070</v>
      </c>
      <c r="T877">
        <v>17820</v>
      </c>
      <c r="U877">
        <v>19.5</v>
      </c>
      <c r="V877">
        <v>1424</v>
      </c>
      <c r="W877">
        <v>16.3</v>
      </c>
      <c r="X877">
        <v>1026</v>
      </c>
      <c r="Y877">
        <v>23.2</v>
      </c>
      <c r="Z877">
        <v>1604</v>
      </c>
      <c r="AA877">
        <v>18.2</v>
      </c>
      <c r="AB877">
        <v>1653</v>
      </c>
      <c r="AC877">
        <v>46.2</v>
      </c>
      <c r="AD877">
        <v>923</v>
      </c>
      <c r="AE877" t="s">
        <v>57</v>
      </c>
      <c r="AF877">
        <v>0</v>
      </c>
      <c r="AG877" t="s">
        <v>3404</v>
      </c>
      <c r="AH877">
        <v>623964</v>
      </c>
      <c r="AI877" t="s">
        <v>850</v>
      </c>
      <c r="AJ877" s="1">
        <v>8526</v>
      </c>
      <c r="AK877">
        <v>16</v>
      </c>
      <c r="AL877" s="2">
        <v>0.09</v>
      </c>
      <c r="AM877" s="3">
        <v>2.9784722222222224</v>
      </c>
      <c r="AN877" t="s">
        <v>3403</v>
      </c>
      <c r="AO877" t="s">
        <v>3405</v>
      </c>
      <c r="AP877" t="b">
        <v>0</v>
      </c>
      <c r="AQ877" t="b">
        <v>0</v>
      </c>
      <c r="AR877" t="b">
        <v>0</v>
      </c>
    </row>
    <row r="878" spans="1:45" x14ac:dyDescent="0.3">
      <c r="A878" t="s">
        <v>1621</v>
      </c>
      <c r="B878" t="s">
        <v>1621</v>
      </c>
      <c r="C878" t="s">
        <v>3406</v>
      </c>
      <c r="D878" t="s">
        <v>1678</v>
      </c>
      <c r="E878" t="s">
        <v>1679</v>
      </c>
      <c r="F878" t="s">
        <v>388</v>
      </c>
      <c r="G878">
        <v>4.2</v>
      </c>
      <c r="H878">
        <v>4</v>
      </c>
      <c r="I878">
        <v>22</v>
      </c>
      <c r="J878">
        <v>8.5</v>
      </c>
      <c r="K878">
        <v>3.3</v>
      </c>
      <c r="L878">
        <v>8.3000000000000007</v>
      </c>
      <c r="M878">
        <v>44.7</v>
      </c>
      <c r="N878">
        <v>4</v>
      </c>
      <c r="O878">
        <v>1</v>
      </c>
      <c r="P878" t="s">
        <v>1615</v>
      </c>
      <c r="Q878" t="s">
        <v>1068</v>
      </c>
      <c r="R878" t="s">
        <v>3406</v>
      </c>
      <c r="S878" t="s">
        <v>1070</v>
      </c>
      <c r="T878">
        <v>17870</v>
      </c>
      <c r="U878">
        <v>22.2</v>
      </c>
      <c r="V878">
        <v>1214</v>
      </c>
      <c r="W878">
        <v>15.6</v>
      </c>
      <c r="X878">
        <v>1078</v>
      </c>
      <c r="Y878">
        <v>21.5</v>
      </c>
      <c r="Z878">
        <v>1648</v>
      </c>
      <c r="AA878">
        <v>45.5</v>
      </c>
      <c r="AB878">
        <v>887</v>
      </c>
      <c r="AC878">
        <v>37.9</v>
      </c>
      <c r="AD878">
        <v>1201</v>
      </c>
      <c r="AE878" t="s">
        <v>57</v>
      </c>
      <c r="AF878">
        <v>0</v>
      </c>
      <c r="AG878" t="s">
        <v>3407</v>
      </c>
      <c r="AH878">
        <v>662389</v>
      </c>
      <c r="AI878" t="s">
        <v>1679</v>
      </c>
      <c r="AJ878" s="1">
        <v>5241</v>
      </c>
      <c r="AK878">
        <v>19.5</v>
      </c>
      <c r="AL878" s="2">
        <v>7.0000000000000007E-2</v>
      </c>
      <c r="AM878" s="3">
        <v>2.036111111111111</v>
      </c>
      <c r="AN878" t="s">
        <v>3406</v>
      </c>
      <c r="AO878" t="s">
        <v>3408</v>
      </c>
      <c r="AP878" t="b">
        <v>0</v>
      </c>
      <c r="AQ878" t="b">
        <v>0</v>
      </c>
      <c r="AR878" t="b">
        <v>0</v>
      </c>
    </row>
    <row r="879" spans="1:45" x14ac:dyDescent="0.3">
      <c r="A879" t="s">
        <v>1621</v>
      </c>
      <c r="B879" t="s">
        <v>2369</v>
      </c>
      <c r="C879" t="s">
        <v>3409</v>
      </c>
      <c r="D879" t="s">
        <v>849</v>
      </c>
      <c r="E879" t="s">
        <v>850</v>
      </c>
      <c r="F879" t="s">
        <v>47</v>
      </c>
      <c r="G879">
        <v>4.5</v>
      </c>
      <c r="H879">
        <v>2.2999999999999998</v>
      </c>
      <c r="I879">
        <v>44.5</v>
      </c>
      <c r="J879">
        <v>3.1</v>
      </c>
      <c r="K879">
        <v>9.6999999999999993</v>
      </c>
      <c r="L879">
        <v>8.8000000000000007</v>
      </c>
      <c r="M879">
        <v>18.7</v>
      </c>
      <c r="N879">
        <v>1.7</v>
      </c>
      <c r="O879">
        <v>1</v>
      </c>
      <c r="P879" t="s">
        <v>1615</v>
      </c>
      <c r="Q879" t="s">
        <v>1068</v>
      </c>
      <c r="R879" t="s">
        <v>3409</v>
      </c>
      <c r="S879" t="s">
        <v>1070</v>
      </c>
      <c r="T879">
        <v>17880</v>
      </c>
      <c r="U879">
        <v>21.1</v>
      </c>
      <c r="V879">
        <v>1297</v>
      </c>
      <c r="W879">
        <v>17.7</v>
      </c>
      <c r="X879">
        <v>934</v>
      </c>
      <c r="Y879">
        <v>17.7</v>
      </c>
      <c r="Z879">
        <v>1717</v>
      </c>
      <c r="AA879">
        <v>30</v>
      </c>
      <c r="AB879">
        <v>1183</v>
      </c>
      <c r="AC879">
        <v>39.799999999999997</v>
      </c>
      <c r="AD879">
        <v>1122</v>
      </c>
      <c r="AE879" t="s">
        <v>57</v>
      </c>
      <c r="AF879">
        <v>0</v>
      </c>
      <c r="AG879" t="s">
        <v>3410</v>
      </c>
      <c r="AH879">
        <v>131473</v>
      </c>
      <c r="AI879" t="s">
        <v>850</v>
      </c>
      <c r="AJ879" s="1">
        <v>7375</v>
      </c>
      <c r="AK879">
        <v>13.5</v>
      </c>
      <c r="AL879" s="2">
        <v>0.1</v>
      </c>
      <c r="AM879" s="3">
        <v>2.3638888888888889</v>
      </c>
      <c r="AN879" t="s">
        <v>3409</v>
      </c>
      <c r="AO879" t="s">
        <v>3411</v>
      </c>
      <c r="AP879" t="b">
        <v>0</v>
      </c>
      <c r="AQ879" t="b">
        <v>0</v>
      </c>
      <c r="AR879" t="b">
        <v>0</v>
      </c>
    </row>
    <row r="880" spans="1:45" x14ac:dyDescent="0.3">
      <c r="A880" t="s">
        <v>1621</v>
      </c>
      <c r="B880" t="s">
        <v>1621</v>
      </c>
      <c r="C880" t="s">
        <v>3412</v>
      </c>
      <c r="D880" t="s">
        <v>2675</v>
      </c>
      <c r="E880" t="s">
        <v>2676</v>
      </c>
      <c r="F880" t="s">
        <v>56</v>
      </c>
      <c r="G880">
        <v>9</v>
      </c>
      <c r="H880">
        <v>11.6</v>
      </c>
      <c r="I880">
        <v>12</v>
      </c>
      <c r="J880">
        <v>2</v>
      </c>
      <c r="K880">
        <v>1</v>
      </c>
      <c r="L880">
        <v>1.3</v>
      </c>
      <c r="M880">
        <v>22.7</v>
      </c>
      <c r="N880">
        <v>10.9</v>
      </c>
      <c r="O880">
        <v>5.8</v>
      </c>
      <c r="P880" t="s">
        <v>1615</v>
      </c>
      <c r="Q880" t="s">
        <v>733</v>
      </c>
      <c r="R880" t="s">
        <v>3413</v>
      </c>
      <c r="S880" t="s">
        <v>735</v>
      </c>
      <c r="T880">
        <v>11360</v>
      </c>
      <c r="U880">
        <v>18.399999999999999</v>
      </c>
      <c r="V880">
        <v>1519</v>
      </c>
      <c r="W880">
        <v>9.1999999999999993</v>
      </c>
      <c r="X880">
        <v>1766</v>
      </c>
      <c r="Y880">
        <v>58.6</v>
      </c>
      <c r="Z880">
        <v>810</v>
      </c>
      <c r="AA880">
        <v>23.3</v>
      </c>
      <c r="AB880">
        <v>1387</v>
      </c>
      <c r="AC880">
        <v>39.799999999999997</v>
      </c>
      <c r="AD880">
        <v>1123</v>
      </c>
      <c r="AE880" t="s">
        <v>57</v>
      </c>
      <c r="AF880">
        <v>0</v>
      </c>
      <c r="AG880" t="s">
        <v>3414</v>
      </c>
      <c r="AH880">
        <v>625056</v>
      </c>
      <c r="AI880" t="s">
        <v>2676</v>
      </c>
      <c r="AJ880" s="1">
        <v>22336</v>
      </c>
      <c r="AK880">
        <v>13.9</v>
      </c>
      <c r="AL880" s="2">
        <v>0.01</v>
      </c>
      <c r="AM880" s="3">
        <v>2.7326388888888888</v>
      </c>
      <c r="AN880" t="s">
        <v>3413</v>
      </c>
      <c r="AO880" t="s">
        <v>3415</v>
      </c>
      <c r="AP880" t="b">
        <v>0</v>
      </c>
      <c r="AQ880" t="b">
        <v>0</v>
      </c>
      <c r="AR880" t="b">
        <v>0</v>
      </c>
    </row>
    <row r="881" spans="1:45" x14ac:dyDescent="0.3">
      <c r="A881" t="s">
        <v>1621</v>
      </c>
      <c r="B881" t="s">
        <v>2369</v>
      </c>
      <c r="C881" t="s">
        <v>3416</v>
      </c>
      <c r="D881" t="s">
        <v>1770</v>
      </c>
      <c r="E881" t="s">
        <v>1771</v>
      </c>
      <c r="F881" t="s">
        <v>47</v>
      </c>
      <c r="G881">
        <v>3.7</v>
      </c>
      <c r="H881">
        <v>2.5</v>
      </c>
      <c r="I881">
        <v>8.9</v>
      </c>
      <c r="J881">
        <v>4.0999999999999996</v>
      </c>
      <c r="K881">
        <v>25</v>
      </c>
      <c r="L881">
        <v>26.4</v>
      </c>
      <c r="M881">
        <v>46.3</v>
      </c>
      <c r="N881">
        <v>4.2</v>
      </c>
      <c r="O881">
        <v>1</v>
      </c>
      <c r="P881" t="s">
        <v>1615</v>
      </c>
      <c r="Q881" t="s">
        <v>1068</v>
      </c>
      <c r="R881" t="s">
        <v>3416</v>
      </c>
      <c r="S881" t="s">
        <v>1070</v>
      </c>
      <c r="T881">
        <v>18080</v>
      </c>
      <c r="U881">
        <v>16.399999999999999</v>
      </c>
      <c r="V881">
        <v>1672</v>
      </c>
      <c r="W881">
        <v>14.9</v>
      </c>
      <c r="X881">
        <v>1136</v>
      </c>
      <c r="Y881">
        <v>26.5</v>
      </c>
      <c r="Z881">
        <v>1526</v>
      </c>
      <c r="AA881">
        <v>21.9</v>
      </c>
      <c r="AB881">
        <v>1444</v>
      </c>
      <c r="AC881">
        <v>61.8</v>
      </c>
      <c r="AD881">
        <v>547</v>
      </c>
      <c r="AE881" t="s">
        <v>57</v>
      </c>
      <c r="AF881">
        <v>0</v>
      </c>
      <c r="AG881" t="s">
        <v>3417</v>
      </c>
      <c r="AH881">
        <v>661106</v>
      </c>
      <c r="AI881" t="s">
        <v>1771</v>
      </c>
      <c r="AJ881" s="1">
        <v>5805</v>
      </c>
      <c r="AK881">
        <v>15.3</v>
      </c>
      <c r="AL881" s="2">
        <v>0.18</v>
      </c>
      <c r="AM881" s="3">
        <v>3.2243055555555555</v>
      </c>
      <c r="AN881" t="s">
        <v>3416</v>
      </c>
      <c r="AO881" t="s">
        <v>3418</v>
      </c>
      <c r="AP881" t="b">
        <v>0</v>
      </c>
      <c r="AQ881" t="b">
        <v>0</v>
      </c>
      <c r="AR881" t="b">
        <v>0</v>
      </c>
    </row>
    <row r="882" spans="1:45" x14ac:dyDescent="0.3">
      <c r="A882" t="s">
        <v>1621</v>
      </c>
      <c r="B882" t="s">
        <v>1621</v>
      </c>
      <c r="C882" t="s">
        <v>3419</v>
      </c>
      <c r="D882" t="s">
        <v>1930</v>
      </c>
      <c r="E882" t="s">
        <v>1931</v>
      </c>
      <c r="F882" t="s">
        <v>56</v>
      </c>
      <c r="G882">
        <v>6.1</v>
      </c>
      <c r="H882">
        <v>4.3</v>
      </c>
      <c r="I882">
        <v>13.8</v>
      </c>
      <c r="J882">
        <v>4.3</v>
      </c>
      <c r="K882">
        <v>2.5</v>
      </c>
      <c r="L882">
        <v>1.8</v>
      </c>
      <c r="M882">
        <v>45.8</v>
      </c>
      <c r="N882">
        <v>12</v>
      </c>
      <c r="O882">
        <v>2.9</v>
      </c>
      <c r="P882" t="s">
        <v>1615</v>
      </c>
      <c r="Q882" t="s">
        <v>1068</v>
      </c>
      <c r="R882" t="s">
        <v>3419</v>
      </c>
      <c r="S882" t="s">
        <v>1070</v>
      </c>
      <c r="T882">
        <v>18150</v>
      </c>
      <c r="U882">
        <v>18.7</v>
      </c>
      <c r="V882">
        <v>1486</v>
      </c>
      <c r="W882">
        <v>16.7</v>
      </c>
      <c r="X882">
        <v>994</v>
      </c>
      <c r="Y882">
        <v>29.9</v>
      </c>
      <c r="Z882">
        <v>1446</v>
      </c>
      <c r="AA882">
        <v>25.8</v>
      </c>
      <c r="AB882">
        <v>1306</v>
      </c>
      <c r="AC882">
        <v>29.2</v>
      </c>
      <c r="AD882">
        <v>1533</v>
      </c>
      <c r="AE882" t="s">
        <v>57</v>
      </c>
      <c r="AF882">
        <v>0</v>
      </c>
      <c r="AG882" t="s">
        <v>3420</v>
      </c>
      <c r="AH882">
        <v>699442</v>
      </c>
      <c r="AI882" t="s">
        <v>1931</v>
      </c>
      <c r="AJ882" s="1">
        <v>13163</v>
      </c>
      <c r="AK882">
        <v>15.6</v>
      </c>
      <c r="AL882" s="2">
        <v>0.03</v>
      </c>
      <c r="AM882" s="3">
        <v>2.4458333333333333</v>
      </c>
      <c r="AN882" t="s">
        <v>3419</v>
      </c>
      <c r="AO882" t="s">
        <v>3421</v>
      </c>
      <c r="AP882" t="b">
        <v>0</v>
      </c>
      <c r="AQ882" t="b">
        <v>0</v>
      </c>
      <c r="AR882" t="b">
        <v>0</v>
      </c>
    </row>
    <row r="883" spans="1:45" x14ac:dyDescent="0.3">
      <c r="A883" t="s">
        <v>1621</v>
      </c>
      <c r="B883" t="s">
        <v>1621</v>
      </c>
      <c r="C883" t="s">
        <v>3422</v>
      </c>
      <c r="D883" t="s">
        <v>887</v>
      </c>
      <c r="E883" t="s">
        <v>888</v>
      </c>
      <c r="F883" t="s">
        <v>56</v>
      </c>
      <c r="G883">
        <v>5.4</v>
      </c>
      <c r="H883">
        <v>4.2</v>
      </c>
      <c r="I883">
        <v>20.3</v>
      </c>
      <c r="J883">
        <v>3.1</v>
      </c>
      <c r="K883">
        <v>3.5</v>
      </c>
      <c r="L883">
        <v>3.9</v>
      </c>
      <c r="M883">
        <v>52.5</v>
      </c>
      <c r="N883">
        <v>7.4</v>
      </c>
      <c r="O883">
        <v>2.4</v>
      </c>
      <c r="P883" t="s">
        <v>1615</v>
      </c>
      <c r="Q883" t="s">
        <v>1068</v>
      </c>
      <c r="R883" t="s">
        <v>3422</v>
      </c>
      <c r="S883" t="s">
        <v>1070</v>
      </c>
      <c r="T883">
        <v>18420</v>
      </c>
      <c r="U883">
        <v>23.2</v>
      </c>
      <c r="V883">
        <v>1140</v>
      </c>
      <c r="W883">
        <v>13.5</v>
      </c>
      <c r="X883">
        <v>1256</v>
      </c>
      <c r="Y883">
        <v>23.4</v>
      </c>
      <c r="Z883">
        <v>1598</v>
      </c>
      <c r="AA883">
        <v>21.8</v>
      </c>
      <c r="AB883">
        <v>1448</v>
      </c>
      <c r="AC883">
        <v>29.7</v>
      </c>
      <c r="AD883">
        <v>1507</v>
      </c>
      <c r="AE883" t="s">
        <v>57</v>
      </c>
      <c r="AF883">
        <v>0</v>
      </c>
      <c r="AG883" t="s">
        <v>3423</v>
      </c>
      <c r="AH883">
        <v>131460</v>
      </c>
      <c r="AI883" t="s">
        <v>888</v>
      </c>
      <c r="AJ883" s="1">
        <v>19222</v>
      </c>
      <c r="AK883">
        <v>11.6</v>
      </c>
      <c r="AL883" s="2">
        <v>0.04</v>
      </c>
      <c r="AM883" s="3">
        <v>2.8145833333333332</v>
      </c>
      <c r="AN883" t="s">
        <v>3422</v>
      </c>
      <c r="AO883" t="s">
        <v>3424</v>
      </c>
      <c r="AP883" t="b">
        <v>0</v>
      </c>
      <c r="AQ883" t="b">
        <v>0</v>
      </c>
      <c r="AR883" t="b">
        <v>0</v>
      </c>
    </row>
    <row r="884" spans="1:45" x14ac:dyDescent="0.3">
      <c r="A884" t="s">
        <v>1621</v>
      </c>
      <c r="B884" t="s">
        <v>1621</v>
      </c>
      <c r="C884" t="s">
        <v>3425</v>
      </c>
      <c r="D884" t="s">
        <v>1930</v>
      </c>
      <c r="E884" t="s">
        <v>1931</v>
      </c>
      <c r="F884" t="s">
        <v>56</v>
      </c>
      <c r="G884">
        <v>6.3</v>
      </c>
      <c r="H884">
        <v>4</v>
      </c>
      <c r="I884">
        <v>5</v>
      </c>
      <c r="J884">
        <v>4.2</v>
      </c>
      <c r="K884">
        <v>1.4</v>
      </c>
      <c r="L884">
        <v>2</v>
      </c>
      <c r="M884">
        <v>47.5</v>
      </c>
      <c r="N884">
        <v>12.3</v>
      </c>
      <c r="O884">
        <v>4.5</v>
      </c>
      <c r="P884" t="s">
        <v>1615</v>
      </c>
      <c r="Q884" t="s">
        <v>621</v>
      </c>
      <c r="R884" t="s">
        <v>3425</v>
      </c>
      <c r="S884" t="s">
        <v>622</v>
      </c>
      <c r="T884">
        <v>14370</v>
      </c>
      <c r="U884">
        <v>17.899999999999999</v>
      </c>
      <c r="V884">
        <v>1558</v>
      </c>
      <c r="W884">
        <v>13.9</v>
      </c>
      <c r="X884">
        <v>1217</v>
      </c>
      <c r="Y884">
        <v>49.1</v>
      </c>
      <c r="Z884">
        <v>1038</v>
      </c>
      <c r="AA884">
        <v>23.1</v>
      </c>
      <c r="AB884">
        <v>1398</v>
      </c>
      <c r="AC884">
        <v>36</v>
      </c>
      <c r="AD884">
        <v>1279</v>
      </c>
      <c r="AE884" t="s">
        <v>57</v>
      </c>
      <c r="AF884">
        <v>0</v>
      </c>
      <c r="AG884" t="s">
        <v>3426</v>
      </c>
      <c r="AH884">
        <v>623535</v>
      </c>
      <c r="AI884" t="s">
        <v>1931</v>
      </c>
      <c r="AJ884" s="1">
        <v>19354</v>
      </c>
      <c r="AK884">
        <v>15.7</v>
      </c>
      <c r="AL884" s="2">
        <v>0.02</v>
      </c>
      <c r="AM884" s="3">
        <v>2.4458333333333333</v>
      </c>
      <c r="AN884" t="s">
        <v>3425</v>
      </c>
      <c r="AO884" t="s">
        <v>3427</v>
      </c>
      <c r="AP884" t="b">
        <v>0</v>
      </c>
      <c r="AQ884" t="b">
        <v>0</v>
      </c>
      <c r="AR884" t="b">
        <v>0</v>
      </c>
    </row>
    <row r="885" spans="1:45" x14ac:dyDescent="0.3">
      <c r="A885" t="s">
        <v>1621</v>
      </c>
      <c r="C885" t="s">
        <v>3428</v>
      </c>
      <c r="D885" t="s">
        <v>2675</v>
      </c>
      <c r="E885" t="s">
        <v>2676</v>
      </c>
      <c r="F885" t="s">
        <v>56</v>
      </c>
      <c r="G885">
        <v>6</v>
      </c>
      <c r="H885">
        <v>10.4</v>
      </c>
      <c r="I885">
        <v>4.5</v>
      </c>
      <c r="J885">
        <v>3.3</v>
      </c>
      <c r="L885">
        <v>1</v>
      </c>
      <c r="M885">
        <v>14.1</v>
      </c>
      <c r="N885">
        <v>11</v>
      </c>
      <c r="O885">
        <v>1</v>
      </c>
      <c r="P885" t="s">
        <v>1615</v>
      </c>
      <c r="Q885" t="s">
        <v>1068</v>
      </c>
      <c r="R885" t="s">
        <v>3428</v>
      </c>
      <c r="S885" t="s">
        <v>1070</v>
      </c>
      <c r="T885">
        <v>18510</v>
      </c>
      <c r="U885">
        <v>13</v>
      </c>
      <c r="V885">
        <v>1845</v>
      </c>
      <c r="W885">
        <v>9</v>
      </c>
      <c r="X885">
        <v>1803</v>
      </c>
      <c r="Y885">
        <v>35.700000000000003</v>
      </c>
      <c r="Z885">
        <v>1310</v>
      </c>
      <c r="AA885">
        <v>18.399999999999999</v>
      </c>
      <c r="AB885">
        <v>1639</v>
      </c>
      <c r="AC885">
        <v>35.799999999999997</v>
      </c>
      <c r="AD885">
        <v>1285</v>
      </c>
      <c r="AE885" t="s">
        <v>57</v>
      </c>
      <c r="AF885">
        <v>0</v>
      </c>
      <c r="AG885" t="s">
        <v>3429</v>
      </c>
      <c r="AH885">
        <v>672285</v>
      </c>
      <c r="AI885" t="s">
        <v>2676</v>
      </c>
      <c r="AJ885" s="1">
        <v>17629</v>
      </c>
      <c r="AK885">
        <v>22.9</v>
      </c>
      <c r="AL885" s="2">
        <v>0</v>
      </c>
      <c r="AM885" s="3">
        <v>2.6506944444444445</v>
      </c>
      <c r="AN885" t="s">
        <v>3428</v>
      </c>
      <c r="AO885" t="s">
        <v>3430</v>
      </c>
      <c r="AP885" t="b">
        <v>0</v>
      </c>
      <c r="AQ885" t="b">
        <v>0</v>
      </c>
      <c r="AR885" t="b">
        <v>0</v>
      </c>
    </row>
    <row r="886" spans="1:45" x14ac:dyDescent="0.3">
      <c r="A886" t="s">
        <v>1621</v>
      </c>
      <c r="B886" t="s">
        <v>1621</v>
      </c>
      <c r="C886" t="s">
        <v>3431</v>
      </c>
      <c r="D886" t="s">
        <v>849</v>
      </c>
      <c r="E886" t="s">
        <v>850</v>
      </c>
      <c r="F886" t="s">
        <v>47</v>
      </c>
      <c r="G886">
        <v>5.6</v>
      </c>
      <c r="H886">
        <v>2.1</v>
      </c>
      <c r="I886">
        <v>10.9</v>
      </c>
      <c r="J886">
        <v>3.8</v>
      </c>
      <c r="M886">
        <v>37.200000000000003</v>
      </c>
      <c r="N886">
        <v>5.2</v>
      </c>
      <c r="O886">
        <v>1</v>
      </c>
      <c r="P886" t="s">
        <v>1615</v>
      </c>
      <c r="Q886" t="s">
        <v>621</v>
      </c>
      <c r="R886" t="s">
        <v>3432</v>
      </c>
      <c r="S886" t="s">
        <v>622</v>
      </c>
      <c r="T886">
        <v>14890</v>
      </c>
      <c r="U886">
        <v>20.5</v>
      </c>
      <c r="V886">
        <v>1340</v>
      </c>
      <c r="W886">
        <v>18</v>
      </c>
      <c r="X886">
        <v>920</v>
      </c>
      <c r="Y886">
        <v>35.200000000000003</v>
      </c>
      <c r="Z886">
        <v>1320</v>
      </c>
      <c r="AA886">
        <v>27.7</v>
      </c>
      <c r="AB886">
        <v>1247</v>
      </c>
      <c r="AC886">
        <v>32.4</v>
      </c>
      <c r="AD886">
        <v>1410</v>
      </c>
      <c r="AE886" t="s">
        <v>57</v>
      </c>
      <c r="AF886">
        <v>0</v>
      </c>
      <c r="AG886" t="s">
        <v>3433</v>
      </c>
      <c r="AH886">
        <v>131333</v>
      </c>
      <c r="AI886" t="s">
        <v>850</v>
      </c>
      <c r="AJ886" s="1">
        <v>11252</v>
      </c>
      <c r="AK886">
        <v>14.8</v>
      </c>
      <c r="AL886" s="2">
        <v>0.05</v>
      </c>
      <c r="AM886" s="3">
        <v>2.2819444444444446</v>
      </c>
      <c r="AN886" t="s">
        <v>3432</v>
      </c>
      <c r="AO886" t="s">
        <v>3434</v>
      </c>
      <c r="AP886" t="b">
        <v>0</v>
      </c>
      <c r="AQ886" t="b">
        <v>0</v>
      </c>
      <c r="AR886" t="b">
        <v>0</v>
      </c>
    </row>
    <row r="887" spans="1:45" x14ac:dyDescent="0.3">
      <c r="A887" t="s">
        <v>1621</v>
      </c>
      <c r="B887" t="s">
        <v>1621</v>
      </c>
      <c r="C887" t="s">
        <v>3435</v>
      </c>
      <c r="D887" t="s">
        <v>2192</v>
      </c>
      <c r="E887" t="s">
        <v>2193</v>
      </c>
      <c r="F887" t="s">
        <v>56</v>
      </c>
      <c r="G887">
        <v>5.2</v>
      </c>
      <c r="H887">
        <v>12.7</v>
      </c>
      <c r="I887">
        <v>3.4</v>
      </c>
      <c r="J887">
        <v>6.9</v>
      </c>
      <c r="K887">
        <v>1.4</v>
      </c>
      <c r="L887">
        <v>2.6</v>
      </c>
      <c r="M887">
        <v>61.8</v>
      </c>
      <c r="N887">
        <v>3.9</v>
      </c>
      <c r="O887">
        <v>1</v>
      </c>
      <c r="P887" t="s">
        <v>1615</v>
      </c>
      <c r="Q887" t="s">
        <v>1068</v>
      </c>
      <c r="R887" t="s">
        <v>3436</v>
      </c>
      <c r="S887" t="s">
        <v>1070</v>
      </c>
      <c r="T887">
        <v>18010</v>
      </c>
      <c r="U887">
        <v>19.8</v>
      </c>
      <c r="V887">
        <v>1392</v>
      </c>
      <c r="W887">
        <v>11.4</v>
      </c>
      <c r="X887">
        <v>1479</v>
      </c>
      <c r="Y887">
        <v>28.8</v>
      </c>
      <c r="Z887">
        <v>1477</v>
      </c>
      <c r="AA887">
        <v>29.7</v>
      </c>
      <c r="AB887">
        <v>1192</v>
      </c>
      <c r="AC887">
        <v>24.2</v>
      </c>
      <c r="AD887">
        <v>1731</v>
      </c>
      <c r="AE887" t="s">
        <v>57</v>
      </c>
      <c r="AF887">
        <v>0</v>
      </c>
      <c r="AG887" t="s">
        <v>3437</v>
      </c>
      <c r="AH887">
        <v>624327</v>
      </c>
      <c r="AI887" t="s">
        <v>2193</v>
      </c>
      <c r="AJ887" s="1">
        <v>29166</v>
      </c>
      <c r="AK887">
        <v>23.2</v>
      </c>
      <c r="AL887" s="2">
        <v>0.04</v>
      </c>
      <c r="AM887" t="s">
        <v>699</v>
      </c>
      <c r="AN887" t="s">
        <v>3436</v>
      </c>
      <c r="AO887" t="s">
        <v>3438</v>
      </c>
      <c r="AP887" t="b">
        <v>0</v>
      </c>
      <c r="AQ887" t="b">
        <v>0</v>
      </c>
      <c r="AR887" t="b">
        <v>0</v>
      </c>
    </row>
    <row r="888" spans="1:45" x14ac:dyDescent="0.3">
      <c r="A888" t="s">
        <v>1621</v>
      </c>
      <c r="B888" t="s">
        <v>1621</v>
      </c>
      <c r="C888" t="s">
        <v>3439</v>
      </c>
      <c r="D888" t="s">
        <v>378</v>
      </c>
      <c r="E888" t="s">
        <v>379</v>
      </c>
      <c r="F888" t="s">
        <v>56</v>
      </c>
      <c r="G888">
        <v>5.4</v>
      </c>
      <c r="H888">
        <v>2.7</v>
      </c>
      <c r="I888">
        <v>21.8</v>
      </c>
      <c r="J888">
        <v>1.3</v>
      </c>
      <c r="K888">
        <v>3</v>
      </c>
      <c r="L888">
        <v>21.4</v>
      </c>
      <c r="M888">
        <v>12.1</v>
      </c>
      <c r="N888">
        <v>3</v>
      </c>
      <c r="O888">
        <v>1</v>
      </c>
      <c r="P888" t="s">
        <v>1615</v>
      </c>
      <c r="Q888" t="s">
        <v>1068</v>
      </c>
      <c r="R888" t="s">
        <v>3439</v>
      </c>
      <c r="S888" t="s">
        <v>1070</v>
      </c>
      <c r="T888">
        <v>18960</v>
      </c>
      <c r="U888">
        <v>22.7</v>
      </c>
      <c r="V888">
        <v>1173</v>
      </c>
      <c r="W888">
        <v>10.7</v>
      </c>
      <c r="X888">
        <v>1568</v>
      </c>
      <c r="Y888">
        <v>7.7</v>
      </c>
      <c r="Z888">
        <v>1885</v>
      </c>
      <c r="AA888">
        <v>17.399999999999999</v>
      </c>
      <c r="AB888">
        <v>1719</v>
      </c>
      <c r="AC888">
        <v>37</v>
      </c>
      <c r="AD888">
        <v>1243</v>
      </c>
      <c r="AE888" t="s">
        <v>57</v>
      </c>
      <c r="AF888">
        <v>0</v>
      </c>
      <c r="AG888" t="s">
        <v>3440</v>
      </c>
      <c r="AH888">
        <v>131433</v>
      </c>
      <c r="AI888" t="s">
        <v>381</v>
      </c>
      <c r="AJ888" s="1">
        <v>16386</v>
      </c>
      <c r="AK888">
        <v>11.1</v>
      </c>
      <c r="AL888" s="2">
        <v>0.15</v>
      </c>
      <c r="AM888" s="3">
        <v>2.2000000000000002</v>
      </c>
      <c r="AN888" t="s">
        <v>3439</v>
      </c>
      <c r="AO888" t="s">
        <v>3441</v>
      </c>
      <c r="AP888" t="b">
        <v>0</v>
      </c>
      <c r="AQ888" t="b">
        <v>0</v>
      </c>
      <c r="AR888" t="b">
        <v>1</v>
      </c>
    </row>
    <row r="889" spans="1:45" x14ac:dyDescent="0.3">
      <c r="A889" t="s">
        <v>1621</v>
      </c>
      <c r="B889" t="s">
        <v>2369</v>
      </c>
      <c r="C889" t="s">
        <v>3442</v>
      </c>
      <c r="D889" t="s">
        <v>45</v>
      </c>
      <c r="E889" t="s">
        <v>46</v>
      </c>
      <c r="F889" t="s">
        <v>56</v>
      </c>
      <c r="G889">
        <v>4.9000000000000004</v>
      </c>
      <c r="H889">
        <v>4.9000000000000004</v>
      </c>
      <c r="I889">
        <v>10</v>
      </c>
      <c r="J889">
        <v>5.8</v>
      </c>
      <c r="K889">
        <v>21.4</v>
      </c>
      <c r="L889">
        <v>10.6</v>
      </c>
      <c r="M889">
        <v>33.299999999999997</v>
      </c>
      <c r="N889">
        <v>16.5</v>
      </c>
      <c r="O889">
        <v>1.6</v>
      </c>
      <c r="P889" t="s">
        <v>1615</v>
      </c>
      <c r="Q889" t="s">
        <v>733</v>
      </c>
      <c r="R889" t="s">
        <v>3442</v>
      </c>
      <c r="S889" t="s">
        <v>735</v>
      </c>
      <c r="T889">
        <v>11930</v>
      </c>
      <c r="U889">
        <v>24</v>
      </c>
      <c r="V889">
        <v>1083</v>
      </c>
      <c r="W889">
        <v>17.100000000000001</v>
      </c>
      <c r="X889">
        <v>970</v>
      </c>
      <c r="Y889">
        <v>39.200000000000003</v>
      </c>
      <c r="Z889">
        <v>1235</v>
      </c>
      <c r="AA889">
        <v>39.299999999999997</v>
      </c>
      <c r="AB889">
        <v>998</v>
      </c>
      <c r="AC889">
        <v>43.1</v>
      </c>
      <c r="AD889">
        <v>1019</v>
      </c>
      <c r="AE889" t="s">
        <v>208</v>
      </c>
      <c r="AF889">
        <v>0</v>
      </c>
      <c r="AG889" t="s">
        <v>3443</v>
      </c>
      <c r="AH889">
        <v>593099</v>
      </c>
      <c r="AI889" t="s">
        <v>46</v>
      </c>
      <c r="AJ889" s="1">
        <v>16486</v>
      </c>
      <c r="AK889">
        <v>21.3</v>
      </c>
      <c r="AL889" s="2">
        <v>0.08</v>
      </c>
      <c r="AM889" s="3">
        <v>2.2409722222222221</v>
      </c>
      <c r="AN889" t="s">
        <v>3442</v>
      </c>
      <c r="AO889" t="s">
        <v>3444</v>
      </c>
      <c r="AP889" t="b">
        <v>0</v>
      </c>
      <c r="AQ889" t="b">
        <v>0</v>
      </c>
      <c r="AR889" t="b">
        <v>0</v>
      </c>
      <c r="AS889" t="s">
        <v>3445</v>
      </c>
    </row>
    <row r="890" spans="1:45" x14ac:dyDescent="0.3">
      <c r="A890" t="s">
        <v>1621</v>
      </c>
      <c r="B890" t="s">
        <v>2369</v>
      </c>
      <c r="C890" t="s">
        <v>3446</v>
      </c>
      <c r="D890" t="s">
        <v>175</v>
      </c>
      <c r="E890" t="s">
        <v>176</v>
      </c>
      <c r="F890" t="s">
        <v>47</v>
      </c>
      <c r="G890">
        <v>3.9</v>
      </c>
      <c r="H890">
        <v>1.8</v>
      </c>
      <c r="I890">
        <v>41.8</v>
      </c>
      <c r="J890">
        <v>4.2</v>
      </c>
      <c r="K890">
        <v>6.7</v>
      </c>
      <c r="L890">
        <v>2.5</v>
      </c>
      <c r="M890">
        <v>18.7</v>
      </c>
      <c r="N890">
        <v>1.8</v>
      </c>
      <c r="O890">
        <v>1</v>
      </c>
      <c r="P890" t="s">
        <v>1615</v>
      </c>
      <c r="Q890" t="s">
        <v>621</v>
      </c>
      <c r="R890" t="s">
        <v>3447</v>
      </c>
      <c r="S890" t="s">
        <v>622</v>
      </c>
      <c r="T890">
        <v>14980</v>
      </c>
      <c r="U890">
        <v>28.5</v>
      </c>
      <c r="V890">
        <v>778</v>
      </c>
      <c r="W890">
        <v>13.4</v>
      </c>
      <c r="X890">
        <v>1276</v>
      </c>
      <c r="Y890">
        <v>21.4</v>
      </c>
      <c r="Z890">
        <v>1650</v>
      </c>
      <c r="AA890">
        <v>57.3</v>
      </c>
      <c r="AB890">
        <v>700</v>
      </c>
      <c r="AC890">
        <v>33.4</v>
      </c>
      <c r="AD890">
        <v>1378</v>
      </c>
      <c r="AE890" t="s">
        <v>57</v>
      </c>
      <c r="AF890">
        <v>0</v>
      </c>
      <c r="AG890" t="s">
        <v>3448</v>
      </c>
      <c r="AH890">
        <v>131669</v>
      </c>
      <c r="AI890" t="s">
        <v>176</v>
      </c>
      <c r="AJ890" s="1">
        <v>10437</v>
      </c>
      <c r="AK890">
        <v>10.9</v>
      </c>
      <c r="AL890" s="2">
        <v>0.05</v>
      </c>
      <c r="AM890" t="s">
        <v>153</v>
      </c>
      <c r="AN890" t="s">
        <v>3447</v>
      </c>
      <c r="AO890" t="s">
        <v>3449</v>
      </c>
      <c r="AP890" t="b">
        <v>0</v>
      </c>
      <c r="AQ890" t="b">
        <v>0</v>
      </c>
      <c r="AR890" t="b">
        <v>0</v>
      </c>
    </row>
    <row r="891" spans="1:45" x14ac:dyDescent="0.3">
      <c r="A891" t="s">
        <v>1621</v>
      </c>
      <c r="B891" t="s">
        <v>1621</v>
      </c>
      <c r="C891" t="s">
        <v>3450</v>
      </c>
      <c r="D891" t="s">
        <v>878</v>
      </c>
      <c r="E891" t="s">
        <v>879</v>
      </c>
      <c r="F891" t="s">
        <v>56</v>
      </c>
      <c r="G891">
        <v>11.7</v>
      </c>
      <c r="H891">
        <v>3.3</v>
      </c>
      <c r="I891">
        <v>8.6999999999999993</v>
      </c>
      <c r="J891">
        <v>1.4</v>
      </c>
      <c r="K891">
        <v>13.5</v>
      </c>
      <c r="L891">
        <v>1.7</v>
      </c>
      <c r="M891">
        <v>8.6</v>
      </c>
      <c r="N891">
        <v>2.2999999999999998</v>
      </c>
      <c r="O891">
        <v>1</v>
      </c>
      <c r="P891" t="s">
        <v>1615</v>
      </c>
      <c r="Q891" t="s">
        <v>1068</v>
      </c>
      <c r="R891" t="s">
        <v>3450</v>
      </c>
      <c r="S891" t="s">
        <v>1070</v>
      </c>
      <c r="T891">
        <v>19030</v>
      </c>
      <c r="U891">
        <v>16.899999999999999</v>
      </c>
      <c r="V891">
        <v>1635</v>
      </c>
      <c r="W891">
        <v>10.5</v>
      </c>
      <c r="X891">
        <v>1595</v>
      </c>
      <c r="Y891">
        <v>28.8</v>
      </c>
      <c r="Z891">
        <v>1478</v>
      </c>
      <c r="AA891">
        <v>23.1</v>
      </c>
      <c r="AB891">
        <v>1399</v>
      </c>
      <c r="AC891">
        <v>30.6</v>
      </c>
      <c r="AD891">
        <v>1477</v>
      </c>
      <c r="AE891" t="s">
        <v>57</v>
      </c>
      <c r="AF891">
        <v>0</v>
      </c>
      <c r="AG891" t="s">
        <v>3451</v>
      </c>
      <c r="AH891">
        <v>622548</v>
      </c>
      <c r="AI891" t="s">
        <v>879</v>
      </c>
      <c r="AJ891" s="1">
        <v>24073</v>
      </c>
      <c r="AK891">
        <v>16.3</v>
      </c>
      <c r="AL891" s="2">
        <v>0.01</v>
      </c>
      <c r="AM891" s="3">
        <v>2.5687500000000001</v>
      </c>
      <c r="AN891" t="s">
        <v>3450</v>
      </c>
      <c r="AO891" t="s">
        <v>3452</v>
      </c>
      <c r="AP891" t="b">
        <v>0</v>
      </c>
      <c r="AQ891" t="b">
        <v>0</v>
      </c>
      <c r="AR891" t="b">
        <v>0</v>
      </c>
    </row>
    <row r="892" spans="1:45" x14ac:dyDescent="0.3">
      <c r="A892" t="s">
        <v>1621</v>
      </c>
      <c r="B892" t="s">
        <v>1621</v>
      </c>
      <c r="C892" t="s">
        <v>3453</v>
      </c>
      <c r="D892" t="s">
        <v>297</v>
      </c>
      <c r="E892" t="s">
        <v>298</v>
      </c>
      <c r="F892" t="s">
        <v>47</v>
      </c>
      <c r="G892">
        <v>5.5</v>
      </c>
      <c r="H892">
        <v>5.6</v>
      </c>
      <c r="I892">
        <v>8.6999999999999993</v>
      </c>
      <c r="J892">
        <v>9</v>
      </c>
      <c r="K892">
        <v>12.2</v>
      </c>
      <c r="L892">
        <v>11.7</v>
      </c>
      <c r="M892">
        <v>12.4</v>
      </c>
      <c r="N892">
        <v>2</v>
      </c>
      <c r="O892">
        <v>2.4</v>
      </c>
      <c r="P892" t="s">
        <v>1615</v>
      </c>
      <c r="Q892" t="s">
        <v>621</v>
      </c>
      <c r="R892" t="s">
        <v>3453</v>
      </c>
      <c r="S892" t="s">
        <v>622</v>
      </c>
      <c r="T892">
        <v>15030</v>
      </c>
      <c r="U892">
        <v>18.5</v>
      </c>
      <c r="V892">
        <v>1511</v>
      </c>
      <c r="W892">
        <v>24.1</v>
      </c>
      <c r="X892">
        <v>649</v>
      </c>
      <c r="Y892">
        <v>32.1</v>
      </c>
      <c r="Z892">
        <v>1398</v>
      </c>
      <c r="AA892">
        <v>69</v>
      </c>
      <c r="AB892">
        <v>455</v>
      </c>
      <c r="AC892">
        <v>42.8</v>
      </c>
      <c r="AD892">
        <v>1026</v>
      </c>
      <c r="AE892" t="s">
        <v>57</v>
      </c>
      <c r="AF892">
        <v>0</v>
      </c>
      <c r="AG892" t="s">
        <v>3454</v>
      </c>
      <c r="AH892">
        <v>865</v>
      </c>
      <c r="AI892" t="s">
        <v>298</v>
      </c>
      <c r="AJ892" s="1">
        <v>6852</v>
      </c>
      <c r="AK892">
        <v>23</v>
      </c>
      <c r="AL892" s="2">
        <v>0.08</v>
      </c>
      <c r="AM892" s="3">
        <v>1.8722222222222222</v>
      </c>
      <c r="AN892" t="s">
        <v>3453</v>
      </c>
      <c r="AO892" t="s">
        <v>3455</v>
      </c>
      <c r="AP892" t="b">
        <v>0</v>
      </c>
      <c r="AQ892" t="b">
        <v>0</v>
      </c>
      <c r="AR892" t="b">
        <v>0</v>
      </c>
    </row>
    <row r="893" spans="1:45" x14ac:dyDescent="0.3">
      <c r="A893" t="s">
        <v>1621</v>
      </c>
      <c r="B893" t="s">
        <v>1621</v>
      </c>
      <c r="C893" t="s">
        <v>3456</v>
      </c>
      <c r="D893" t="s">
        <v>1159</v>
      </c>
      <c r="E893" t="s">
        <v>1160</v>
      </c>
      <c r="F893" t="s">
        <v>77</v>
      </c>
      <c r="G893">
        <v>7.7</v>
      </c>
      <c r="H893">
        <v>4.9000000000000004</v>
      </c>
      <c r="I893">
        <v>3</v>
      </c>
      <c r="J893">
        <v>2.6</v>
      </c>
      <c r="K893">
        <v>1.1000000000000001</v>
      </c>
      <c r="L893">
        <v>2.5</v>
      </c>
      <c r="M893">
        <v>67.7</v>
      </c>
      <c r="N893">
        <v>3.7</v>
      </c>
      <c r="O893">
        <v>5.3</v>
      </c>
      <c r="P893" t="s">
        <v>1615</v>
      </c>
      <c r="Q893" t="s">
        <v>679</v>
      </c>
      <c r="R893" t="s">
        <v>3456</v>
      </c>
      <c r="S893" t="s">
        <v>680</v>
      </c>
      <c r="T893">
        <v>9980</v>
      </c>
      <c r="U893">
        <v>14.2</v>
      </c>
      <c r="V893">
        <v>1795</v>
      </c>
      <c r="W893">
        <v>9.1999999999999993</v>
      </c>
      <c r="X893">
        <v>1771</v>
      </c>
      <c r="Y893">
        <v>71.400000000000006</v>
      </c>
      <c r="Z893">
        <v>526</v>
      </c>
      <c r="AA893">
        <v>49.8</v>
      </c>
      <c r="AB893">
        <v>812</v>
      </c>
      <c r="AC893">
        <v>49</v>
      </c>
      <c r="AD893">
        <v>830</v>
      </c>
      <c r="AE893" t="s">
        <v>57</v>
      </c>
      <c r="AF893">
        <v>0</v>
      </c>
      <c r="AG893" t="s">
        <v>3457</v>
      </c>
      <c r="AH893">
        <v>621630</v>
      </c>
      <c r="AI893" t="s">
        <v>1160</v>
      </c>
      <c r="AJ893" s="1">
        <v>166653</v>
      </c>
      <c r="AK893">
        <v>25.2</v>
      </c>
      <c r="AL893" s="2">
        <v>0.02</v>
      </c>
      <c r="AM893" s="3">
        <v>2.2000000000000002</v>
      </c>
      <c r="AN893" t="s">
        <v>3456</v>
      </c>
      <c r="AO893" t="s">
        <v>3458</v>
      </c>
      <c r="AP893" t="b">
        <v>0</v>
      </c>
      <c r="AQ893" t="b">
        <v>0</v>
      </c>
      <c r="AR893" t="b">
        <v>0</v>
      </c>
    </row>
    <row r="894" spans="1:45" x14ac:dyDescent="0.3">
      <c r="A894" t="s">
        <v>2357</v>
      </c>
      <c r="B894" t="s">
        <v>1621</v>
      </c>
      <c r="C894" t="s">
        <v>3459</v>
      </c>
      <c r="D894" t="s">
        <v>378</v>
      </c>
      <c r="E894" t="s">
        <v>379</v>
      </c>
      <c r="F894" t="s">
        <v>56</v>
      </c>
      <c r="G894">
        <v>3.5</v>
      </c>
      <c r="H894">
        <v>3.5</v>
      </c>
      <c r="I894">
        <v>12.8</v>
      </c>
      <c r="J894">
        <v>1.4</v>
      </c>
      <c r="K894">
        <v>1.6</v>
      </c>
      <c r="L894">
        <v>14.9</v>
      </c>
      <c r="M894">
        <v>11.4</v>
      </c>
      <c r="N894">
        <v>1.9</v>
      </c>
      <c r="O894">
        <v>1</v>
      </c>
      <c r="P894" t="s">
        <v>1615</v>
      </c>
      <c r="Q894" t="s">
        <v>733</v>
      </c>
      <c r="R894" t="s">
        <v>3460</v>
      </c>
      <c r="S894" t="s">
        <v>735</v>
      </c>
      <c r="T894">
        <v>10420</v>
      </c>
      <c r="U894">
        <v>20.6</v>
      </c>
      <c r="V894">
        <v>1327</v>
      </c>
      <c r="W894">
        <v>9</v>
      </c>
      <c r="X894">
        <v>1793</v>
      </c>
      <c r="Y894">
        <v>54.9</v>
      </c>
      <c r="Z894">
        <v>890</v>
      </c>
      <c r="AA894">
        <v>17.899999999999999</v>
      </c>
      <c r="AB894">
        <v>1673</v>
      </c>
      <c r="AC894">
        <v>31.7</v>
      </c>
      <c r="AD894">
        <v>1436</v>
      </c>
      <c r="AE894" t="s">
        <v>57</v>
      </c>
      <c r="AF894">
        <v>0</v>
      </c>
      <c r="AG894" t="s">
        <v>3461</v>
      </c>
      <c r="AH894">
        <v>587727</v>
      </c>
      <c r="AI894" t="s">
        <v>381</v>
      </c>
      <c r="AJ894" s="1">
        <v>26030</v>
      </c>
      <c r="AK894">
        <v>12.4</v>
      </c>
      <c r="AL894" s="2">
        <v>0.12</v>
      </c>
      <c r="AN894" t="s">
        <v>3460</v>
      </c>
      <c r="AO894" t="s">
        <v>3462</v>
      </c>
      <c r="AP894" t="b">
        <v>0</v>
      </c>
      <c r="AQ894" t="b">
        <v>0</v>
      </c>
      <c r="AR894" t="b">
        <v>1</v>
      </c>
    </row>
    <row r="895" spans="1:45" x14ac:dyDescent="0.3">
      <c r="A895" t="s">
        <v>2357</v>
      </c>
      <c r="B895" t="s">
        <v>2357</v>
      </c>
      <c r="C895" t="s">
        <v>3463</v>
      </c>
      <c r="D895" t="s">
        <v>45</v>
      </c>
      <c r="E895" t="s">
        <v>46</v>
      </c>
      <c r="F895" t="s">
        <v>47</v>
      </c>
      <c r="G895">
        <v>3</v>
      </c>
      <c r="H895">
        <v>2.5</v>
      </c>
      <c r="I895">
        <v>9.6999999999999993</v>
      </c>
      <c r="J895">
        <v>3.7</v>
      </c>
      <c r="K895">
        <v>2.9</v>
      </c>
      <c r="L895">
        <v>1.2</v>
      </c>
      <c r="M895">
        <v>9.9</v>
      </c>
      <c r="N895">
        <v>3.1</v>
      </c>
      <c r="O895">
        <v>1</v>
      </c>
      <c r="P895" t="s">
        <v>1615</v>
      </c>
      <c r="Q895" t="s">
        <v>1475</v>
      </c>
      <c r="R895" t="s">
        <v>3463</v>
      </c>
      <c r="T895">
        <v>1000312</v>
      </c>
      <c r="V895">
        <v>0</v>
      </c>
      <c r="X895">
        <v>0</v>
      </c>
      <c r="Z895">
        <v>0</v>
      </c>
      <c r="AB895">
        <v>0</v>
      </c>
      <c r="AD895">
        <v>0</v>
      </c>
      <c r="AE895" t="s">
        <v>208</v>
      </c>
      <c r="AF895">
        <v>0</v>
      </c>
      <c r="AG895" t="s">
        <v>3464</v>
      </c>
      <c r="AH895">
        <v>131382</v>
      </c>
      <c r="AI895" t="s">
        <v>46</v>
      </c>
      <c r="AJ895" s="1">
        <v>5285</v>
      </c>
      <c r="AK895">
        <v>14.8</v>
      </c>
      <c r="AL895" s="2">
        <v>0.01</v>
      </c>
      <c r="AM895" s="3">
        <v>2.5277777777777777</v>
      </c>
      <c r="AN895" t="s">
        <v>3463</v>
      </c>
      <c r="AO895" t="s">
        <v>3465</v>
      </c>
      <c r="AP895" t="b">
        <v>0</v>
      </c>
      <c r="AQ895" t="b">
        <v>0</v>
      </c>
      <c r="AR895" t="b">
        <v>0</v>
      </c>
      <c r="AS895" t="s">
        <v>3466</v>
      </c>
    </row>
    <row r="896" spans="1:45" x14ac:dyDescent="0.3">
      <c r="A896" t="s">
        <v>2357</v>
      </c>
      <c r="B896" t="s">
        <v>2357</v>
      </c>
      <c r="C896" t="s">
        <v>3467</v>
      </c>
      <c r="D896" t="s">
        <v>378</v>
      </c>
      <c r="E896" t="s">
        <v>379</v>
      </c>
      <c r="F896" t="s">
        <v>56</v>
      </c>
      <c r="G896">
        <v>3.3</v>
      </c>
      <c r="H896">
        <v>1.8</v>
      </c>
      <c r="I896">
        <v>14.1</v>
      </c>
      <c r="J896">
        <v>1.3</v>
      </c>
      <c r="K896">
        <v>1.9</v>
      </c>
      <c r="L896">
        <v>3.8</v>
      </c>
      <c r="M896">
        <v>26.4</v>
      </c>
      <c r="N896">
        <v>5.2</v>
      </c>
      <c r="O896">
        <v>1.2</v>
      </c>
      <c r="P896" t="s">
        <v>1615</v>
      </c>
      <c r="Q896" t="s">
        <v>1068</v>
      </c>
      <c r="R896" t="s">
        <v>3467</v>
      </c>
      <c r="S896" t="s">
        <v>1070</v>
      </c>
      <c r="T896">
        <v>16570</v>
      </c>
      <c r="U896">
        <v>18.600000000000001</v>
      </c>
      <c r="V896">
        <v>1492</v>
      </c>
      <c r="W896">
        <v>11.5</v>
      </c>
      <c r="X896">
        <v>1464</v>
      </c>
      <c r="Y896">
        <v>9.1</v>
      </c>
      <c r="Z896">
        <v>1864</v>
      </c>
      <c r="AA896">
        <v>18.899999999999999</v>
      </c>
      <c r="AB896">
        <v>1598</v>
      </c>
      <c r="AC896">
        <v>28.1</v>
      </c>
      <c r="AD896">
        <v>1572</v>
      </c>
      <c r="AE896" t="s">
        <v>57</v>
      </c>
      <c r="AF896">
        <v>0</v>
      </c>
      <c r="AG896" t="s">
        <v>3468</v>
      </c>
      <c r="AH896">
        <v>587733</v>
      </c>
      <c r="AI896" t="s">
        <v>381</v>
      </c>
      <c r="AJ896" s="1">
        <v>13496</v>
      </c>
      <c r="AK896">
        <v>14.2</v>
      </c>
      <c r="AL896" s="2">
        <v>0.04</v>
      </c>
      <c r="AM896" s="3">
        <v>2.8555555555555556</v>
      </c>
      <c r="AN896" t="s">
        <v>3467</v>
      </c>
      <c r="AO896" t="s">
        <v>3469</v>
      </c>
      <c r="AP896" t="b">
        <v>0</v>
      </c>
      <c r="AQ896" t="b">
        <v>0</v>
      </c>
      <c r="AR896" t="b">
        <v>1</v>
      </c>
    </row>
    <row r="897" spans="1:45" x14ac:dyDescent="0.3">
      <c r="A897" t="s">
        <v>2357</v>
      </c>
      <c r="B897" t="s">
        <v>1621</v>
      </c>
      <c r="C897" t="s">
        <v>3470</v>
      </c>
      <c r="D897" t="s">
        <v>175</v>
      </c>
      <c r="E897" t="s">
        <v>176</v>
      </c>
      <c r="F897" t="s">
        <v>56</v>
      </c>
      <c r="G897">
        <v>4.0999999999999996</v>
      </c>
      <c r="H897">
        <v>5.0999999999999996</v>
      </c>
      <c r="I897">
        <v>5</v>
      </c>
      <c r="J897">
        <v>2.4</v>
      </c>
      <c r="K897">
        <v>21.9</v>
      </c>
      <c r="L897">
        <v>3.4</v>
      </c>
      <c r="M897">
        <v>13</v>
      </c>
      <c r="N897">
        <v>7.7</v>
      </c>
      <c r="O897">
        <v>1</v>
      </c>
      <c r="P897" t="s">
        <v>1615</v>
      </c>
      <c r="Q897" t="s">
        <v>1068</v>
      </c>
      <c r="R897" t="s">
        <v>3470</v>
      </c>
      <c r="S897" t="s">
        <v>1070</v>
      </c>
      <c r="T897">
        <v>16950</v>
      </c>
      <c r="U897">
        <v>15.7</v>
      </c>
      <c r="V897">
        <v>1718</v>
      </c>
      <c r="W897">
        <v>9.5</v>
      </c>
      <c r="X897">
        <v>1712</v>
      </c>
      <c r="Y897">
        <v>15.4</v>
      </c>
      <c r="Z897">
        <v>1757</v>
      </c>
      <c r="AA897">
        <v>20.7</v>
      </c>
      <c r="AB897">
        <v>1499</v>
      </c>
      <c r="AC897">
        <v>40.9</v>
      </c>
      <c r="AD897">
        <v>1084</v>
      </c>
      <c r="AE897" t="s">
        <v>57</v>
      </c>
      <c r="AF897">
        <v>0</v>
      </c>
      <c r="AG897" t="s">
        <v>3471</v>
      </c>
      <c r="AH897">
        <v>587742</v>
      </c>
      <c r="AI897" t="s">
        <v>176</v>
      </c>
      <c r="AJ897" s="1">
        <v>25232</v>
      </c>
      <c r="AK897">
        <v>24.7</v>
      </c>
      <c r="AL897" s="2">
        <v>0.04</v>
      </c>
      <c r="AM897" s="3">
        <v>2.0770833333333334</v>
      </c>
      <c r="AN897" t="s">
        <v>3470</v>
      </c>
      <c r="AO897" t="s">
        <v>3472</v>
      </c>
      <c r="AP897" t="b">
        <v>0</v>
      </c>
      <c r="AQ897" t="b">
        <v>0</v>
      </c>
      <c r="AR897" t="b">
        <v>0</v>
      </c>
    </row>
    <row r="898" spans="1:45" x14ac:dyDescent="0.3">
      <c r="A898" t="s">
        <v>2357</v>
      </c>
      <c r="B898" t="s">
        <v>1621</v>
      </c>
      <c r="C898" t="s">
        <v>3473</v>
      </c>
      <c r="D898" t="s">
        <v>2192</v>
      </c>
      <c r="E898" t="s">
        <v>2193</v>
      </c>
      <c r="F898" t="s">
        <v>56</v>
      </c>
      <c r="G898">
        <v>3.6</v>
      </c>
      <c r="H898">
        <v>3.2</v>
      </c>
      <c r="I898">
        <v>8.5</v>
      </c>
      <c r="J898">
        <v>1.9</v>
      </c>
      <c r="K898">
        <v>13.9</v>
      </c>
      <c r="L898">
        <v>2.9</v>
      </c>
      <c r="M898">
        <v>17</v>
      </c>
      <c r="N898">
        <v>4.0999999999999996</v>
      </c>
      <c r="O898">
        <v>1.2</v>
      </c>
      <c r="P898" t="s">
        <v>1615</v>
      </c>
      <c r="Q898" t="s">
        <v>1068</v>
      </c>
      <c r="R898" t="s">
        <v>3473</v>
      </c>
      <c r="S898" t="s">
        <v>1070</v>
      </c>
      <c r="T898">
        <v>17090</v>
      </c>
      <c r="U898">
        <v>18.5</v>
      </c>
      <c r="V898">
        <v>1506</v>
      </c>
      <c r="W898">
        <v>14</v>
      </c>
      <c r="X898">
        <v>1205</v>
      </c>
      <c r="Y898">
        <v>29.7</v>
      </c>
      <c r="Z898">
        <v>1452</v>
      </c>
      <c r="AA898">
        <v>16.8</v>
      </c>
      <c r="AB898">
        <v>1774</v>
      </c>
      <c r="AC898">
        <v>28.4</v>
      </c>
      <c r="AD898">
        <v>1563</v>
      </c>
      <c r="AE898" t="s">
        <v>57</v>
      </c>
      <c r="AF898">
        <v>0</v>
      </c>
      <c r="AG898" t="s">
        <v>3474</v>
      </c>
      <c r="AH898">
        <v>706430</v>
      </c>
      <c r="AI898" t="s">
        <v>2193</v>
      </c>
      <c r="AJ898" s="1">
        <v>13369</v>
      </c>
      <c r="AK898">
        <v>16.5</v>
      </c>
      <c r="AL898" s="2">
        <v>0.03</v>
      </c>
      <c r="AM898" s="3">
        <v>2.4868055555555557</v>
      </c>
      <c r="AN898" t="s">
        <v>3473</v>
      </c>
      <c r="AO898" t="s">
        <v>3475</v>
      </c>
      <c r="AP898" t="b">
        <v>0</v>
      </c>
      <c r="AQ898" t="b">
        <v>0</v>
      </c>
      <c r="AR898" t="b">
        <v>0</v>
      </c>
    </row>
    <row r="899" spans="1:45" x14ac:dyDescent="0.3">
      <c r="A899" t="s">
        <v>2357</v>
      </c>
      <c r="B899" t="s">
        <v>2357</v>
      </c>
      <c r="C899" t="s">
        <v>3476</v>
      </c>
      <c r="D899" t="s">
        <v>378</v>
      </c>
      <c r="E899" t="s">
        <v>379</v>
      </c>
      <c r="F899" t="s">
        <v>56</v>
      </c>
      <c r="G899">
        <v>5.5</v>
      </c>
      <c r="H899">
        <v>7</v>
      </c>
      <c r="I899">
        <v>6.6</v>
      </c>
      <c r="J899">
        <v>1.4</v>
      </c>
      <c r="K899">
        <v>1.3</v>
      </c>
      <c r="L899">
        <v>3.3</v>
      </c>
      <c r="M899">
        <v>9.5</v>
      </c>
      <c r="N899">
        <v>5.2</v>
      </c>
      <c r="O899">
        <v>1</v>
      </c>
      <c r="P899" t="s">
        <v>1615</v>
      </c>
      <c r="Q899" t="s">
        <v>1068</v>
      </c>
      <c r="R899" t="s">
        <v>3476</v>
      </c>
      <c r="S899" t="s">
        <v>1070</v>
      </c>
      <c r="T899">
        <v>17260</v>
      </c>
      <c r="U899">
        <v>15</v>
      </c>
      <c r="V899">
        <v>1751</v>
      </c>
      <c r="W899">
        <v>11.7</v>
      </c>
      <c r="X899">
        <v>1441</v>
      </c>
      <c r="Y899">
        <v>8.6</v>
      </c>
      <c r="Z899">
        <v>1874</v>
      </c>
      <c r="AA899">
        <v>48.1</v>
      </c>
      <c r="AB899">
        <v>839</v>
      </c>
      <c r="AC899">
        <v>22.2</v>
      </c>
      <c r="AD899">
        <v>1802</v>
      </c>
      <c r="AE899" t="s">
        <v>57</v>
      </c>
      <c r="AF899">
        <v>0</v>
      </c>
      <c r="AG899" t="s">
        <v>3477</v>
      </c>
      <c r="AH899">
        <v>624096</v>
      </c>
      <c r="AI899" t="s">
        <v>381</v>
      </c>
      <c r="AJ899" s="1">
        <v>26765</v>
      </c>
      <c r="AK899">
        <v>21.5</v>
      </c>
      <c r="AL899" s="2">
        <v>0.05</v>
      </c>
      <c r="AM899" t="s">
        <v>738</v>
      </c>
      <c r="AN899" t="s">
        <v>3476</v>
      </c>
      <c r="AO899" t="s">
        <v>3478</v>
      </c>
      <c r="AP899" t="b">
        <v>0</v>
      </c>
      <c r="AQ899" t="b">
        <v>0</v>
      </c>
      <c r="AR899" t="b">
        <v>1</v>
      </c>
    </row>
    <row r="900" spans="1:45" x14ac:dyDescent="0.3">
      <c r="A900" t="s">
        <v>2357</v>
      </c>
      <c r="B900" t="s">
        <v>1621</v>
      </c>
      <c r="C900" t="s">
        <v>3479</v>
      </c>
      <c r="D900" t="s">
        <v>796</v>
      </c>
      <c r="E900" t="s">
        <v>797</v>
      </c>
      <c r="F900" t="s">
        <v>56</v>
      </c>
      <c r="G900">
        <v>6.6</v>
      </c>
      <c r="H900">
        <v>2.8</v>
      </c>
      <c r="I900">
        <v>6.6</v>
      </c>
      <c r="J900">
        <v>1.9</v>
      </c>
      <c r="K900">
        <v>7.3</v>
      </c>
      <c r="L900">
        <v>1.2</v>
      </c>
      <c r="M900">
        <v>10.1</v>
      </c>
      <c r="N900">
        <v>2.5</v>
      </c>
      <c r="O900">
        <v>1.7</v>
      </c>
      <c r="P900" t="s">
        <v>1615</v>
      </c>
      <c r="Q900" t="s">
        <v>1068</v>
      </c>
      <c r="R900" t="s">
        <v>3479</v>
      </c>
      <c r="S900" t="s">
        <v>1070</v>
      </c>
      <c r="T900">
        <v>17420</v>
      </c>
      <c r="U900">
        <v>15.8</v>
      </c>
      <c r="V900">
        <v>1710</v>
      </c>
      <c r="W900">
        <v>10.5</v>
      </c>
      <c r="X900">
        <v>1590</v>
      </c>
      <c r="Y900">
        <v>14.8</v>
      </c>
      <c r="Z900">
        <v>1769</v>
      </c>
      <c r="AA900">
        <v>28.3</v>
      </c>
      <c r="AB900">
        <v>1226</v>
      </c>
      <c r="AC900">
        <v>33.1</v>
      </c>
      <c r="AD900">
        <v>1385</v>
      </c>
      <c r="AE900" t="s">
        <v>57</v>
      </c>
      <c r="AF900">
        <v>0</v>
      </c>
      <c r="AG900" t="s">
        <v>3480</v>
      </c>
      <c r="AH900">
        <v>625098</v>
      </c>
      <c r="AI900" t="s">
        <v>797</v>
      </c>
      <c r="AJ900" s="1">
        <v>27234</v>
      </c>
      <c r="AK900">
        <v>18.3</v>
      </c>
      <c r="AL900" s="2">
        <v>0.01</v>
      </c>
      <c r="AM900" s="3">
        <v>2.8555555555555556</v>
      </c>
      <c r="AN900" t="s">
        <v>3479</v>
      </c>
      <c r="AO900" t="s">
        <v>3481</v>
      </c>
      <c r="AP900" t="b">
        <v>0</v>
      </c>
      <c r="AQ900" t="b">
        <v>0</v>
      </c>
      <c r="AR900" t="b">
        <v>0</v>
      </c>
    </row>
    <row r="901" spans="1:45" x14ac:dyDescent="0.3">
      <c r="A901" t="s">
        <v>2357</v>
      </c>
      <c r="B901" t="s">
        <v>1621</v>
      </c>
      <c r="C901" t="s">
        <v>3482</v>
      </c>
      <c r="D901" t="s">
        <v>2028</v>
      </c>
      <c r="E901" t="s">
        <v>2029</v>
      </c>
      <c r="F901" t="s">
        <v>56</v>
      </c>
      <c r="G901">
        <v>5.8</v>
      </c>
      <c r="H901">
        <v>3.9</v>
      </c>
      <c r="I901">
        <v>15.8</v>
      </c>
      <c r="J901">
        <v>1.4</v>
      </c>
      <c r="K901">
        <v>1.2</v>
      </c>
      <c r="L901">
        <v>1.2</v>
      </c>
      <c r="M901">
        <v>20</v>
      </c>
      <c r="N901">
        <v>3.7</v>
      </c>
      <c r="O901">
        <v>1</v>
      </c>
      <c r="P901" t="s">
        <v>1615</v>
      </c>
      <c r="Q901" t="s">
        <v>1068</v>
      </c>
      <c r="R901" t="s">
        <v>3482</v>
      </c>
      <c r="S901" t="s">
        <v>1070</v>
      </c>
      <c r="T901">
        <v>17510</v>
      </c>
      <c r="U901">
        <v>20.3</v>
      </c>
      <c r="V901">
        <v>1350</v>
      </c>
      <c r="W901">
        <v>8.9</v>
      </c>
      <c r="X901">
        <v>1814</v>
      </c>
      <c r="Y901">
        <v>30.1</v>
      </c>
      <c r="Z901">
        <v>1442</v>
      </c>
      <c r="AA901">
        <v>25.3</v>
      </c>
      <c r="AB901">
        <v>1328</v>
      </c>
      <c r="AC901">
        <v>25.7</v>
      </c>
      <c r="AD901">
        <v>1676</v>
      </c>
      <c r="AE901" t="s">
        <v>57</v>
      </c>
      <c r="AF901">
        <v>0</v>
      </c>
      <c r="AG901" t="s">
        <v>3483</v>
      </c>
      <c r="AH901">
        <v>724837</v>
      </c>
      <c r="AI901" t="s">
        <v>2029</v>
      </c>
      <c r="AJ901" s="1">
        <v>17628</v>
      </c>
      <c r="AK901">
        <v>15.2</v>
      </c>
      <c r="AL901" s="2">
        <v>0.01</v>
      </c>
      <c r="AM901" s="3">
        <v>1.9131944444444444</v>
      </c>
      <c r="AN901" t="s">
        <v>3482</v>
      </c>
      <c r="AO901" t="s">
        <v>3484</v>
      </c>
      <c r="AP901" t="b">
        <v>0</v>
      </c>
      <c r="AQ901" t="b">
        <v>0</v>
      </c>
      <c r="AR901" t="b">
        <v>0</v>
      </c>
    </row>
    <row r="902" spans="1:45" x14ac:dyDescent="0.3">
      <c r="A902" t="s">
        <v>2357</v>
      </c>
      <c r="B902" t="s">
        <v>1621</v>
      </c>
      <c r="C902" t="s">
        <v>3485</v>
      </c>
      <c r="D902" t="s">
        <v>45</v>
      </c>
      <c r="E902" t="s">
        <v>46</v>
      </c>
      <c r="F902" t="s">
        <v>56</v>
      </c>
      <c r="G902">
        <v>2.7</v>
      </c>
      <c r="H902">
        <v>3.5</v>
      </c>
      <c r="I902">
        <v>11.6</v>
      </c>
      <c r="J902">
        <v>2.8</v>
      </c>
      <c r="K902">
        <v>4.7</v>
      </c>
      <c r="L902">
        <v>3.9</v>
      </c>
      <c r="M902">
        <v>13.2</v>
      </c>
      <c r="N902">
        <v>8.9</v>
      </c>
      <c r="O902">
        <v>1.2</v>
      </c>
      <c r="P902" t="s">
        <v>1615</v>
      </c>
      <c r="Q902" t="s">
        <v>679</v>
      </c>
      <c r="R902" t="s">
        <v>3485</v>
      </c>
      <c r="S902" t="s">
        <v>680</v>
      </c>
      <c r="T902">
        <v>9400</v>
      </c>
      <c r="U902">
        <v>39.1</v>
      </c>
      <c r="V902">
        <v>331</v>
      </c>
      <c r="W902">
        <v>12.2</v>
      </c>
      <c r="X902">
        <v>1389</v>
      </c>
      <c r="Y902">
        <v>50.1</v>
      </c>
      <c r="Z902">
        <v>1020</v>
      </c>
      <c r="AA902">
        <v>38.9</v>
      </c>
      <c r="AB902">
        <v>1008</v>
      </c>
      <c r="AC902">
        <v>34.4</v>
      </c>
      <c r="AD902">
        <v>1342</v>
      </c>
      <c r="AE902" t="s">
        <v>49</v>
      </c>
      <c r="AF902">
        <v>0</v>
      </c>
      <c r="AG902" t="s">
        <v>3486</v>
      </c>
      <c r="AH902">
        <v>592181</v>
      </c>
      <c r="AI902" t="s">
        <v>46</v>
      </c>
      <c r="AJ902" s="1">
        <v>17973</v>
      </c>
      <c r="AK902">
        <v>16.5</v>
      </c>
      <c r="AL902" s="2">
        <v>0.04</v>
      </c>
      <c r="AM902" s="3">
        <v>2.9784722222222224</v>
      </c>
      <c r="AN902" t="s">
        <v>3485</v>
      </c>
      <c r="AO902" t="s">
        <v>3487</v>
      </c>
      <c r="AP902" t="b">
        <v>0</v>
      </c>
      <c r="AQ902" t="b">
        <v>0</v>
      </c>
      <c r="AR902" t="b">
        <v>0</v>
      </c>
      <c r="AS902" t="s">
        <v>3488</v>
      </c>
    </row>
    <row r="903" spans="1:45" x14ac:dyDescent="0.3">
      <c r="A903" t="s">
        <v>2357</v>
      </c>
      <c r="B903" t="s">
        <v>2357</v>
      </c>
      <c r="C903" t="s">
        <v>3489</v>
      </c>
      <c r="D903" t="s">
        <v>1999</v>
      </c>
      <c r="E903" t="s">
        <v>2000</v>
      </c>
      <c r="F903" t="s">
        <v>47</v>
      </c>
      <c r="G903">
        <v>4.0999999999999996</v>
      </c>
      <c r="H903">
        <v>2.9</v>
      </c>
      <c r="I903">
        <v>7.6</v>
      </c>
      <c r="J903">
        <v>3.9</v>
      </c>
      <c r="K903">
        <v>1.8</v>
      </c>
      <c r="L903">
        <v>1.3</v>
      </c>
      <c r="M903">
        <v>28.9</v>
      </c>
      <c r="N903">
        <v>3.9</v>
      </c>
      <c r="O903">
        <v>1.4</v>
      </c>
      <c r="P903" t="s">
        <v>1615</v>
      </c>
      <c r="Q903" t="s">
        <v>621</v>
      </c>
      <c r="R903" t="s">
        <v>3489</v>
      </c>
      <c r="S903" t="s">
        <v>622</v>
      </c>
      <c r="T903">
        <v>13950</v>
      </c>
      <c r="U903">
        <v>26.3</v>
      </c>
      <c r="V903">
        <v>924</v>
      </c>
      <c r="W903">
        <v>12.8</v>
      </c>
      <c r="X903">
        <v>1327</v>
      </c>
      <c r="Y903">
        <v>34.299999999999997</v>
      </c>
      <c r="Z903">
        <v>1342</v>
      </c>
      <c r="AA903">
        <v>43</v>
      </c>
      <c r="AB903">
        <v>922</v>
      </c>
      <c r="AC903">
        <v>30.7</v>
      </c>
      <c r="AD903">
        <v>1473</v>
      </c>
      <c r="AE903" t="s">
        <v>57</v>
      </c>
      <c r="AF903">
        <v>0</v>
      </c>
      <c r="AG903" t="s">
        <v>3490</v>
      </c>
      <c r="AH903">
        <v>131752</v>
      </c>
      <c r="AI903" t="s">
        <v>2000</v>
      </c>
      <c r="AJ903" s="1">
        <v>11476</v>
      </c>
      <c r="AK903">
        <v>13</v>
      </c>
      <c r="AL903" s="2">
        <v>0.01</v>
      </c>
      <c r="AM903" s="3">
        <v>2.3638888888888889</v>
      </c>
      <c r="AN903" t="s">
        <v>3489</v>
      </c>
      <c r="AO903" t="s">
        <v>3491</v>
      </c>
      <c r="AP903" t="b">
        <v>0</v>
      </c>
      <c r="AQ903" t="b">
        <v>0</v>
      </c>
      <c r="AR903" t="b">
        <v>0</v>
      </c>
    </row>
    <row r="904" spans="1:45" x14ac:dyDescent="0.3">
      <c r="A904" t="s">
        <v>2357</v>
      </c>
      <c r="B904" t="s">
        <v>1621</v>
      </c>
      <c r="C904" t="s">
        <v>3492</v>
      </c>
      <c r="D904" t="s">
        <v>378</v>
      </c>
      <c r="E904" t="s">
        <v>379</v>
      </c>
      <c r="F904" t="s">
        <v>56</v>
      </c>
      <c r="G904">
        <v>7</v>
      </c>
      <c r="H904">
        <v>4.0999999999999996</v>
      </c>
      <c r="I904">
        <v>6.4</v>
      </c>
      <c r="J904">
        <v>1.3</v>
      </c>
      <c r="K904">
        <v>1.9</v>
      </c>
      <c r="L904">
        <v>4.4000000000000004</v>
      </c>
      <c r="M904">
        <v>9</v>
      </c>
      <c r="N904">
        <v>5.6</v>
      </c>
      <c r="O904">
        <v>1.2</v>
      </c>
      <c r="P904" t="s">
        <v>1615</v>
      </c>
      <c r="Q904" t="s">
        <v>1475</v>
      </c>
      <c r="R904" t="s">
        <v>3493</v>
      </c>
      <c r="T904">
        <v>1000590</v>
      </c>
      <c r="V904">
        <v>0</v>
      </c>
      <c r="X904">
        <v>0</v>
      </c>
      <c r="Z904">
        <v>0</v>
      </c>
      <c r="AB904">
        <v>0</v>
      </c>
      <c r="AD904">
        <v>0</v>
      </c>
      <c r="AE904" t="s">
        <v>57</v>
      </c>
      <c r="AF904">
        <v>0</v>
      </c>
      <c r="AG904" t="s">
        <v>3494</v>
      </c>
      <c r="AH904">
        <v>621972</v>
      </c>
      <c r="AI904" t="s">
        <v>381</v>
      </c>
      <c r="AJ904" s="1">
        <v>11059</v>
      </c>
      <c r="AK904">
        <v>13.3</v>
      </c>
      <c r="AL904" s="2">
        <v>0.05</v>
      </c>
      <c r="AM904" s="3">
        <v>2.036111111111111</v>
      </c>
      <c r="AN904" t="s">
        <v>3493</v>
      </c>
      <c r="AO904" t="s">
        <v>3495</v>
      </c>
      <c r="AP904" t="b">
        <v>0</v>
      </c>
      <c r="AQ904" t="b">
        <v>0</v>
      </c>
      <c r="AR904" t="b">
        <v>1</v>
      </c>
    </row>
    <row r="905" spans="1:45" x14ac:dyDescent="0.3">
      <c r="A905" t="s">
        <v>2357</v>
      </c>
      <c r="B905" t="s">
        <v>1621</v>
      </c>
      <c r="C905" t="s">
        <v>3496</v>
      </c>
      <c r="D905" t="s">
        <v>378</v>
      </c>
      <c r="E905" t="s">
        <v>379</v>
      </c>
      <c r="F905" t="s">
        <v>47</v>
      </c>
      <c r="G905">
        <v>5.0999999999999996</v>
      </c>
      <c r="H905">
        <v>2.6</v>
      </c>
      <c r="I905">
        <v>14.2</v>
      </c>
      <c r="J905">
        <v>1.2</v>
      </c>
      <c r="K905">
        <v>1.8</v>
      </c>
      <c r="L905">
        <v>4</v>
      </c>
      <c r="M905">
        <v>7.5</v>
      </c>
      <c r="N905">
        <v>3.3</v>
      </c>
      <c r="O905">
        <v>1</v>
      </c>
      <c r="P905" t="s">
        <v>1615</v>
      </c>
      <c r="Q905" t="s">
        <v>1068</v>
      </c>
      <c r="R905" t="s">
        <v>3497</v>
      </c>
      <c r="S905" t="s">
        <v>1070</v>
      </c>
      <c r="T905">
        <v>18170</v>
      </c>
      <c r="U905">
        <v>13.5</v>
      </c>
      <c r="V905">
        <v>1823</v>
      </c>
      <c r="W905">
        <v>13.4</v>
      </c>
      <c r="X905">
        <v>1273</v>
      </c>
      <c r="Y905">
        <v>16.8</v>
      </c>
      <c r="Z905">
        <v>1735</v>
      </c>
      <c r="AA905">
        <v>15.7</v>
      </c>
      <c r="AB905">
        <v>1897</v>
      </c>
      <c r="AC905">
        <v>22.1</v>
      </c>
      <c r="AD905">
        <v>1803</v>
      </c>
      <c r="AE905" t="s">
        <v>57</v>
      </c>
      <c r="AF905">
        <v>0</v>
      </c>
      <c r="AG905" t="s">
        <v>3498</v>
      </c>
      <c r="AH905">
        <v>131647</v>
      </c>
      <c r="AI905" t="s">
        <v>381</v>
      </c>
      <c r="AJ905" s="1">
        <v>16679</v>
      </c>
      <c r="AK905">
        <v>22.1</v>
      </c>
      <c r="AL905" s="2">
        <v>0.04</v>
      </c>
      <c r="AM905" s="3">
        <v>2.8965277777777776</v>
      </c>
      <c r="AN905" t="s">
        <v>3497</v>
      </c>
      <c r="AO905" t="s">
        <v>3499</v>
      </c>
      <c r="AP905" t="b">
        <v>0</v>
      </c>
      <c r="AQ905" t="b">
        <v>0</v>
      </c>
      <c r="AR905" t="b">
        <v>1</v>
      </c>
    </row>
    <row r="906" spans="1:45" x14ac:dyDescent="0.3">
      <c r="A906" t="s">
        <v>2357</v>
      </c>
      <c r="B906" t="s">
        <v>2357</v>
      </c>
      <c r="C906" t="s">
        <v>3500</v>
      </c>
      <c r="D906" t="s">
        <v>962</v>
      </c>
      <c r="E906" t="s">
        <v>963</v>
      </c>
      <c r="F906" t="s">
        <v>77</v>
      </c>
      <c r="G906">
        <v>4.5999999999999996</v>
      </c>
      <c r="H906">
        <v>3.1</v>
      </c>
      <c r="I906">
        <v>3.1</v>
      </c>
      <c r="J906">
        <v>3.3</v>
      </c>
      <c r="K906">
        <v>1.4</v>
      </c>
      <c r="L906">
        <v>11.3</v>
      </c>
      <c r="M906">
        <v>27.6</v>
      </c>
      <c r="N906">
        <v>1.9</v>
      </c>
      <c r="O906">
        <v>2.7</v>
      </c>
      <c r="P906" t="s">
        <v>1615</v>
      </c>
      <c r="Q906" t="s">
        <v>621</v>
      </c>
      <c r="R906" t="s">
        <v>3500</v>
      </c>
      <c r="S906" t="s">
        <v>622</v>
      </c>
      <c r="T906">
        <v>14080</v>
      </c>
      <c r="U906">
        <v>16.5</v>
      </c>
      <c r="V906">
        <v>1662</v>
      </c>
      <c r="W906">
        <v>10.6</v>
      </c>
      <c r="X906">
        <v>1581</v>
      </c>
      <c r="Y906">
        <v>45.4</v>
      </c>
      <c r="Z906">
        <v>1110</v>
      </c>
      <c r="AA906">
        <v>24</v>
      </c>
      <c r="AB906">
        <v>1368</v>
      </c>
      <c r="AC906">
        <v>28.4</v>
      </c>
      <c r="AD906">
        <v>1566</v>
      </c>
      <c r="AE906" t="s">
        <v>57</v>
      </c>
      <c r="AF906">
        <v>0</v>
      </c>
      <c r="AG906" t="s">
        <v>3501</v>
      </c>
      <c r="AH906">
        <v>624642</v>
      </c>
      <c r="AI906" t="s">
        <v>963</v>
      </c>
      <c r="AJ906" s="1">
        <v>42601</v>
      </c>
      <c r="AK906">
        <v>26.6</v>
      </c>
      <c r="AL906" s="2">
        <v>7.0000000000000007E-2</v>
      </c>
      <c r="AM906" s="3">
        <v>2.1590277777777778</v>
      </c>
      <c r="AN906" t="s">
        <v>3500</v>
      </c>
      <c r="AO906" t="s">
        <v>3502</v>
      </c>
      <c r="AP906" t="b">
        <v>0</v>
      </c>
      <c r="AQ906" t="b">
        <v>0</v>
      </c>
      <c r="AR906" t="b">
        <v>0</v>
      </c>
    </row>
    <row r="907" spans="1:45" x14ac:dyDescent="0.3">
      <c r="A907" t="s">
        <v>2357</v>
      </c>
      <c r="B907" t="s">
        <v>1621</v>
      </c>
      <c r="C907" t="s">
        <v>3503</v>
      </c>
      <c r="D907" t="s">
        <v>175</v>
      </c>
      <c r="E907" t="s">
        <v>176</v>
      </c>
      <c r="F907" t="s">
        <v>47</v>
      </c>
      <c r="G907">
        <v>4.5</v>
      </c>
      <c r="H907">
        <v>2.5</v>
      </c>
      <c r="I907">
        <v>3.1</v>
      </c>
      <c r="J907">
        <v>5.0999999999999996</v>
      </c>
      <c r="K907">
        <v>13</v>
      </c>
      <c r="L907">
        <v>8.6999999999999993</v>
      </c>
      <c r="M907">
        <v>14.5</v>
      </c>
      <c r="N907">
        <v>1.8</v>
      </c>
      <c r="O907">
        <v>1</v>
      </c>
      <c r="P907" t="s">
        <v>1615</v>
      </c>
      <c r="Q907" t="s">
        <v>621</v>
      </c>
      <c r="R907" t="s">
        <v>3503</v>
      </c>
      <c r="S907" t="s">
        <v>622</v>
      </c>
      <c r="T907">
        <v>14220</v>
      </c>
      <c r="U907">
        <v>20.8</v>
      </c>
      <c r="V907">
        <v>1316</v>
      </c>
      <c r="W907">
        <v>20.100000000000001</v>
      </c>
      <c r="X907">
        <v>809</v>
      </c>
      <c r="Y907">
        <v>22.3</v>
      </c>
      <c r="Z907">
        <v>1628</v>
      </c>
      <c r="AA907">
        <v>36.299999999999997</v>
      </c>
      <c r="AB907">
        <v>1066</v>
      </c>
      <c r="AC907">
        <v>42.3</v>
      </c>
      <c r="AD907">
        <v>1042</v>
      </c>
      <c r="AE907" t="s">
        <v>57</v>
      </c>
      <c r="AF907">
        <v>0</v>
      </c>
      <c r="AG907" t="s">
        <v>3504</v>
      </c>
      <c r="AH907">
        <v>587799</v>
      </c>
      <c r="AI907" t="s">
        <v>176</v>
      </c>
      <c r="AJ907" s="1">
        <v>9001</v>
      </c>
      <c r="AK907">
        <v>29.7</v>
      </c>
      <c r="AL907" s="2">
        <v>0.05</v>
      </c>
      <c r="AM907">
        <v>0.80694444444444446</v>
      </c>
      <c r="AN907" t="s">
        <v>3505</v>
      </c>
      <c r="AO907" t="s">
        <v>3506</v>
      </c>
      <c r="AP907" t="b">
        <v>0</v>
      </c>
      <c r="AQ907" t="b">
        <v>0</v>
      </c>
      <c r="AR907" t="b">
        <v>0</v>
      </c>
    </row>
    <row r="908" spans="1:45" x14ac:dyDescent="0.3">
      <c r="A908" t="s">
        <v>2357</v>
      </c>
      <c r="B908" t="s">
        <v>1621</v>
      </c>
      <c r="C908" t="s">
        <v>3507</v>
      </c>
      <c r="D908" t="s">
        <v>796</v>
      </c>
      <c r="E908" t="s">
        <v>797</v>
      </c>
      <c r="F908" t="s">
        <v>56</v>
      </c>
      <c r="G908">
        <v>6.3</v>
      </c>
      <c r="H908">
        <v>5.4</v>
      </c>
      <c r="I908">
        <v>4.4000000000000004</v>
      </c>
      <c r="J908">
        <v>2.8</v>
      </c>
      <c r="K908">
        <v>4.3</v>
      </c>
      <c r="L908">
        <v>1.2</v>
      </c>
      <c r="M908">
        <v>24.7</v>
      </c>
      <c r="N908">
        <v>2.5</v>
      </c>
      <c r="O908">
        <v>1</v>
      </c>
      <c r="P908" t="s">
        <v>1615</v>
      </c>
      <c r="Q908" t="s">
        <v>1068</v>
      </c>
      <c r="R908" t="s">
        <v>3507</v>
      </c>
      <c r="S908" t="s">
        <v>1070</v>
      </c>
      <c r="T908">
        <v>18430</v>
      </c>
      <c r="U908">
        <v>19.3</v>
      </c>
      <c r="V908">
        <v>1445</v>
      </c>
      <c r="W908">
        <v>13.6</v>
      </c>
      <c r="X908">
        <v>1244</v>
      </c>
      <c r="Y908">
        <v>20.7</v>
      </c>
      <c r="Z908">
        <v>1666</v>
      </c>
      <c r="AA908">
        <v>38</v>
      </c>
      <c r="AB908">
        <v>1019</v>
      </c>
      <c r="AC908">
        <v>29</v>
      </c>
      <c r="AD908">
        <v>1540</v>
      </c>
      <c r="AE908" t="s">
        <v>57</v>
      </c>
      <c r="AF908">
        <v>0</v>
      </c>
      <c r="AG908" t="s">
        <v>3508</v>
      </c>
      <c r="AH908">
        <v>625062</v>
      </c>
      <c r="AI908" t="s">
        <v>797</v>
      </c>
      <c r="AJ908" s="1">
        <v>22163</v>
      </c>
      <c r="AK908">
        <v>18.8</v>
      </c>
      <c r="AL908" s="2">
        <v>0.02</v>
      </c>
      <c r="AM908" s="3">
        <v>2.8965277777777776</v>
      </c>
      <c r="AN908" t="s">
        <v>3507</v>
      </c>
      <c r="AO908" t="s">
        <v>3509</v>
      </c>
      <c r="AP908" t="b">
        <v>0</v>
      </c>
      <c r="AQ908" t="b">
        <v>0</v>
      </c>
      <c r="AR908" t="b">
        <v>0</v>
      </c>
    </row>
    <row r="909" spans="1:45" x14ac:dyDescent="0.3">
      <c r="A909" t="s">
        <v>2357</v>
      </c>
      <c r="B909" t="s">
        <v>2357</v>
      </c>
      <c r="C909" t="s">
        <v>3510</v>
      </c>
      <c r="D909" t="s">
        <v>297</v>
      </c>
      <c r="E909" t="s">
        <v>298</v>
      </c>
      <c r="F909" t="s">
        <v>56</v>
      </c>
      <c r="G909">
        <v>4.7</v>
      </c>
      <c r="H909">
        <v>5.3</v>
      </c>
      <c r="I909">
        <v>4.0999999999999996</v>
      </c>
      <c r="J909">
        <v>1.8</v>
      </c>
      <c r="K909">
        <v>3.8</v>
      </c>
      <c r="L909">
        <v>2.9</v>
      </c>
      <c r="M909">
        <v>3.4</v>
      </c>
      <c r="N909">
        <v>3.2</v>
      </c>
      <c r="O909">
        <v>1.8</v>
      </c>
      <c r="P909" t="s">
        <v>1615</v>
      </c>
      <c r="Q909" t="s">
        <v>1475</v>
      </c>
      <c r="R909" t="s">
        <v>3511</v>
      </c>
      <c r="T909">
        <v>1000633</v>
      </c>
      <c r="V909">
        <v>0</v>
      </c>
      <c r="X909">
        <v>0</v>
      </c>
      <c r="Z909">
        <v>0</v>
      </c>
      <c r="AB909">
        <v>0</v>
      </c>
      <c r="AD909">
        <v>0</v>
      </c>
      <c r="AE909" t="s">
        <v>57</v>
      </c>
      <c r="AF909">
        <v>0</v>
      </c>
      <c r="AG909" t="s">
        <v>3512</v>
      </c>
      <c r="AH909">
        <v>623895</v>
      </c>
      <c r="AI909" t="s">
        <v>298</v>
      </c>
      <c r="AJ909" s="1">
        <v>14828</v>
      </c>
      <c r="AK909">
        <v>34.6</v>
      </c>
      <c r="AL909" s="2">
        <v>0.04</v>
      </c>
      <c r="AM909" s="3">
        <v>2.5277777777777777</v>
      </c>
      <c r="AN909" t="s">
        <v>3511</v>
      </c>
      <c r="AO909" t="s">
        <v>3513</v>
      </c>
      <c r="AP909" t="b">
        <v>0</v>
      </c>
      <c r="AQ909" t="b">
        <v>0</v>
      </c>
      <c r="AR909" t="b">
        <v>0</v>
      </c>
    </row>
    <row r="910" spans="1:45" x14ac:dyDescent="0.3">
      <c r="A910" t="s">
        <v>2357</v>
      </c>
      <c r="B910" t="s">
        <v>1621</v>
      </c>
      <c r="C910" t="s">
        <v>3514</v>
      </c>
      <c r="D910" t="s">
        <v>166</v>
      </c>
      <c r="E910" t="s">
        <v>167</v>
      </c>
      <c r="F910" t="s">
        <v>56</v>
      </c>
      <c r="G910">
        <v>3.5</v>
      </c>
      <c r="H910">
        <v>6</v>
      </c>
      <c r="I910">
        <v>8.3000000000000007</v>
      </c>
      <c r="J910">
        <v>4.5</v>
      </c>
      <c r="K910">
        <v>5.2</v>
      </c>
      <c r="L910">
        <v>11.2</v>
      </c>
      <c r="M910">
        <v>14.9</v>
      </c>
      <c r="N910">
        <v>2.8</v>
      </c>
      <c r="O910">
        <v>1</v>
      </c>
      <c r="P910" t="s">
        <v>1615</v>
      </c>
      <c r="Q910" t="s">
        <v>621</v>
      </c>
      <c r="R910" t="s">
        <v>3514</v>
      </c>
      <c r="S910" t="s">
        <v>622</v>
      </c>
      <c r="T910">
        <v>14300</v>
      </c>
      <c r="U910">
        <v>26.7</v>
      </c>
      <c r="V910">
        <v>895</v>
      </c>
      <c r="W910">
        <v>15</v>
      </c>
      <c r="X910">
        <v>1125</v>
      </c>
      <c r="Y910">
        <v>25.1</v>
      </c>
      <c r="Z910">
        <v>1560</v>
      </c>
      <c r="AA910">
        <v>47.4</v>
      </c>
      <c r="AB910">
        <v>857</v>
      </c>
      <c r="AC910">
        <v>35.6</v>
      </c>
      <c r="AD910">
        <v>1291</v>
      </c>
      <c r="AE910" t="s">
        <v>57</v>
      </c>
      <c r="AF910">
        <v>0</v>
      </c>
      <c r="AG910" t="s">
        <v>3515</v>
      </c>
      <c r="AH910">
        <v>624945</v>
      </c>
      <c r="AI910" t="s">
        <v>167</v>
      </c>
      <c r="AJ910" s="1">
        <v>15808</v>
      </c>
      <c r="AK910">
        <v>18.600000000000001</v>
      </c>
      <c r="AL910" s="2">
        <v>0.12</v>
      </c>
      <c r="AM910" s="3">
        <v>2.036111111111111</v>
      </c>
      <c r="AN910" t="s">
        <v>3514</v>
      </c>
      <c r="AO910" t="s">
        <v>3516</v>
      </c>
      <c r="AP910" t="b">
        <v>0</v>
      </c>
      <c r="AQ910" t="b">
        <v>0</v>
      </c>
      <c r="AR910" t="b">
        <v>0</v>
      </c>
    </row>
    <row r="911" spans="1:45" x14ac:dyDescent="0.3">
      <c r="A911" t="s">
        <v>2357</v>
      </c>
      <c r="B911" t="s">
        <v>2357</v>
      </c>
      <c r="C911" t="s">
        <v>3517</v>
      </c>
      <c r="D911" t="s">
        <v>878</v>
      </c>
      <c r="E911" t="s">
        <v>879</v>
      </c>
      <c r="F911" t="s">
        <v>56</v>
      </c>
      <c r="G911">
        <v>6.3</v>
      </c>
      <c r="H911">
        <v>2.5</v>
      </c>
      <c r="I911">
        <v>8.6999999999999993</v>
      </c>
      <c r="J911">
        <v>1.7</v>
      </c>
      <c r="K911">
        <v>13.7</v>
      </c>
      <c r="L911">
        <v>1.3</v>
      </c>
      <c r="M911">
        <v>11.5</v>
      </c>
      <c r="N911">
        <v>5.4</v>
      </c>
      <c r="O911">
        <v>1.1000000000000001</v>
      </c>
      <c r="P911" t="s">
        <v>1615</v>
      </c>
      <c r="Q911" t="s">
        <v>1068</v>
      </c>
      <c r="R911" t="s">
        <v>3517</v>
      </c>
      <c r="S911" t="s">
        <v>1070</v>
      </c>
      <c r="T911">
        <v>18560</v>
      </c>
      <c r="U911">
        <v>18.5</v>
      </c>
      <c r="V911">
        <v>1510</v>
      </c>
      <c r="W911">
        <v>11.1</v>
      </c>
      <c r="X911">
        <v>1516</v>
      </c>
      <c r="Y911">
        <v>30</v>
      </c>
      <c r="Z911">
        <v>1443</v>
      </c>
      <c r="AA911">
        <v>15.8</v>
      </c>
      <c r="AB911">
        <v>1890</v>
      </c>
      <c r="AC911">
        <v>31.4</v>
      </c>
      <c r="AD911">
        <v>1449</v>
      </c>
      <c r="AE911" t="s">
        <v>57</v>
      </c>
      <c r="AF911">
        <v>0</v>
      </c>
      <c r="AG911" t="s">
        <v>3518</v>
      </c>
      <c r="AH911">
        <v>715126</v>
      </c>
      <c r="AI911" t="s">
        <v>879</v>
      </c>
      <c r="AJ911" s="1">
        <v>33358</v>
      </c>
      <c r="AK911">
        <v>30.5</v>
      </c>
      <c r="AL911" s="2">
        <v>0.04</v>
      </c>
      <c r="AM911" s="3">
        <v>2.3229166666666665</v>
      </c>
      <c r="AN911" t="s">
        <v>3517</v>
      </c>
      <c r="AO911" t="s">
        <v>3519</v>
      </c>
      <c r="AP911" t="b">
        <v>0</v>
      </c>
      <c r="AQ911" t="b">
        <v>0</v>
      </c>
      <c r="AR911" t="b">
        <v>0</v>
      </c>
    </row>
    <row r="912" spans="1:45" x14ac:dyDescent="0.3">
      <c r="A912" t="s">
        <v>2357</v>
      </c>
      <c r="B912" t="s">
        <v>1621</v>
      </c>
      <c r="C912" t="s">
        <v>3520</v>
      </c>
      <c r="D912" t="s">
        <v>2192</v>
      </c>
      <c r="E912" t="s">
        <v>2193</v>
      </c>
      <c r="F912" t="s">
        <v>47</v>
      </c>
      <c r="G912">
        <v>3.8</v>
      </c>
      <c r="H912">
        <v>2.4</v>
      </c>
      <c r="I912">
        <v>4.5</v>
      </c>
      <c r="J912">
        <v>4.2</v>
      </c>
      <c r="K912">
        <v>2.2999999999999998</v>
      </c>
      <c r="L912">
        <v>25.5</v>
      </c>
      <c r="M912">
        <v>19.3</v>
      </c>
      <c r="N912">
        <v>4.0999999999999996</v>
      </c>
      <c r="O912">
        <v>1.9</v>
      </c>
      <c r="P912" t="s">
        <v>1615</v>
      </c>
      <c r="Q912" t="s">
        <v>621</v>
      </c>
      <c r="R912" t="s">
        <v>3521</v>
      </c>
      <c r="S912" t="s">
        <v>622</v>
      </c>
      <c r="T912">
        <v>14400</v>
      </c>
      <c r="U912">
        <v>15.6</v>
      </c>
      <c r="V912">
        <v>1727</v>
      </c>
      <c r="W912">
        <v>13</v>
      </c>
      <c r="X912">
        <v>1309</v>
      </c>
      <c r="Y912">
        <v>49.3</v>
      </c>
      <c r="Z912">
        <v>1032</v>
      </c>
      <c r="AA912">
        <v>16.8</v>
      </c>
      <c r="AB912">
        <v>1777</v>
      </c>
      <c r="AC912">
        <v>36.9</v>
      </c>
      <c r="AD912">
        <v>1248</v>
      </c>
      <c r="AE912" t="s">
        <v>57</v>
      </c>
      <c r="AF912">
        <v>0</v>
      </c>
      <c r="AG912" t="s">
        <v>3522</v>
      </c>
      <c r="AH912">
        <v>672258</v>
      </c>
      <c r="AI912" t="s">
        <v>2193</v>
      </c>
      <c r="AJ912" s="1">
        <v>8939</v>
      </c>
      <c r="AK912">
        <v>22.9</v>
      </c>
      <c r="AL912" s="2">
        <v>0.14000000000000001</v>
      </c>
      <c r="AM912" s="3">
        <v>2.4868055555555557</v>
      </c>
      <c r="AN912" t="s">
        <v>3521</v>
      </c>
      <c r="AO912" t="s">
        <v>3523</v>
      </c>
      <c r="AP912" t="b">
        <v>0</v>
      </c>
      <c r="AQ912" t="b">
        <v>0</v>
      </c>
      <c r="AR912" t="b">
        <v>0</v>
      </c>
    </row>
    <row r="913" spans="1:44" x14ac:dyDescent="0.3">
      <c r="A913" t="s">
        <v>2357</v>
      </c>
      <c r="B913" t="s">
        <v>1621</v>
      </c>
      <c r="C913" t="s">
        <v>3524</v>
      </c>
      <c r="D913" t="s">
        <v>1652</v>
      </c>
      <c r="E913" t="s">
        <v>1653</v>
      </c>
      <c r="F913" t="s">
        <v>47</v>
      </c>
      <c r="G913">
        <v>6.3</v>
      </c>
      <c r="H913">
        <v>8.6999999999999993</v>
      </c>
      <c r="I913">
        <v>3</v>
      </c>
      <c r="J913">
        <v>2.5</v>
      </c>
      <c r="L913">
        <v>1.1000000000000001</v>
      </c>
      <c r="M913">
        <v>8.8000000000000007</v>
      </c>
      <c r="N913">
        <v>3.9</v>
      </c>
      <c r="O913">
        <v>1</v>
      </c>
      <c r="P913" t="s">
        <v>1615</v>
      </c>
      <c r="Q913" t="s">
        <v>1475</v>
      </c>
      <c r="R913" t="s">
        <v>3524</v>
      </c>
      <c r="T913">
        <v>1000721</v>
      </c>
      <c r="V913">
        <v>0</v>
      </c>
      <c r="X913">
        <v>0</v>
      </c>
      <c r="Z913">
        <v>0</v>
      </c>
      <c r="AB913">
        <v>0</v>
      </c>
      <c r="AD913">
        <v>0</v>
      </c>
      <c r="AE913" t="s">
        <v>57</v>
      </c>
      <c r="AF913">
        <v>0</v>
      </c>
      <c r="AG913" t="s">
        <v>3525</v>
      </c>
      <c r="AH913">
        <v>623886</v>
      </c>
      <c r="AI913" t="s">
        <v>1653</v>
      </c>
      <c r="AJ913" s="1">
        <v>4759</v>
      </c>
      <c r="AK913">
        <v>21.9</v>
      </c>
      <c r="AL913" s="2">
        <v>0.01</v>
      </c>
      <c r="AM913" t="s">
        <v>427</v>
      </c>
      <c r="AN913" t="s">
        <v>3524</v>
      </c>
      <c r="AO913" t="s">
        <v>3526</v>
      </c>
      <c r="AP913" t="b">
        <v>0</v>
      </c>
      <c r="AQ913" t="b">
        <v>0</v>
      </c>
      <c r="AR913" t="b">
        <v>0</v>
      </c>
    </row>
    <row r="914" spans="1:44" x14ac:dyDescent="0.3">
      <c r="A914" t="s">
        <v>2357</v>
      </c>
      <c r="B914" t="s">
        <v>2357</v>
      </c>
      <c r="C914" t="s">
        <v>3527</v>
      </c>
      <c r="D914" t="s">
        <v>370</v>
      </c>
      <c r="E914" t="s">
        <v>371</v>
      </c>
      <c r="F914" t="s">
        <v>77</v>
      </c>
      <c r="G914">
        <v>5.3</v>
      </c>
      <c r="H914">
        <v>2</v>
      </c>
      <c r="I914">
        <v>4.2</v>
      </c>
      <c r="J914">
        <v>3.1</v>
      </c>
      <c r="K914">
        <v>12.4</v>
      </c>
      <c r="L914">
        <v>1.4</v>
      </c>
      <c r="M914">
        <v>32.6</v>
      </c>
      <c r="N914">
        <v>2.1</v>
      </c>
      <c r="O914">
        <v>2.8</v>
      </c>
      <c r="P914" t="s">
        <v>1615</v>
      </c>
      <c r="Q914" t="s">
        <v>733</v>
      </c>
      <c r="R914" t="s">
        <v>3527</v>
      </c>
      <c r="S914" t="s">
        <v>735</v>
      </c>
      <c r="T914">
        <v>10140</v>
      </c>
      <c r="U914">
        <v>12.5</v>
      </c>
      <c r="V914">
        <v>1859</v>
      </c>
      <c r="W914">
        <v>12.2</v>
      </c>
      <c r="X914">
        <v>1385</v>
      </c>
      <c r="Y914">
        <v>54.5</v>
      </c>
      <c r="Z914">
        <v>895</v>
      </c>
      <c r="AA914">
        <v>16.100000000000001</v>
      </c>
      <c r="AB914">
        <v>1846</v>
      </c>
      <c r="AC914">
        <v>55.4</v>
      </c>
      <c r="AD914">
        <v>668</v>
      </c>
      <c r="AE914" t="s">
        <v>57</v>
      </c>
      <c r="AF914">
        <v>0</v>
      </c>
      <c r="AG914" t="s">
        <v>3528</v>
      </c>
      <c r="AH914">
        <v>626166</v>
      </c>
      <c r="AI914" t="s">
        <v>371</v>
      </c>
      <c r="AJ914" s="1">
        <v>30336</v>
      </c>
      <c r="AK914">
        <v>25.5</v>
      </c>
      <c r="AL914" s="2">
        <v>0.01</v>
      </c>
      <c r="AM914" s="3">
        <v>2.7326388888888888</v>
      </c>
      <c r="AN914" t="s">
        <v>3527</v>
      </c>
      <c r="AO914" t="s">
        <v>3529</v>
      </c>
      <c r="AP914" t="b">
        <v>0</v>
      </c>
      <c r="AQ914" t="b">
        <v>0</v>
      </c>
      <c r="AR914" t="b">
        <v>0</v>
      </c>
    </row>
    <row r="915" spans="1:44" x14ac:dyDescent="0.3">
      <c r="A915" t="s">
        <v>2357</v>
      </c>
      <c r="B915" t="s">
        <v>2357</v>
      </c>
      <c r="C915" t="s">
        <v>3530</v>
      </c>
      <c r="D915" t="s">
        <v>1994</v>
      </c>
      <c r="E915" t="s">
        <v>1995</v>
      </c>
      <c r="F915" t="s">
        <v>56</v>
      </c>
      <c r="G915">
        <v>4.4000000000000004</v>
      </c>
      <c r="H915">
        <v>2.4</v>
      </c>
      <c r="I915">
        <v>6</v>
      </c>
      <c r="J915">
        <v>2.1</v>
      </c>
      <c r="K915">
        <v>3.8</v>
      </c>
      <c r="L915">
        <v>1.5</v>
      </c>
      <c r="M915">
        <v>7.3</v>
      </c>
      <c r="N915">
        <v>2</v>
      </c>
      <c r="O915">
        <v>1</v>
      </c>
      <c r="P915" t="s">
        <v>1615</v>
      </c>
      <c r="Q915" t="s">
        <v>1068</v>
      </c>
      <c r="R915" t="s">
        <v>3531</v>
      </c>
      <c r="S915" t="s">
        <v>1070</v>
      </c>
      <c r="T915">
        <v>15390</v>
      </c>
      <c r="U915">
        <v>19.100000000000001</v>
      </c>
      <c r="V915">
        <v>1457</v>
      </c>
      <c r="W915">
        <v>10.5</v>
      </c>
      <c r="X915">
        <v>1584</v>
      </c>
      <c r="Y915">
        <v>19.100000000000001</v>
      </c>
      <c r="Z915">
        <v>1699</v>
      </c>
      <c r="AA915">
        <v>23.7</v>
      </c>
      <c r="AB915">
        <v>1376</v>
      </c>
      <c r="AC915">
        <v>30</v>
      </c>
      <c r="AD915">
        <v>1494</v>
      </c>
      <c r="AE915" t="s">
        <v>57</v>
      </c>
      <c r="AF915">
        <v>0</v>
      </c>
      <c r="AG915" t="s">
        <v>3532</v>
      </c>
      <c r="AH915">
        <v>625539</v>
      </c>
      <c r="AI915" t="s">
        <v>1995</v>
      </c>
      <c r="AJ915" s="1">
        <v>25567</v>
      </c>
      <c r="AK915">
        <v>45.2</v>
      </c>
      <c r="AL915" s="2">
        <v>0.01</v>
      </c>
      <c r="AM915" s="3">
        <v>2.4048611111111109</v>
      </c>
      <c r="AN915" t="s">
        <v>3531</v>
      </c>
      <c r="AO915" t="s">
        <v>3533</v>
      </c>
      <c r="AP915" t="b">
        <v>0</v>
      </c>
      <c r="AQ915" t="b">
        <v>0</v>
      </c>
      <c r="AR915" t="b">
        <v>0</v>
      </c>
    </row>
    <row r="916" spans="1:44" x14ac:dyDescent="0.3">
      <c r="A916" t="s">
        <v>2357</v>
      </c>
      <c r="B916" t="s">
        <v>2357</v>
      </c>
      <c r="C916" t="s">
        <v>3534</v>
      </c>
      <c r="D916" t="s">
        <v>1994</v>
      </c>
      <c r="E916" t="s">
        <v>1995</v>
      </c>
      <c r="F916" t="s">
        <v>56</v>
      </c>
      <c r="G916">
        <v>5.5</v>
      </c>
      <c r="H916">
        <v>1.5</v>
      </c>
      <c r="I916">
        <v>4.9000000000000004</v>
      </c>
      <c r="J916">
        <v>2.4</v>
      </c>
      <c r="K916">
        <v>2.2000000000000002</v>
      </c>
      <c r="L916">
        <v>1.1000000000000001</v>
      </c>
      <c r="M916">
        <v>10.1</v>
      </c>
      <c r="N916">
        <v>1.6</v>
      </c>
      <c r="O916">
        <v>1</v>
      </c>
      <c r="P916" t="s">
        <v>1615</v>
      </c>
      <c r="Q916" t="s">
        <v>1068</v>
      </c>
      <c r="R916" t="s">
        <v>3535</v>
      </c>
      <c r="S916" t="s">
        <v>1070</v>
      </c>
      <c r="T916">
        <v>15400</v>
      </c>
      <c r="U916">
        <v>14.9</v>
      </c>
      <c r="V916">
        <v>1756</v>
      </c>
      <c r="W916">
        <v>10</v>
      </c>
      <c r="X916">
        <v>1637</v>
      </c>
      <c r="Y916">
        <v>14.6</v>
      </c>
      <c r="Z916">
        <v>1772</v>
      </c>
      <c r="AA916">
        <v>24.1</v>
      </c>
      <c r="AB916">
        <v>1362</v>
      </c>
      <c r="AC916">
        <v>33.6</v>
      </c>
      <c r="AD916">
        <v>1365</v>
      </c>
      <c r="AE916" t="s">
        <v>57</v>
      </c>
      <c r="AF916">
        <v>0</v>
      </c>
      <c r="AG916" t="s">
        <v>3536</v>
      </c>
      <c r="AH916">
        <v>584739</v>
      </c>
      <c r="AI916" t="s">
        <v>1995</v>
      </c>
      <c r="AJ916" s="1">
        <v>19128</v>
      </c>
      <c r="AK916">
        <v>19.600000000000001</v>
      </c>
      <c r="AL916" s="2">
        <v>0</v>
      </c>
      <c r="AM916" s="3">
        <v>2.1180555555555554</v>
      </c>
      <c r="AN916" t="s">
        <v>3535</v>
      </c>
      <c r="AO916" t="s">
        <v>3537</v>
      </c>
      <c r="AP916" t="b">
        <v>0</v>
      </c>
      <c r="AQ916" t="b">
        <v>0</v>
      </c>
      <c r="AR916" t="b">
        <v>0</v>
      </c>
    </row>
    <row r="917" spans="1:44" x14ac:dyDescent="0.3">
      <c r="A917" t="s">
        <v>2357</v>
      </c>
      <c r="B917" t="s">
        <v>2357</v>
      </c>
      <c r="C917" t="s">
        <v>3538</v>
      </c>
      <c r="D917" t="s">
        <v>1994</v>
      </c>
      <c r="E917" t="s">
        <v>1995</v>
      </c>
      <c r="F917" t="s">
        <v>56</v>
      </c>
      <c r="G917">
        <v>3.5</v>
      </c>
      <c r="H917">
        <v>1.8</v>
      </c>
      <c r="I917">
        <v>15.5</v>
      </c>
      <c r="J917">
        <v>1.6</v>
      </c>
      <c r="K917">
        <v>2.6</v>
      </c>
      <c r="L917">
        <v>1.2</v>
      </c>
      <c r="M917">
        <v>17.399999999999999</v>
      </c>
      <c r="N917">
        <v>1.9</v>
      </c>
      <c r="O917">
        <v>1</v>
      </c>
      <c r="P917" t="s">
        <v>1615</v>
      </c>
      <c r="Q917" t="s">
        <v>1068</v>
      </c>
      <c r="R917" t="s">
        <v>3539</v>
      </c>
      <c r="S917" t="s">
        <v>1070</v>
      </c>
      <c r="T917">
        <v>15370</v>
      </c>
      <c r="U917">
        <v>17.100000000000001</v>
      </c>
      <c r="V917">
        <v>1614</v>
      </c>
      <c r="W917">
        <v>9.1</v>
      </c>
      <c r="X917">
        <v>1773</v>
      </c>
      <c r="Y917">
        <v>9.1</v>
      </c>
      <c r="Z917">
        <v>1863</v>
      </c>
      <c r="AA917">
        <v>28.8</v>
      </c>
      <c r="AB917">
        <v>1207</v>
      </c>
      <c r="AC917">
        <v>27.4</v>
      </c>
      <c r="AD917">
        <v>1600</v>
      </c>
      <c r="AE917" t="s">
        <v>57</v>
      </c>
      <c r="AF917">
        <v>0</v>
      </c>
      <c r="AG917" t="s">
        <v>3540</v>
      </c>
      <c r="AH917">
        <v>625455</v>
      </c>
      <c r="AI917" t="s">
        <v>1995</v>
      </c>
      <c r="AJ917" s="1">
        <v>30889</v>
      </c>
      <c r="AK917">
        <v>17.399999999999999</v>
      </c>
      <c r="AL917" s="2">
        <v>0</v>
      </c>
      <c r="AM917" s="3">
        <v>2.3638888888888889</v>
      </c>
      <c r="AN917" t="s">
        <v>3539</v>
      </c>
      <c r="AO917" t="s">
        <v>3541</v>
      </c>
      <c r="AP917" t="b">
        <v>0</v>
      </c>
      <c r="AQ917" t="b">
        <v>0</v>
      </c>
      <c r="AR917" t="b">
        <v>0</v>
      </c>
    </row>
    <row r="918" spans="1:44" x14ac:dyDescent="0.3">
      <c r="A918" t="s">
        <v>2357</v>
      </c>
      <c r="B918" t="s">
        <v>2357</v>
      </c>
      <c r="C918" t="s">
        <v>3542</v>
      </c>
      <c r="D918" t="s">
        <v>2544</v>
      </c>
      <c r="E918" t="s">
        <v>2545</v>
      </c>
      <c r="F918" t="s">
        <v>47</v>
      </c>
      <c r="G918">
        <v>6.1</v>
      </c>
      <c r="H918">
        <v>3.2</v>
      </c>
      <c r="I918">
        <v>5.0999999999999996</v>
      </c>
      <c r="J918">
        <v>1.6</v>
      </c>
      <c r="K918">
        <v>3.3</v>
      </c>
      <c r="L918">
        <v>1.1000000000000001</v>
      </c>
      <c r="M918">
        <v>5</v>
      </c>
      <c r="N918">
        <v>2.2999999999999998</v>
      </c>
      <c r="O918">
        <v>1</v>
      </c>
      <c r="P918" t="s">
        <v>1615</v>
      </c>
      <c r="Q918" t="s">
        <v>1475</v>
      </c>
      <c r="R918" t="s">
        <v>3543</v>
      </c>
      <c r="T918">
        <v>1000143</v>
      </c>
      <c r="V918">
        <v>0</v>
      </c>
      <c r="X918">
        <v>0</v>
      </c>
      <c r="Z918">
        <v>0</v>
      </c>
      <c r="AB918">
        <v>0</v>
      </c>
      <c r="AD918">
        <v>0</v>
      </c>
      <c r="AE918" t="s">
        <v>57</v>
      </c>
      <c r="AF918">
        <v>0</v>
      </c>
      <c r="AG918" t="s">
        <v>3544</v>
      </c>
      <c r="AH918">
        <v>625374</v>
      </c>
      <c r="AI918" t="s">
        <v>2545</v>
      </c>
      <c r="AJ918" s="1">
        <v>10196</v>
      </c>
      <c r="AK918">
        <v>20.3</v>
      </c>
      <c r="AL918" s="2">
        <v>0.01</v>
      </c>
      <c r="AM918" s="3">
        <v>2.1180555555555554</v>
      </c>
      <c r="AN918" t="s">
        <v>3543</v>
      </c>
      <c r="AO918" t="s">
        <v>3545</v>
      </c>
      <c r="AP918" t="b">
        <v>0</v>
      </c>
      <c r="AQ918" t="b">
        <v>0</v>
      </c>
      <c r="AR918" t="b">
        <v>0</v>
      </c>
    </row>
    <row r="919" spans="1:44" x14ac:dyDescent="0.3">
      <c r="A919" t="s">
        <v>2357</v>
      </c>
      <c r="B919" t="s">
        <v>2357</v>
      </c>
      <c r="C919" t="s">
        <v>3546</v>
      </c>
      <c r="D919" t="s">
        <v>370</v>
      </c>
      <c r="E919" t="s">
        <v>371</v>
      </c>
      <c r="F919" t="s">
        <v>47</v>
      </c>
      <c r="G919">
        <v>3.4</v>
      </c>
      <c r="H919">
        <v>2.1</v>
      </c>
      <c r="I919">
        <v>8.1999999999999993</v>
      </c>
      <c r="J919">
        <v>2.8</v>
      </c>
      <c r="K919">
        <v>5.2</v>
      </c>
      <c r="L919">
        <v>1.1000000000000001</v>
      </c>
      <c r="M919">
        <v>28.3</v>
      </c>
      <c r="N919">
        <v>2</v>
      </c>
      <c r="O919">
        <v>1.2</v>
      </c>
      <c r="P919" t="s">
        <v>1615</v>
      </c>
      <c r="Q919" t="s">
        <v>1068</v>
      </c>
      <c r="R919" t="s">
        <v>3547</v>
      </c>
      <c r="S919" t="s">
        <v>1070</v>
      </c>
      <c r="T919">
        <v>15720</v>
      </c>
      <c r="U919">
        <v>13.2</v>
      </c>
      <c r="V919">
        <v>1833</v>
      </c>
      <c r="W919">
        <v>14.9</v>
      </c>
      <c r="X919">
        <v>1131</v>
      </c>
      <c r="Y919">
        <v>22.9</v>
      </c>
      <c r="Z919">
        <v>1613</v>
      </c>
      <c r="AA919">
        <v>16.899999999999999</v>
      </c>
      <c r="AB919">
        <v>1759</v>
      </c>
      <c r="AC919">
        <v>48.9</v>
      </c>
      <c r="AD919">
        <v>831</v>
      </c>
      <c r="AE919" t="s">
        <v>57</v>
      </c>
      <c r="AF919">
        <v>0</v>
      </c>
      <c r="AG919" t="s">
        <v>3548</v>
      </c>
      <c r="AH919">
        <v>625752</v>
      </c>
      <c r="AI919" t="s">
        <v>371</v>
      </c>
      <c r="AJ919" s="1">
        <v>9879</v>
      </c>
      <c r="AK919">
        <v>22.9</v>
      </c>
      <c r="AL919" s="2">
        <v>0</v>
      </c>
      <c r="AM919" s="3">
        <v>2.3638888888888889</v>
      </c>
      <c r="AN919" t="s">
        <v>3547</v>
      </c>
      <c r="AO919" t="s">
        <v>3549</v>
      </c>
      <c r="AP919" t="b">
        <v>0</v>
      </c>
      <c r="AQ919" t="b">
        <v>0</v>
      </c>
      <c r="AR919" t="b">
        <v>0</v>
      </c>
    </row>
    <row r="920" spans="1:44" x14ac:dyDescent="0.3">
      <c r="A920" t="s">
        <v>2357</v>
      </c>
      <c r="B920" t="s">
        <v>1621</v>
      </c>
      <c r="C920" t="s">
        <v>3550</v>
      </c>
      <c r="D920" t="s">
        <v>3551</v>
      </c>
      <c r="E920" t="s">
        <v>3552</v>
      </c>
      <c r="F920" t="s">
        <v>56</v>
      </c>
      <c r="G920">
        <v>4.7</v>
      </c>
      <c r="H920">
        <v>6.1</v>
      </c>
      <c r="I920">
        <v>17.399999999999999</v>
      </c>
      <c r="J920">
        <v>1</v>
      </c>
      <c r="M920">
        <v>3.1</v>
      </c>
      <c r="N920">
        <v>5.4</v>
      </c>
      <c r="O920">
        <v>1</v>
      </c>
      <c r="P920" t="s">
        <v>1615</v>
      </c>
      <c r="Q920" t="s">
        <v>1475</v>
      </c>
      <c r="R920" t="s">
        <v>3550</v>
      </c>
      <c r="T920">
        <v>1000140</v>
      </c>
      <c r="V920">
        <v>0</v>
      </c>
      <c r="X920">
        <v>0</v>
      </c>
      <c r="Z920">
        <v>0</v>
      </c>
      <c r="AB920">
        <v>0</v>
      </c>
      <c r="AD920">
        <v>0</v>
      </c>
      <c r="AE920" t="s">
        <v>57</v>
      </c>
      <c r="AF920">
        <v>0</v>
      </c>
      <c r="AG920" t="s">
        <v>3553</v>
      </c>
      <c r="AH920">
        <v>625350</v>
      </c>
      <c r="AI920" t="s">
        <v>3552</v>
      </c>
      <c r="AJ920" s="1">
        <v>25198</v>
      </c>
      <c r="AK920">
        <v>17.100000000000001</v>
      </c>
      <c r="AL920" s="2">
        <v>0</v>
      </c>
      <c r="AM920" s="3">
        <v>2.5277777777777777</v>
      </c>
      <c r="AN920" t="s">
        <v>3550</v>
      </c>
      <c r="AO920" t="s">
        <v>3554</v>
      </c>
      <c r="AP920" t="b">
        <v>0</v>
      </c>
      <c r="AQ920" t="b">
        <v>0</v>
      </c>
      <c r="AR920" t="b">
        <v>0</v>
      </c>
    </row>
    <row r="921" spans="1:44" x14ac:dyDescent="0.3">
      <c r="A921" t="s">
        <v>2357</v>
      </c>
      <c r="B921" t="s">
        <v>1621</v>
      </c>
      <c r="C921" t="s">
        <v>3555</v>
      </c>
      <c r="D921" t="s">
        <v>2544</v>
      </c>
      <c r="E921" t="s">
        <v>2545</v>
      </c>
      <c r="F921" t="s">
        <v>56</v>
      </c>
      <c r="G921">
        <v>4.8</v>
      </c>
      <c r="H921">
        <v>2.7</v>
      </c>
      <c r="I921">
        <v>4</v>
      </c>
      <c r="J921">
        <v>3.2</v>
      </c>
      <c r="K921">
        <v>2.2000000000000002</v>
      </c>
      <c r="L921">
        <v>1.1000000000000001</v>
      </c>
      <c r="M921">
        <v>11</v>
      </c>
      <c r="N921">
        <v>2.1</v>
      </c>
      <c r="O921">
        <v>1.2</v>
      </c>
      <c r="P921" t="s">
        <v>1615</v>
      </c>
      <c r="Q921" t="s">
        <v>621</v>
      </c>
      <c r="R921" t="s">
        <v>3555</v>
      </c>
      <c r="S921" t="s">
        <v>622</v>
      </c>
      <c r="T921">
        <v>12390</v>
      </c>
      <c r="U921">
        <v>13.8</v>
      </c>
      <c r="V921">
        <v>1811</v>
      </c>
      <c r="W921">
        <v>9.1</v>
      </c>
      <c r="X921">
        <v>1775</v>
      </c>
      <c r="Y921">
        <v>56.8</v>
      </c>
      <c r="Z921">
        <v>851</v>
      </c>
      <c r="AA921">
        <v>17.2</v>
      </c>
      <c r="AB921">
        <v>1733</v>
      </c>
      <c r="AC921">
        <v>41.2</v>
      </c>
      <c r="AD921">
        <v>1072</v>
      </c>
      <c r="AE921" t="s">
        <v>57</v>
      </c>
      <c r="AF921">
        <v>0</v>
      </c>
      <c r="AG921" t="s">
        <v>3556</v>
      </c>
      <c r="AH921">
        <v>625290</v>
      </c>
      <c r="AI921" t="s">
        <v>2545</v>
      </c>
      <c r="AJ921" s="1">
        <v>21749</v>
      </c>
      <c r="AK921">
        <v>21.3</v>
      </c>
      <c r="AL921" s="2">
        <v>0.01</v>
      </c>
      <c r="AM921" s="3">
        <v>2.4868055555555557</v>
      </c>
      <c r="AN921" t="s">
        <v>3555</v>
      </c>
      <c r="AO921" t="s">
        <v>3557</v>
      </c>
      <c r="AP921" t="b">
        <v>0</v>
      </c>
      <c r="AQ921" t="b">
        <v>0</v>
      </c>
      <c r="AR921" t="b">
        <v>0</v>
      </c>
    </row>
    <row r="922" spans="1:44" x14ac:dyDescent="0.3">
      <c r="A922" t="s">
        <v>2357</v>
      </c>
      <c r="B922" t="s">
        <v>2357</v>
      </c>
      <c r="C922" t="s">
        <v>3558</v>
      </c>
      <c r="D922" t="s">
        <v>2544</v>
      </c>
      <c r="E922" t="s">
        <v>2545</v>
      </c>
      <c r="F922" t="s">
        <v>47</v>
      </c>
      <c r="G922">
        <v>6</v>
      </c>
      <c r="H922">
        <v>3.9</v>
      </c>
      <c r="I922">
        <v>6.4</v>
      </c>
      <c r="J922">
        <v>1.3</v>
      </c>
      <c r="K922">
        <v>2.9</v>
      </c>
      <c r="L922">
        <v>1.3</v>
      </c>
      <c r="M922">
        <v>5</v>
      </c>
      <c r="N922">
        <v>2.2000000000000002</v>
      </c>
      <c r="O922">
        <v>1</v>
      </c>
      <c r="P922" t="s">
        <v>1615</v>
      </c>
      <c r="Q922" t="s">
        <v>1068</v>
      </c>
      <c r="R922" t="s">
        <v>2963</v>
      </c>
      <c r="S922" t="s">
        <v>1070</v>
      </c>
      <c r="T922">
        <v>18880</v>
      </c>
      <c r="U922">
        <v>23.2</v>
      </c>
      <c r="V922">
        <v>1143</v>
      </c>
      <c r="W922">
        <v>8.6999999999999993</v>
      </c>
      <c r="X922">
        <v>1836</v>
      </c>
      <c r="Y922">
        <v>12.2</v>
      </c>
      <c r="Z922">
        <v>1817</v>
      </c>
      <c r="AA922">
        <v>17.899999999999999</v>
      </c>
      <c r="AB922">
        <v>1678</v>
      </c>
      <c r="AC922">
        <v>40.6</v>
      </c>
      <c r="AD922">
        <v>1100</v>
      </c>
      <c r="AE922" t="s">
        <v>57</v>
      </c>
      <c r="AF922">
        <v>0</v>
      </c>
      <c r="AG922" t="s">
        <v>2964</v>
      </c>
      <c r="AH922">
        <v>623592</v>
      </c>
      <c r="AI922" t="s">
        <v>2545</v>
      </c>
      <c r="AJ922" s="1">
        <v>33442</v>
      </c>
      <c r="AK922">
        <v>8.9</v>
      </c>
      <c r="AL922" s="2">
        <v>0.01</v>
      </c>
      <c r="AM922" s="3">
        <v>2.1180555555555554</v>
      </c>
      <c r="AN922" t="s">
        <v>2963</v>
      </c>
      <c r="AO922" t="s">
        <v>2965</v>
      </c>
      <c r="AP922" t="b">
        <v>0</v>
      </c>
      <c r="AQ922" t="b">
        <v>0</v>
      </c>
      <c r="AR922" t="b">
        <v>0</v>
      </c>
    </row>
    <row r="923" spans="1:44" x14ac:dyDescent="0.3">
      <c r="A923" t="s">
        <v>2357</v>
      </c>
      <c r="B923" t="s">
        <v>2357</v>
      </c>
      <c r="C923" t="s">
        <v>3559</v>
      </c>
      <c r="D923" t="s">
        <v>2319</v>
      </c>
      <c r="E923" t="s">
        <v>1196</v>
      </c>
      <c r="F923" t="s">
        <v>56</v>
      </c>
      <c r="G923">
        <v>6.4</v>
      </c>
      <c r="H923">
        <v>3.3</v>
      </c>
      <c r="I923">
        <v>3.3</v>
      </c>
      <c r="J923">
        <v>1.5</v>
      </c>
      <c r="K923">
        <v>6.2</v>
      </c>
      <c r="L923">
        <v>1.7</v>
      </c>
      <c r="M923">
        <v>6.8</v>
      </c>
      <c r="N923">
        <v>4.0999999999999996</v>
      </c>
      <c r="O923">
        <v>1</v>
      </c>
      <c r="P923" t="s">
        <v>1615</v>
      </c>
      <c r="Q923" t="s">
        <v>1068</v>
      </c>
      <c r="R923" t="s">
        <v>3560</v>
      </c>
      <c r="S923" t="s">
        <v>1070</v>
      </c>
      <c r="T923">
        <v>18000</v>
      </c>
      <c r="U923">
        <v>11.6</v>
      </c>
      <c r="V923">
        <v>1885</v>
      </c>
      <c r="W923">
        <v>9.5</v>
      </c>
      <c r="X923">
        <v>1716</v>
      </c>
      <c r="Y923">
        <v>13.6</v>
      </c>
      <c r="Z923">
        <v>1790</v>
      </c>
      <c r="AA923">
        <v>15.8</v>
      </c>
      <c r="AB923">
        <v>1888</v>
      </c>
      <c r="AC923">
        <v>42</v>
      </c>
      <c r="AD923">
        <v>1051</v>
      </c>
      <c r="AE923" t="s">
        <v>57</v>
      </c>
      <c r="AF923">
        <v>0</v>
      </c>
      <c r="AG923" t="s">
        <v>3561</v>
      </c>
      <c r="AH923">
        <v>639089</v>
      </c>
      <c r="AI923" t="s">
        <v>1196</v>
      </c>
      <c r="AJ923" s="1">
        <v>22513</v>
      </c>
      <c r="AK923">
        <v>24.2</v>
      </c>
      <c r="AL923" s="2">
        <v>0.01</v>
      </c>
      <c r="AM923" t="s">
        <v>789</v>
      </c>
      <c r="AN923" t="s">
        <v>3560</v>
      </c>
      <c r="AO923" t="s">
        <v>3562</v>
      </c>
      <c r="AP923" t="b">
        <v>0</v>
      </c>
      <c r="AQ923" t="b">
        <v>0</v>
      </c>
      <c r="AR923" t="b">
        <v>0</v>
      </c>
    </row>
    <row r="924" spans="1:44" x14ac:dyDescent="0.3">
      <c r="A924" t="s">
        <v>2357</v>
      </c>
      <c r="B924" t="s">
        <v>1621</v>
      </c>
      <c r="C924" t="s">
        <v>3563</v>
      </c>
      <c r="D924" t="s">
        <v>1994</v>
      </c>
      <c r="E924" t="s">
        <v>1995</v>
      </c>
      <c r="F924" t="s">
        <v>47</v>
      </c>
      <c r="G924">
        <v>5.2</v>
      </c>
      <c r="H924">
        <v>3.4</v>
      </c>
      <c r="I924">
        <v>13</v>
      </c>
      <c r="J924">
        <v>1.2</v>
      </c>
      <c r="K924">
        <v>3.9</v>
      </c>
      <c r="L924">
        <v>2</v>
      </c>
      <c r="M924">
        <v>5.0999999999999996</v>
      </c>
      <c r="N924">
        <v>2.2000000000000002</v>
      </c>
      <c r="O924">
        <v>1</v>
      </c>
      <c r="P924" t="s">
        <v>1615</v>
      </c>
      <c r="Q924" t="s">
        <v>1475</v>
      </c>
      <c r="R924" t="s">
        <v>3564</v>
      </c>
      <c r="T924">
        <v>1000560</v>
      </c>
      <c r="V924">
        <v>0</v>
      </c>
      <c r="X924">
        <v>0</v>
      </c>
      <c r="Z924">
        <v>0</v>
      </c>
      <c r="AB924">
        <v>0</v>
      </c>
      <c r="AD924">
        <v>0</v>
      </c>
      <c r="AE924" t="s">
        <v>57</v>
      </c>
      <c r="AF924">
        <v>0</v>
      </c>
      <c r="AG924" t="s">
        <v>3565</v>
      </c>
      <c r="AH924">
        <v>625761</v>
      </c>
      <c r="AI924" t="s">
        <v>1995</v>
      </c>
      <c r="AJ924" s="1">
        <v>11795</v>
      </c>
      <c r="AK924">
        <v>19.3</v>
      </c>
      <c r="AL924" s="2">
        <v>0.02</v>
      </c>
      <c r="AM924" s="3">
        <v>2.5687500000000001</v>
      </c>
      <c r="AN924" t="s">
        <v>3564</v>
      </c>
      <c r="AO924" t="s">
        <v>3566</v>
      </c>
      <c r="AP924" t="b">
        <v>0</v>
      </c>
      <c r="AQ924" t="b">
        <v>0</v>
      </c>
      <c r="AR924" t="b">
        <v>0</v>
      </c>
    </row>
    <row r="925" spans="1:44" x14ac:dyDescent="0.3">
      <c r="A925" t="s">
        <v>2357</v>
      </c>
      <c r="B925" t="s">
        <v>1621</v>
      </c>
      <c r="C925" t="s">
        <v>3567</v>
      </c>
      <c r="D925" t="s">
        <v>1192</v>
      </c>
      <c r="E925" t="s">
        <v>1193</v>
      </c>
      <c r="F925" t="s">
        <v>56</v>
      </c>
      <c r="G925">
        <v>6.1</v>
      </c>
      <c r="H925">
        <v>9</v>
      </c>
      <c r="I925">
        <v>2</v>
      </c>
      <c r="J925">
        <v>1.5</v>
      </c>
      <c r="K925">
        <v>4.0999999999999996</v>
      </c>
      <c r="L925">
        <v>1.6</v>
      </c>
      <c r="M925">
        <v>7.6</v>
      </c>
      <c r="N925">
        <v>3.7</v>
      </c>
      <c r="O925">
        <v>1.3</v>
      </c>
      <c r="P925" t="s">
        <v>1615</v>
      </c>
      <c r="Q925" t="s">
        <v>1475</v>
      </c>
      <c r="R925" t="s">
        <v>3567</v>
      </c>
      <c r="T925">
        <v>1000605</v>
      </c>
      <c r="V925">
        <v>0</v>
      </c>
      <c r="X925">
        <v>0</v>
      </c>
      <c r="Z925">
        <v>0</v>
      </c>
      <c r="AB925">
        <v>0</v>
      </c>
      <c r="AD925">
        <v>0</v>
      </c>
      <c r="AE925" t="s">
        <v>57</v>
      </c>
      <c r="AF925">
        <v>0</v>
      </c>
      <c r="AG925" t="s">
        <v>3568</v>
      </c>
      <c r="AH925">
        <v>621708</v>
      </c>
      <c r="AI925" t="s">
        <v>1193</v>
      </c>
      <c r="AJ925" s="1">
        <v>22694</v>
      </c>
      <c r="AK925">
        <v>35.4</v>
      </c>
      <c r="AL925" s="2">
        <v>0.01</v>
      </c>
      <c r="AM925" s="3">
        <v>2.1590277777777778</v>
      </c>
      <c r="AN925" t="s">
        <v>3567</v>
      </c>
      <c r="AO925" t="s">
        <v>3569</v>
      </c>
      <c r="AP925" t="b">
        <v>0</v>
      </c>
      <c r="AQ925" t="b">
        <v>0</v>
      </c>
      <c r="AR925" t="b">
        <v>0</v>
      </c>
    </row>
    <row r="926" spans="1:44" x14ac:dyDescent="0.3">
      <c r="A926" t="s">
        <v>2357</v>
      </c>
      <c r="B926" t="s">
        <v>2357</v>
      </c>
      <c r="C926" t="s">
        <v>3570</v>
      </c>
      <c r="D926" t="s">
        <v>2544</v>
      </c>
      <c r="E926" t="s">
        <v>2545</v>
      </c>
      <c r="F926" t="s">
        <v>47</v>
      </c>
      <c r="G926">
        <v>2.2000000000000002</v>
      </c>
      <c r="H926">
        <v>3.5</v>
      </c>
      <c r="I926">
        <v>2.9</v>
      </c>
      <c r="J926">
        <v>2.7</v>
      </c>
      <c r="K926">
        <v>3.6</v>
      </c>
      <c r="L926">
        <v>2.2999999999999998</v>
      </c>
      <c r="M926">
        <v>6.8</v>
      </c>
      <c r="N926">
        <v>6.4</v>
      </c>
      <c r="O926">
        <v>1</v>
      </c>
      <c r="P926" t="s">
        <v>1615</v>
      </c>
      <c r="Q926" t="s">
        <v>1475</v>
      </c>
      <c r="R926" t="s">
        <v>3570</v>
      </c>
      <c r="T926">
        <v>1000681</v>
      </c>
      <c r="V926">
        <v>0</v>
      </c>
      <c r="X926">
        <v>0</v>
      </c>
      <c r="Z926">
        <v>0</v>
      </c>
      <c r="AB926">
        <v>0</v>
      </c>
      <c r="AD926">
        <v>0</v>
      </c>
      <c r="AE926" t="s">
        <v>57</v>
      </c>
      <c r="AF926">
        <v>0</v>
      </c>
      <c r="AG926" t="s">
        <v>3571</v>
      </c>
      <c r="AH926">
        <v>709496</v>
      </c>
      <c r="AI926" t="s">
        <v>2545</v>
      </c>
      <c r="AJ926" s="1">
        <v>5714</v>
      </c>
      <c r="AK926">
        <v>21.8</v>
      </c>
      <c r="AL926" s="2">
        <v>0</v>
      </c>
      <c r="AM926" s="3">
        <v>1.7902777777777779</v>
      </c>
      <c r="AN926" t="s">
        <v>3570</v>
      </c>
      <c r="AO926" t="s">
        <v>3572</v>
      </c>
      <c r="AP926" t="b">
        <v>0</v>
      </c>
      <c r="AQ926" t="b">
        <v>0</v>
      </c>
      <c r="AR926" t="b">
        <v>0</v>
      </c>
    </row>
    <row r="927" spans="1:44" x14ac:dyDescent="0.3">
      <c r="A927" t="s">
        <v>2357</v>
      </c>
      <c r="B927" t="s">
        <v>2357</v>
      </c>
      <c r="C927" t="s">
        <v>3573</v>
      </c>
      <c r="D927" t="s">
        <v>1999</v>
      </c>
      <c r="E927" t="s">
        <v>2000</v>
      </c>
      <c r="F927" t="s">
        <v>77</v>
      </c>
      <c r="G927">
        <v>3.7</v>
      </c>
      <c r="H927">
        <v>1.3</v>
      </c>
      <c r="I927">
        <v>15.4</v>
      </c>
      <c r="J927">
        <v>1.7</v>
      </c>
      <c r="M927">
        <v>9</v>
      </c>
      <c r="N927">
        <v>2.2000000000000002</v>
      </c>
      <c r="O927">
        <v>1</v>
      </c>
      <c r="P927" t="s">
        <v>1615</v>
      </c>
      <c r="Q927" t="s">
        <v>1068</v>
      </c>
      <c r="R927" t="s">
        <v>3573</v>
      </c>
      <c r="S927" t="s">
        <v>1070</v>
      </c>
      <c r="T927">
        <v>16060</v>
      </c>
      <c r="U927">
        <v>26.5</v>
      </c>
      <c r="V927">
        <v>909</v>
      </c>
      <c r="W927">
        <v>11</v>
      </c>
      <c r="X927">
        <v>1522</v>
      </c>
      <c r="Y927">
        <v>15.7</v>
      </c>
      <c r="Z927">
        <v>1752</v>
      </c>
      <c r="AA927">
        <v>17</v>
      </c>
      <c r="AB927">
        <v>1753</v>
      </c>
      <c r="AC927">
        <v>21.2</v>
      </c>
      <c r="AD927">
        <v>1835</v>
      </c>
      <c r="AE927" t="s">
        <v>57</v>
      </c>
      <c r="AF927">
        <v>0</v>
      </c>
      <c r="AG927" t="s">
        <v>3574</v>
      </c>
      <c r="AH927">
        <v>625293</v>
      </c>
      <c r="AI927" t="s">
        <v>2000</v>
      </c>
      <c r="AJ927" s="1">
        <v>12417</v>
      </c>
      <c r="AK927">
        <v>11.5</v>
      </c>
      <c r="AL927" s="2">
        <v>0.01</v>
      </c>
      <c r="AM927" s="3">
        <v>2.2819444444444446</v>
      </c>
      <c r="AN927" t="s">
        <v>3573</v>
      </c>
      <c r="AO927" t="s">
        <v>3575</v>
      </c>
      <c r="AP927" t="b">
        <v>0</v>
      </c>
      <c r="AQ927" t="b">
        <v>0</v>
      </c>
      <c r="AR927" t="b">
        <v>0</v>
      </c>
    </row>
    <row r="928" spans="1:44" x14ac:dyDescent="0.3">
      <c r="A928" t="s">
        <v>2357</v>
      </c>
      <c r="B928" t="s">
        <v>2357</v>
      </c>
      <c r="C928" t="s">
        <v>3576</v>
      </c>
      <c r="D928" t="s">
        <v>878</v>
      </c>
      <c r="E928" t="s">
        <v>879</v>
      </c>
      <c r="F928" t="s">
        <v>77</v>
      </c>
      <c r="G928">
        <v>8.1</v>
      </c>
      <c r="H928">
        <v>5.0999999999999996</v>
      </c>
      <c r="I928">
        <v>7</v>
      </c>
      <c r="J928">
        <v>1.3</v>
      </c>
      <c r="K928">
        <v>6.2</v>
      </c>
      <c r="L928">
        <v>1.6</v>
      </c>
      <c r="M928">
        <v>4.5</v>
      </c>
      <c r="N928">
        <v>3.7</v>
      </c>
      <c r="O928">
        <v>1</v>
      </c>
      <c r="P928" t="s">
        <v>1615</v>
      </c>
      <c r="Q928" t="s">
        <v>1068</v>
      </c>
      <c r="R928" t="s">
        <v>3576</v>
      </c>
      <c r="S928" t="s">
        <v>1070</v>
      </c>
      <c r="T928">
        <v>15230</v>
      </c>
      <c r="U928">
        <v>24.7</v>
      </c>
      <c r="V928">
        <v>1023</v>
      </c>
      <c r="W928">
        <v>12.7</v>
      </c>
      <c r="X928">
        <v>1332</v>
      </c>
      <c r="Y928">
        <v>16.5</v>
      </c>
      <c r="Z928">
        <v>1737</v>
      </c>
      <c r="AA928">
        <v>36.1</v>
      </c>
      <c r="AB928">
        <v>1069</v>
      </c>
      <c r="AC928">
        <v>33.200000000000003</v>
      </c>
      <c r="AD928">
        <v>1382</v>
      </c>
      <c r="AE928" t="s">
        <v>57</v>
      </c>
      <c r="AF928">
        <v>0</v>
      </c>
      <c r="AG928" t="s">
        <v>3577</v>
      </c>
      <c r="AH928">
        <v>707933</v>
      </c>
      <c r="AI928" t="s">
        <v>879</v>
      </c>
      <c r="AJ928" s="1">
        <v>32695</v>
      </c>
      <c r="AK928">
        <v>22</v>
      </c>
      <c r="AL928" s="2">
        <v>0.01</v>
      </c>
      <c r="AM928" s="3">
        <v>2.4458333333333333</v>
      </c>
      <c r="AN928" t="s">
        <v>3576</v>
      </c>
      <c r="AO928" t="s">
        <v>3578</v>
      </c>
      <c r="AP928" t="b">
        <v>0</v>
      </c>
      <c r="AQ928" t="b">
        <v>0</v>
      </c>
      <c r="AR928" t="b">
        <v>0</v>
      </c>
    </row>
    <row r="929" spans="1:44" x14ac:dyDescent="0.3">
      <c r="A929" t="s">
        <v>2357</v>
      </c>
      <c r="B929" t="s">
        <v>2357</v>
      </c>
      <c r="C929" t="s">
        <v>3579</v>
      </c>
      <c r="D929" t="s">
        <v>878</v>
      </c>
      <c r="E929" t="s">
        <v>879</v>
      </c>
      <c r="F929" t="s">
        <v>56</v>
      </c>
      <c r="G929">
        <v>5.5</v>
      </c>
      <c r="H929">
        <v>2.5</v>
      </c>
      <c r="I929">
        <v>6.5</v>
      </c>
      <c r="J929">
        <v>1.1000000000000001</v>
      </c>
      <c r="K929">
        <v>8.4</v>
      </c>
      <c r="L929">
        <v>1.1000000000000001</v>
      </c>
      <c r="M929">
        <v>4.5</v>
      </c>
      <c r="N929">
        <v>2.2999999999999998</v>
      </c>
      <c r="O929">
        <v>1</v>
      </c>
      <c r="P929" t="s">
        <v>1615</v>
      </c>
      <c r="Q929" t="s">
        <v>1475</v>
      </c>
      <c r="R929" t="s">
        <v>3368</v>
      </c>
      <c r="T929">
        <v>1000471</v>
      </c>
      <c r="V929">
        <v>0</v>
      </c>
      <c r="X929">
        <v>0</v>
      </c>
      <c r="Z929">
        <v>0</v>
      </c>
      <c r="AB929">
        <v>0</v>
      </c>
      <c r="AD929">
        <v>0</v>
      </c>
      <c r="AE929" t="s">
        <v>57</v>
      </c>
      <c r="AF929">
        <v>0</v>
      </c>
      <c r="AG929" t="s">
        <v>3369</v>
      </c>
      <c r="AH929">
        <v>701563</v>
      </c>
      <c r="AI929" t="s">
        <v>879</v>
      </c>
      <c r="AJ929" s="1">
        <v>21043</v>
      </c>
      <c r="AK929">
        <v>29.4</v>
      </c>
      <c r="AL929" s="2">
        <v>0.01</v>
      </c>
      <c r="AM929" s="3">
        <v>2.0770833333333334</v>
      </c>
      <c r="AN929" t="s">
        <v>3368</v>
      </c>
      <c r="AO929" t="s">
        <v>3370</v>
      </c>
      <c r="AP929" t="b">
        <v>0</v>
      </c>
      <c r="AQ929" t="b">
        <v>0</v>
      </c>
      <c r="AR929" t="b">
        <v>0</v>
      </c>
    </row>
    <row r="930" spans="1:44" x14ac:dyDescent="0.3">
      <c r="A930" t="s">
        <v>2357</v>
      </c>
      <c r="B930" t="s">
        <v>1621</v>
      </c>
      <c r="C930" t="s">
        <v>3580</v>
      </c>
      <c r="D930" t="s">
        <v>541</v>
      </c>
      <c r="E930" t="s">
        <v>542</v>
      </c>
      <c r="F930" t="s">
        <v>47</v>
      </c>
      <c r="G930">
        <v>6.6</v>
      </c>
      <c r="H930">
        <v>2.5</v>
      </c>
      <c r="I930">
        <v>8.8000000000000007</v>
      </c>
      <c r="J930">
        <v>1.9</v>
      </c>
      <c r="K930">
        <v>8.4</v>
      </c>
      <c r="L930">
        <v>6.1</v>
      </c>
      <c r="M930">
        <v>12.5</v>
      </c>
      <c r="N930">
        <v>3.3</v>
      </c>
      <c r="O930">
        <v>1</v>
      </c>
      <c r="P930" t="s">
        <v>1615</v>
      </c>
      <c r="Q930" t="s">
        <v>372</v>
      </c>
      <c r="R930" t="s">
        <v>568</v>
      </c>
      <c r="S930" t="s">
        <v>374</v>
      </c>
      <c r="T930">
        <v>4780</v>
      </c>
      <c r="U930">
        <v>42.9</v>
      </c>
      <c r="V930">
        <v>244</v>
      </c>
      <c r="W930">
        <v>27.8</v>
      </c>
      <c r="X930">
        <v>519</v>
      </c>
      <c r="Y930">
        <v>60</v>
      </c>
      <c r="Z930">
        <v>783</v>
      </c>
      <c r="AA930">
        <v>53.7</v>
      </c>
      <c r="AB930">
        <v>741</v>
      </c>
      <c r="AC930">
        <v>71.900000000000006</v>
      </c>
      <c r="AD930">
        <v>376</v>
      </c>
      <c r="AE930" t="s">
        <v>57</v>
      </c>
      <c r="AF930">
        <v>0</v>
      </c>
      <c r="AG930" t="s">
        <v>569</v>
      </c>
      <c r="AH930">
        <v>131486</v>
      </c>
      <c r="AI930" t="s">
        <v>542</v>
      </c>
      <c r="AJ930" s="1">
        <v>24850</v>
      </c>
      <c r="AK930">
        <v>12.1</v>
      </c>
      <c r="AL930" s="2">
        <v>0.28000000000000003</v>
      </c>
      <c r="AM930" s="3">
        <v>2.6506944444444445</v>
      </c>
      <c r="AN930" t="s">
        <v>568</v>
      </c>
      <c r="AO930" t="s">
        <v>570</v>
      </c>
      <c r="AP930" t="b">
        <v>0</v>
      </c>
      <c r="AQ930" t="b">
        <v>0</v>
      </c>
      <c r="AR930" t="b">
        <v>0</v>
      </c>
    </row>
    <row r="931" spans="1:44" x14ac:dyDescent="0.3">
      <c r="A931" t="s">
        <v>2357</v>
      </c>
      <c r="B931" t="s">
        <v>2357</v>
      </c>
      <c r="C931" t="s">
        <v>3581</v>
      </c>
      <c r="D931" t="s">
        <v>2192</v>
      </c>
      <c r="E931" t="s">
        <v>2193</v>
      </c>
      <c r="F931" t="s">
        <v>56</v>
      </c>
      <c r="G931">
        <v>4.5</v>
      </c>
      <c r="H931">
        <v>2.2000000000000002</v>
      </c>
      <c r="I931">
        <v>3.2</v>
      </c>
      <c r="J931">
        <v>2.1</v>
      </c>
      <c r="M931">
        <v>21.8</v>
      </c>
      <c r="N931">
        <v>13.4</v>
      </c>
      <c r="O931">
        <v>1</v>
      </c>
      <c r="P931" t="s">
        <v>1615</v>
      </c>
      <c r="Q931" t="s">
        <v>1068</v>
      </c>
      <c r="R931" t="s">
        <v>3581</v>
      </c>
      <c r="S931" t="s">
        <v>1070</v>
      </c>
      <c r="T931">
        <v>15900</v>
      </c>
      <c r="U931">
        <v>18.3</v>
      </c>
      <c r="V931">
        <v>1526</v>
      </c>
      <c r="W931">
        <v>11.5</v>
      </c>
      <c r="X931">
        <v>1459</v>
      </c>
      <c r="Y931">
        <v>25.2</v>
      </c>
      <c r="Z931">
        <v>1556</v>
      </c>
      <c r="AA931">
        <v>18.399999999999999</v>
      </c>
      <c r="AB931">
        <v>1632</v>
      </c>
      <c r="AC931">
        <v>24</v>
      </c>
      <c r="AD931">
        <v>1739</v>
      </c>
      <c r="AE931" t="s">
        <v>57</v>
      </c>
      <c r="AF931">
        <v>0</v>
      </c>
      <c r="AG931" t="s">
        <v>3582</v>
      </c>
      <c r="AH931">
        <v>715150</v>
      </c>
      <c r="AI931" t="s">
        <v>2193</v>
      </c>
      <c r="AJ931" s="1">
        <v>16907</v>
      </c>
      <c r="AK931">
        <v>20.9</v>
      </c>
      <c r="AL931" s="2">
        <v>0.04</v>
      </c>
      <c r="AM931" s="3">
        <v>2.1180555555555554</v>
      </c>
      <c r="AN931" t="s">
        <v>3581</v>
      </c>
      <c r="AO931" t="s">
        <v>3583</v>
      </c>
      <c r="AP931" t="b">
        <v>0</v>
      </c>
      <c r="AQ931" t="b">
        <v>0</v>
      </c>
      <c r="AR931" t="b">
        <v>0</v>
      </c>
    </row>
    <row r="932" spans="1:44" x14ac:dyDescent="0.3">
      <c r="A932" t="s">
        <v>2357</v>
      </c>
      <c r="B932" t="s">
        <v>2357</v>
      </c>
      <c r="C932" t="s">
        <v>3584</v>
      </c>
      <c r="D932" t="s">
        <v>878</v>
      </c>
      <c r="E932" t="s">
        <v>879</v>
      </c>
      <c r="F932" t="s">
        <v>56</v>
      </c>
      <c r="G932">
        <v>4.7</v>
      </c>
      <c r="H932">
        <v>2.2999999999999998</v>
      </c>
      <c r="I932">
        <v>5.0999999999999996</v>
      </c>
      <c r="J932">
        <v>1.3</v>
      </c>
      <c r="K932">
        <v>1.2</v>
      </c>
      <c r="L932">
        <v>1</v>
      </c>
      <c r="M932">
        <v>3.4</v>
      </c>
      <c r="N932">
        <v>2.2000000000000002</v>
      </c>
      <c r="O932">
        <v>1</v>
      </c>
      <c r="P932" t="s">
        <v>1615</v>
      </c>
      <c r="Q932" t="s">
        <v>1068</v>
      </c>
      <c r="R932" t="s">
        <v>3584</v>
      </c>
      <c r="S932" t="s">
        <v>1070</v>
      </c>
      <c r="T932">
        <v>17010</v>
      </c>
      <c r="U932">
        <v>17.100000000000001</v>
      </c>
      <c r="V932">
        <v>1617</v>
      </c>
      <c r="W932">
        <v>8.1</v>
      </c>
      <c r="X932">
        <v>1872</v>
      </c>
      <c r="Y932">
        <v>26.3</v>
      </c>
      <c r="Z932">
        <v>1533</v>
      </c>
      <c r="AA932">
        <v>16.8</v>
      </c>
      <c r="AB932">
        <v>1773</v>
      </c>
      <c r="AC932">
        <v>18.399999999999999</v>
      </c>
      <c r="AD932">
        <v>1892</v>
      </c>
      <c r="AE932" t="s">
        <v>57</v>
      </c>
      <c r="AF932">
        <v>0</v>
      </c>
      <c r="AG932" t="s">
        <v>3585</v>
      </c>
      <c r="AH932">
        <v>705104</v>
      </c>
      <c r="AI932" t="s">
        <v>879</v>
      </c>
      <c r="AJ932" s="1">
        <v>34807</v>
      </c>
      <c r="AK932">
        <v>13.1</v>
      </c>
      <c r="AL932" s="2">
        <v>0</v>
      </c>
      <c r="AM932" s="3">
        <v>2.5277777777777777</v>
      </c>
      <c r="AN932" t="s">
        <v>3584</v>
      </c>
      <c r="AO932" t="s">
        <v>3586</v>
      </c>
      <c r="AP932" t="b">
        <v>0</v>
      </c>
      <c r="AQ932" t="b">
        <v>0</v>
      </c>
      <c r="AR932" t="b">
        <v>0</v>
      </c>
    </row>
    <row r="933" spans="1:44" x14ac:dyDescent="0.3">
      <c r="A933" t="s">
        <v>2357</v>
      </c>
      <c r="B933" t="s">
        <v>2357</v>
      </c>
      <c r="C933" t="s">
        <v>3587</v>
      </c>
      <c r="D933" t="s">
        <v>878</v>
      </c>
      <c r="E933" t="s">
        <v>879</v>
      </c>
      <c r="F933" t="s">
        <v>77</v>
      </c>
      <c r="G933">
        <v>6.4</v>
      </c>
      <c r="H933">
        <v>1.7</v>
      </c>
      <c r="I933">
        <v>3.8</v>
      </c>
      <c r="J933">
        <v>1.1000000000000001</v>
      </c>
      <c r="K933">
        <v>1.5</v>
      </c>
      <c r="L933">
        <v>1</v>
      </c>
      <c r="M933">
        <v>3.7</v>
      </c>
      <c r="N933">
        <v>2.2000000000000002</v>
      </c>
      <c r="O933">
        <v>1</v>
      </c>
      <c r="P933" t="s">
        <v>1615</v>
      </c>
      <c r="Q933" t="s">
        <v>1475</v>
      </c>
      <c r="R933" t="s">
        <v>3587</v>
      </c>
      <c r="T933">
        <v>1000445</v>
      </c>
      <c r="V933">
        <v>0</v>
      </c>
      <c r="X933">
        <v>0</v>
      </c>
      <c r="Z933">
        <v>0</v>
      </c>
      <c r="AB933">
        <v>0</v>
      </c>
      <c r="AD933">
        <v>0</v>
      </c>
      <c r="AE933" t="s">
        <v>57</v>
      </c>
      <c r="AF933">
        <v>0</v>
      </c>
      <c r="AG933" t="s">
        <v>3588</v>
      </c>
      <c r="AH933">
        <v>718106</v>
      </c>
      <c r="AI933" t="s">
        <v>879</v>
      </c>
      <c r="AJ933" s="1">
        <v>31378</v>
      </c>
      <c r="AK933">
        <v>24</v>
      </c>
      <c r="AL933" s="2">
        <v>0</v>
      </c>
      <c r="AM933" s="3">
        <v>2.5687500000000001</v>
      </c>
      <c r="AN933" t="s">
        <v>3587</v>
      </c>
      <c r="AO933" t="s">
        <v>3589</v>
      </c>
      <c r="AP933" t="b">
        <v>0</v>
      </c>
      <c r="AQ933" t="b">
        <v>0</v>
      </c>
      <c r="AR933" t="b">
        <v>0</v>
      </c>
    </row>
    <row r="934" spans="1:44" x14ac:dyDescent="0.3">
      <c r="A934" t="s">
        <v>2357</v>
      </c>
      <c r="B934" t="s">
        <v>2357</v>
      </c>
      <c r="C934" t="s">
        <v>3590</v>
      </c>
      <c r="D934" t="s">
        <v>2192</v>
      </c>
      <c r="E934" t="s">
        <v>2193</v>
      </c>
      <c r="F934" t="s">
        <v>56</v>
      </c>
      <c r="G934">
        <v>5.6</v>
      </c>
      <c r="H934">
        <v>2.2000000000000002</v>
      </c>
      <c r="I934">
        <v>4</v>
      </c>
      <c r="J934">
        <v>1.9</v>
      </c>
      <c r="K934">
        <v>1.5</v>
      </c>
      <c r="L934">
        <v>5.2</v>
      </c>
      <c r="M934">
        <v>34.5</v>
      </c>
      <c r="N934">
        <v>6.2</v>
      </c>
      <c r="O934">
        <v>2.2999999999999998</v>
      </c>
      <c r="P934" t="s">
        <v>1615</v>
      </c>
      <c r="Q934" t="s">
        <v>621</v>
      </c>
      <c r="R934" t="s">
        <v>3590</v>
      </c>
      <c r="S934" t="s">
        <v>622</v>
      </c>
      <c r="T934">
        <v>13820</v>
      </c>
      <c r="U934">
        <v>16.7</v>
      </c>
      <c r="V934">
        <v>1653</v>
      </c>
      <c r="W934">
        <v>14.6</v>
      </c>
      <c r="X934">
        <v>1155</v>
      </c>
      <c r="Y934">
        <v>35</v>
      </c>
      <c r="Z934">
        <v>1328</v>
      </c>
      <c r="AA934">
        <v>16.899999999999999</v>
      </c>
      <c r="AB934">
        <v>1765</v>
      </c>
      <c r="AC934">
        <v>41</v>
      </c>
      <c r="AD934">
        <v>1081</v>
      </c>
      <c r="AE934" t="s">
        <v>57</v>
      </c>
      <c r="AF934">
        <v>0</v>
      </c>
      <c r="AG934" t="s">
        <v>3591</v>
      </c>
      <c r="AH934">
        <v>708623</v>
      </c>
      <c r="AI934" t="s">
        <v>2193</v>
      </c>
      <c r="AJ934" s="1">
        <v>15820</v>
      </c>
      <c r="AK934">
        <v>17.5</v>
      </c>
      <c r="AL934" s="2">
        <v>0.06</v>
      </c>
      <c r="AM934" s="3">
        <v>2.3638888888888889</v>
      </c>
      <c r="AN934" t="s">
        <v>3590</v>
      </c>
      <c r="AO934" t="s">
        <v>3592</v>
      </c>
      <c r="AP934" t="b">
        <v>0</v>
      </c>
      <c r="AQ934" t="b">
        <v>0</v>
      </c>
      <c r="AR9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Merged_QS_THE_Universities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K.SAHITHI PRIYA</dc:creator>
  <cp:lastModifiedBy>SAHITHI PRIYA K</cp:lastModifiedBy>
  <dcterms:created xsi:type="dcterms:W3CDTF">2026-08-05T14:32:16Z</dcterms:created>
  <dcterms:modified xsi:type="dcterms:W3CDTF">2026-08-06T14:42:37Z</dcterms:modified>
</cp:coreProperties>
</file>